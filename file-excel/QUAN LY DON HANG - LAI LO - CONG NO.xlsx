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ƯỚNG DẪN" sheetId="1" state="visible" r:id="rId3"/>
    <sheet name="BẢNG GIÁ GỐC" sheetId="2" state="visible" r:id="rId4"/>
    <sheet name="NHẬP ĐƠN HÀNG" sheetId="3" state="visible" r:id="rId5"/>
    <sheet name="BÁO CÁO DOANH THU" sheetId="4" state="visible" r:id="rId6"/>
    <sheet name="LÃI LỖ" sheetId="5" state="visible" r:id="rId7"/>
    <sheet name="KHÁCH HÀNG" sheetId="6" state="visible" r:id="rId8"/>
    <sheet name="CÔNG NỢ" sheetId="7" state="visible" r:id="rId9"/>
    <sheet name="KHÁCH LẤY VAT" sheetId="8" state="visible" r:id="rId10"/>
    <sheet name="KHÁCH KHÔNG VAT" sheetId="9" state="visible" r:id="rId11"/>
  </sheets>
  <definedNames>
    <definedName function="false" hidden="true" localSheetId="1" name="_xlnm._FilterDatabase" vbProcedure="false">'BẢNG GIÁ GỐC'!$A$4:$G$204</definedName>
    <definedName function="false" hidden="true" localSheetId="6" name="_xlnm._FilterDatabase" vbProcedure="false">'CÔNG NỢ'!$A$5:$K$205</definedName>
    <definedName function="false" hidden="true" localSheetId="5" name="_xlnm._FilterDatabase" vbProcedure="false">'KHÁCH HÀNG'!$A$5:$N$205</definedName>
    <definedName function="false" hidden="true" localSheetId="8" name="_xlnm._FilterDatabase" vbProcedure="false">'KHÁCH KHÔNG VAT'!$A$5:$K$205</definedName>
    <definedName function="false" hidden="true" localSheetId="7" name="_xlnm._FilterDatabase" vbProcedure="false">'KHÁCH LẤY VAT'!$A$5:$M$205</definedName>
    <definedName function="false" hidden="true" localSheetId="2" name="_xlnm._FilterDatabase" vbProcedure="false">'NHẬP ĐƠN HÀNG'!$A$5:$X$505</definedName>
    <definedName function="false" hidden="false" name="DS_SANPHAM" vbProcedure="false">'BẢNG GIÁ GỐC'!$A$5:$A$204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Tên sản phẩm là KHÓA nối sang sheet NHẬP ĐƠN HÀNG. Không đặt trùng tên, không để thừa dấu cách.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5" authorId="0">
      <text>
        <r>
          <rPr>
            <sz val="10"/>
            <rFont val="Arial"/>
            <family val="2"/>
          </rPr>
          <t xml:space="preserve">TỰ ĐỘNG lấy giá gốc từ sheet BẢNG GIÁ GỐC theo TÊN SẢN PHẨM. Không gõ tay vào cột này.</t>
        </r>
      </text>
    </comment>
    <comment ref="K5" authorId="0">
      <text>
        <r>
          <rPr>
            <sz val="10"/>
            <rFont val="Arial"/>
            <family val="2"/>
          </rPr>
          <t xml:space="preserve">Nhập giá bán CHƯA có VAT. Nếu báo khách giá đã gồm 8% VAT thì lấy giá đó chia 1,08.</t>
        </r>
      </text>
    </comment>
    <comment ref="Q5" authorId="0">
      <text>
        <r>
          <rPr>
            <sz val="10"/>
            <rFont val="Arial"/>
            <family val="2"/>
          </rPr>
          <t xml:space="preserve">Cộng dồn tất cả các lần khách đã trả cho đơn này (cọc + thanh toán thêm).</t>
        </r>
      </text>
    </comment>
  </commentList>
</comments>
</file>

<file path=xl/sharedStrings.xml><?xml version="1.0" encoding="utf-8"?>
<sst xmlns="http://schemas.openxmlformats.org/spreadsheetml/2006/main" count="272" uniqueCount="182">
  <si>
    <t xml:space="preserve">HƯỚNG DẪN SỬ DỤNG – FILE QUẢN LÝ ĐƠN HÀNG, LÃI LỖ &amp; CÔNG NỢ</t>
  </si>
  <si>
    <t xml:space="preserve">Bản rút gọn: chỉ NHẬP 2 sheet màu vàng, 7 sheet còn lại tự động cập nhật.</t>
  </si>
  <si>
    <t xml:space="preserve">A. CHỈ CÓ 2 SHEET PHẢI NHẬP TAY</t>
  </si>
  <si>
    <t xml:space="preserve">1. BẢNG GIÁ GỐC</t>
  </si>
  <si>
    <t xml:space="preserve">Nhập 1 lần cho mỗi sản phẩm: TÊN SẢN PHẨM, GIÁ GỐC (giá vốn), GIÁ BÁN GỢI Ý. Sau đó file tự biết giá gốc để tính lãi/lỗ.</t>
  </si>
  <si>
    <t xml:space="preserve">2. NHẬP ĐƠN HÀNG</t>
  </si>
  <si>
    <t xml:space="preserve">Nhân viên sale chỉ nhập ở đây: ngày, khách, sản phẩm, số lượng, giá bán, VAT, số tiền khách đã trả. Tất cả phần còn lại tự tính.</t>
  </si>
  <si>
    <t xml:space="preserve">B. 7 SHEET TỰ ĐỘNG – KHÔNG GÕ GÌ VÀO</t>
  </si>
  <si>
    <t xml:space="preserve">3. BÁO CÁO DOANH THU</t>
  </si>
  <si>
    <t xml:space="preserve">Doanh thu / VAT / đã thu / còn nợ / lãi theo từng tháng và cả năm. Chỉ cần đổi ô NĂM.</t>
  </si>
  <si>
    <t xml:space="preserve">4. LÃI LỖ</t>
  </si>
  <si>
    <t xml:space="preserve">Tổng quan lãi lỗ, lãi lỗ theo tháng và lãi lỗ theo từng sản phẩm.</t>
  </si>
  <si>
    <t xml:space="preserve">5. KHÁCH HÀNG</t>
  </si>
  <si>
    <t xml:space="preserve">Tự gom danh sách khách từ sheet NHẬP ĐƠN HÀNG: đã mua bao nhiêu, đã trả, còn nợ, lãi.</t>
  </si>
  <si>
    <t xml:space="preserve">6. CÔNG NỢ</t>
  </si>
  <si>
    <t xml:space="preserve">Tự liệt kê những đơn khách còn nợ tiền, kèm số ngày kể từ ngày đặt.</t>
  </si>
  <si>
    <t xml:space="preserve">7. KHÁCH LẤY VAT</t>
  </si>
  <si>
    <t xml:space="preserve">Tự liệt kê các đơn có VAT, kèm tiền thuế từng đơn và tổng thuế.</t>
  </si>
  <si>
    <t xml:space="preserve">8. KHÁCH KHÔNG VAT</t>
  </si>
  <si>
    <t xml:space="preserve">Tự liệt kê các đơn không lấy VAT.</t>
  </si>
  <si>
    <t xml:space="preserve">C. QUY TẮC MÀU</t>
  </si>
  <si>
    <t xml:space="preserve">Ô MÀU VÀNG</t>
  </si>
  <si>
    <t xml:space="preserve">Nhân viên nhập tay.</t>
  </si>
  <si>
    <t xml:space="preserve">Ô MÀU XANH NHẠT</t>
  </si>
  <si>
    <t xml:space="preserve">Máy tự tính – KHÔNG gõ đè lên, sẽ mất công thức.</t>
  </si>
  <si>
    <t xml:space="preserve">Ô MÀU CAM (CẢNH BÁO)</t>
  </si>
  <si>
    <t xml:space="preserve">Nhắc dòng nào thiếu dữ liệu hoặc đang lỗ. Xử lý hết là số liệu chuẩn.</t>
  </si>
  <si>
    <t xml:space="preserve">D. CÁCH TÍNH LÃI LỖ</t>
  </si>
  <si>
    <t xml:space="preserve">TIỀN HÀNG</t>
  </si>
  <si>
    <t xml:space="preserve">SỐ LƯỢNG × GIÁ BÁN/SP  (giá bán CHƯA gồm VAT)</t>
  </si>
  <si>
    <t xml:space="preserve">TỔNG VỐN</t>
  </si>
  <si>
    <t xml:space="preserve">SỐ LƯỢNG × GIÁ GỐC/SP  (giá gốc lấy tự động từ BẢNG GIÁ GỐC)</t>
  </si>
  <si>
    <t xml:space="preserve">LÃI / LỖ</t>
  </si>
  <si>
    <t xml:space="preserve">TIỀN HÀNG − TỔNG VỐN. Số âm màu đỏ nghĩa là ĐANG LỖ.</t>
  </si>
  <si>
    <t xml:space="preserve">% LÃI</t>
  </si>
  <si>
    <t xml:space="preserve">LÃI / LỖ ÷ TIỀN HÀNG</t>
  </si>
  <si>
    <t xml:space="preserve">TIỀN VAT</t>
  </si>
  <si>
    <t xml:space="preserve">TIỀN HÀNG × THUẾ SUẤT (0% / 5% / 8% / 10% chọn ở cột LẤY VAT?)</t>
  </si>
  <si>
    <t xml:space="preserve">TỔNG PHẢI THU</t>
  </si>
  <si>
    <t xml:space="preserve">TIỀN HÀNG + TIỀN VAT</t>
  </si>
  <si>
    <t xml:space="preserve">CÒN NỢ</t>
  </si>
  <si>
    <t xml:space="preserve">TỔNG PHẢI THU − ĐÃ THANH TOÁN</t>
  </si>
  <si>
    <t xml:space="preserve">E. LƯU Ý QUAN TRỌNG</t>
  </si>
  <si>
    <t xml:space="preserve">Giá bán nhập là giá CHƯA VAT</t>
  </si>
  <si>
    <t xml:space="preserve">Nếu báo khách giá đã gồm 8% VAT thì lấy giá đó chia 1,08 rồi mới nhập.</t>
  </si>
  <si>
    <t xml:space="preserve">Tên sản phẩm phải chọn từ danh sách</t>
  </si>
  <si>
    <t xml:space="preserve">Gõ tay sai chính tả sẽ không lấy được giá gốc → cột CẢNH BÁO sẽ báo ngay.</t>
  </si>
  <si>
    <t xml:space="preserve">Muốn thêm sản phẩm mới</t>
  </si>
  <si>
    <t xml:space="preserve">Thêm 1 dòng ở BẢNG GIÁ GỐC là danh sách chọn tự có sản phẩm đó.</t>
  </si>
  <si>
    <t xml:space="preserve">Lô hàng có giá vốn khác</t>
  </si>
  <si>
    <t xml:space="preserve">Thêm 1 dòng sản phẩm riêng ở BẢNG GIÁ GỐC, ví dụ: GẤU TEDDY 25CM TRẮNG – lô T8.</t>
  </si>
  <si>
    <t xml:space="preserve">Muốn xem năm khác</t>
  </si>
  <si>
    <t xml:space="preserve">Vào BÁO CÁO DOANH THU, sửa ô NĂM (ô vàng).</t>
  </si>
  <si>
    <t xml:space="preserve">BẢNG GIÁ GỐC SẢN PHẨM</t>
  </si>
  <si>
    <t xml:space="preserve">NHÂN VIÊN CHỈ NHẬP Ở ĐÂY: tên sản phẩm, giá gốc (giá vốn), giá bán gợi ý. Sheet NHẬP ĐƠN HÀNG sẽ tự lấy giá gốc để tính lãi lỗ.</t>
  </si>
  <si>
    <t xml:space="preserve">TÊN SẢN PHẨM</t>
  </si>
  <si>
    <t xml:space="preserve">QUY CÁCH / KÍCH THƯỚC</t>
  </si>
  <si>
    <t xml:space="preserve">GIÁ GỐC / SP (đ)</t>
  </si>
  <si>
    <t xml:space="preserve">GIÁ BÁN GỢI Ý / SP (đ)</t>
  </si>
  <si>
    <t xml:space="preserve">LÃI GỢI Ý / SP (đ)</t>
  </si>
  <si>
    <t xml:space="preserve">% LÃI GỢI Ý</t>
  </si>
  <si>
    <t xml:space="preserve">GHI CHÚ</t>
  </si>
  <si>
    <t xml:space="preserve">GẤU TEDDY 25CM TRẮNG</t>
  </si>
  <si>
    <t xml:space="preserve">25CM</t>
  </si>
  <si>
    <t xml:space="preserve">GẤU TEDDY 30CM</t>
  </si>
  <si>
    <t xml:space="preserve">30CM</t>
  </si>
  <si>
    <t xml:space="preserve">GẤU TEDDY 20CM LÔNG MỊN</t>
  </si>
  <si>
    <t xml:space="preserve">20CM</t>
  </si>
  <si>
    <t xml:space="preserve">GỐI ÔM CỎ</t>
  </si>
  <si>
    <t xml:space="preserve">GẤU TEDDY 20CM LÔNG XÙ</t>
  </si>
  <si>
    <t xml:space="preserve">GẤU TEDDY 27CM NÂU</t>
  </si>
  <si>
    <t xml:space="preserve">27CM</t>
  </si>
  <si>
    <t xml:space="preserve">GẤU TỐT NGHIỆP</t>
  </si>
  <si>
    <t xml:space="preserve">GẤU TEDY INLOGO HOA THÁI</t>
  </si>
  <si>
    <t xml:space="preserve">GẤU TRÁI TIM INLOGO 1 MẶT HOA THÁI</t>
  </si>
  <si>
    <t xml:space="preserve">40CM</t>
  </si>
  <si>
    <t xml:space="preserve">GẤU BÔNG LENA TRÚC</t>
  </si>
  <si>
    <t xml:space="preserve">CÁ MẬP INLOGO</t>
  </si>
  <si>
    <t xml:space="preserve">MẦM INLOGO / ĐÀO TIÊN INLOGO</t>
  </si>
  <si>
    <t xml:space="preserve">CHUỐI INLOGO</t>
  </si>
  <si>
    <t xml:space="preserve">35CM</t>
  </si>
  <si>
    <t xml:space="preserve">TEDDY TRẮNG QUẢNG CHÂU INLOGO</t>
  </si>
  <si>
    <t xml:space="preserve">NHẬP ĐƠN HÀNG (SHEET DUY NHẤT NHÂN VIÊN SALE PHẢI NHẬP)</t>
  </si>
  <si>
    <t xml:space="preserve">Chỉ gõ vào Ô MÀU VÀNG. Thành tiền, VAT, tổng phải thu, còn nợ, tổng vốn và lãi/lỗ đều tự tính.</t>
  </si>
  <si>
    <t xml:space="preserve">SỐ ĐƠN</t>
  </si>
  <si>
    <t xml:space="preserve">TIỀN HÀNG (đ)</t>
  </si>
  <si>
    <t xml:space="preserve">TỔNG VỐN (đ)</t>
  </si>
  <si>
    <t xml:space="preserve">LÃI / LỖ (đ)</t>
  </si>
  <si>
    <t xml:space="preserve">TỔNG PHẢI THU (đ)</t>
  </si>
  <si>
    <t xml:space="preserve">ĐÃ THU (đ)</t>
  </si>
  <si>
    <t xml:space="preserve">CÒN NỢ (đ)</t>
  </si>
  <si>
    <t xml:space="preserve">DÒNG CẦN KIỂM TRA</t>
  </si>
  <si>
    <t xml:space="preserve">STT</t>
  </si>
  <si>
    <t xml:space="preserve">NGÀY ĐẶT</t>
  </si>
  <si>
    <t xml:space="preserve">TÊN KHÁCH HÀNG</t>
  </si>
  <si>
    <t xml:space="preserve">SỐ ĐIỆN THOẠI</t>
  </si>
  <si>
    <t xml:space="preserve">CÔNG TY (nếu có)</t>
  </si>
  <si>
    <t xml:space="preserve">MÃ SỐ THUẾ (nếu lấy VAT)</t>
  </si>
  <si>
    <t xml:space="preserve">ĐỊA CHỈ GIAO HÀNG</t>
  </si>
  <si>
    <t xml:space="preserve">SỐ LƯỢNG</t>
  </si>
  <si>
    <t xml:space="preserve">GIÁ BÁN / SP (đ)
(chưa VAT)</t>
  </si>
  <si>
    <t xml:space="preserve">LẤY VAT?</t>
  </si>
  <si>
    <t xml:space="preserve">THUẾ SUẤT</t>
  </si>
  <si>
    <t xml:space="preserve">TIỀN VAT (đ)</t>
  </si>
  <si>
    <t xml:space="preserve">ĐÃ THANH TOÁN (đ)</t>
  </si>
  <si>
    <t xml:space="preserve">TÌNH TRẠNG</t>
  </si>
  <si>
    <t xml:space="preserve">CẢNH BÁO</t>
  </si>
  <si>
    <t xml:space="preserve">_nợ</t>
  </si>
  <si>
    <t xml:space="preserve">_vat</t>
  </si>
  <si>
    <t xml:space="preserve">_kvat</t>
  </si>
  <si>
    <t xml:space="preserve">_khách</t>
  </si>
  <si>
    <t xml:space="preserve">_sp</t>
  </si>
  <si>
    <t xml:space="preserve">BGB - GẤU TỐT NGHIỆP AMES EL</t>
  </si>
  <si>
    <t xml:space="preserve">0865895498</t>
  </si>
  <si>
    <t xml:space="preserve">CÔNG TY CỔ PHẦN ĐÀO TẠO AMES - CHI NHÁNH THANH HÓA</t>
  </si>
  <si>
    <t xml:space="preserve">0402018889-005</t>
  </si>
  <si>
    <t xml:space="preserve">18 Phan Chu Trinh, Hạc Thành, Thanh Hóa</t>
  </si>
  <si>
    <t xml:space="preserve">VAT 8%</t>
  </si>
  <si>
    <t xml:space="preserve">Chuyển từ file cũ (DH-000003) – file cũ THIẾU NGÀY ĐẶT, vui lòng bổ sung</t>
  </si>
  <si>
    <t xml:space="preserve">NGUYỆT ANH</t>
  </si>
  <si>
    <t xml:space="preserve">0914121088</t>
  </si>
  <si>
    <t xml:space="preserve">BGB - K2 NBK 130C</t>
  </si>
  <si>
    <t xml:space="preserve">2500740944</t>
  </si>
  <si>
    <t xml:space="preserve">Gần Nguyễn Hoàng (đoạn đường tránh qua TP. Tam Kỳ)</t>
  </si>
  <si>
    <t xml:space="preserve">Không lấy VAT</t>
  </si>
  <si>
    <t xml:space="preserve">Chuyển từ file cũ (DH-000006)</t>
  </si>
  <si>
    <t xml:space="preserve">KH-0007 (file cũ chưa có tên)</t>
  </si>
  <si>
    <t xml:space="preserve">Chuyển từ file cũ (DH-000007) – bổ sung tên và SĐT khách</t>
  </si>
  <si>
    <t xml:space="preserve">KH-007 (file cũ chưa có tên)</t>
  </si>
  <si>
    <t xml:space="preserve">Chuyển từ file cũ (DH-000008) – bổ sung tên và SĐT khách</t>
  </si>
  <si>
    <t xml:space="preserve">A TÀI - HUYNDAI - 20C</t>
  </si>
  <si>
    <t xml:space="preserve">0935494005</t>
  </si>
  <si>
    <t xml:space="preserve">461 Tây Sơn, Quy Nhơn Nam, Gia Lai</t>
  </si>
  <si>
    <t xml:space="preserve">Khách có trong danh mục cũ nhưng chưa phát sinh đơn thật</t>
  </si>
  <si>
    <t xml:space="preserve">BGB - CÔ AN MẾN TẶNG</t>
  </si>
  <si>
    <t xml:space="preserve">0903535291</t>
  </si>
  <si>
    <t xml:space="preserve">658 đường 2/9 Hải Châu - Đà Nẵng</t>
  </si>
  <si>
    <t xml:space="preserve">BÁO CÁO DOANH THU THEO THÁNG (TỰ ĐỘNG)</t>
  </si>
  <si>
    <t xml:space="preserve">Toàn bộ số liệu lấy từ sheet NHẬP ĐƠN HÀNG. Chỉ được sửa ô NĂM màu vàng.</t>
  </si>
  <si>
    <t xml:space="preserve">NĂM:</t>
  </si>
  <si>
    <t xml:space="preserve">← đổi năm ở ô vàng này, cả bảng tự cập nhật</t>
  </si>
  <si>
    <t xml:space="preserve">THÁNG</t>
  </si>
  <si>
    <t xml:space="preserve">TỔNG CẢ NĂM</t>
  </si>
  <si>
    <t xml:space="preserve">Ghi chú: đơn chưa nhập NGÀY ĐẶT sẽ không được tính vào bất kỳ tháng nào – xem cột CẢNH BÁO ở sheet NHẬP ĐƠN HÀNG để bổ sung.</t>
  </si>
  <si>
    <t xml:space="preserve">BÁO CÁO LÃI – LỖ (TỰ ĐỘNG)</t>
  </si>
  <si>
    <t xml:space="preserve">Lãi = TIỀN HÀNG − TỔNG VỐN. Giá vốn lấy từ BẢNG GIÁ GỐC, doanh thu lấy từ NHẬP ĐƠN HÀNG.</t>
  </si>
  <si>
    <t xml:space="preserve">A. TỔNG QUAN TOÀN BỘ</t>
  </si>
  <si>
    <t xml:space="preserve">TỔNG TIỀN HÀNG (doanh thu chưa VAT)</t>
  </si>
  <si>
    <t xml:space="preserve">TỔNG VỐN (giá gốc)</t>
  </si>
  <si>
    <t xml:space="preserve">TỔNG TIỀN VAT</t>
  </si>
  <si>
    <t xml:space="preserve">TỔNG PHẢI THU (gồm VAT)</t>
  </si>
  <si>
    <t xml:space="preserve">KHÁCH ĐÃ THANH TOÁN</t>
  </si>
  <si>
    <t xml:space="preserve">KHÁCH CÒN NỢ</t>
  </si>
  <si>
    <t xml:space="preserve">SỐ ĐƠN ĐANG LỖ</t>
  </si>
  <si>
    <t xml:space="preserve">B. LÃI – LỖ THEO THÁNG (theo năm đang chọn ở sheet BÁO CÁO DOANH THU)</t>
  </si>
  <si>
    <t xml:space="preserve">C. LÃI – LỖ THEO TỪNG SẢN PHẨM (toàn bộ dữ liệu đã nhập)</t>
  </si>
  <si>
    <t xml:space="preserve">SỐ LƯỢNG ĐÃ BÁN</t>
  </si>
  <si>
    <t xml:space="preserve">DANH SÁCH KHÁCH HÀNG (TỰ ĐỘNG GOM TỪ SHEET NHẬP ĐƠN HÀNG)</t>
  </si>
  <si>
    <t xml:space="preserve">Không nhập gì ở đây. Cứ nhập đơn là khách tự xuất hiện kèm tổng mua, đã trả, còn nợ và lãi.</t>
  </si>
  <si>
    <t xml:space="preserve">CÔNG TY</t>
  </si>
  <si>
    <t xml:space="preserve">MÃ SỐ THUẾ</t>
  </si>
  <si>
    <t xml:space="preserve">TỔNG TIỀN HÀNG (đ)</t>
  </si>
  <si>
    <t xml:space="preserve">LÃI TỪ KHÁCH (đ)</t>
  </si>
  <si>
    <t xml:space="preserve">LẦN MUA GẦN NHẤT</t>
  </si>
  <si>
    <t xml:space="preserve">PHÂN LOẠI VAT</t>
  </si>
  <si>
    <t xml:space="preserve">CÔNG NỢ – CÁC ĐƠN KHÁCH CÒN NỢ TIỀN (TỰ ĐỘNG)</t>
  </si>
  <si>
    <t xml:space="preserve">Chỉ hiện những đơn có CÒN NỢ &gt; 0. Khi nhập đủ tiền vào cột ĐÃ THANH TOÁN, đơn tự biến mất khỏi đây.</t>
  </si>
  <si>
    <t xml:space="preserve">TỔNG CÒN NỢ (đ):</t>
  </si>
  <si>
    <t xml:space="preserve">SỐ ĐƠN CÒN NỢ:</t>
  </si>
  <si>
    <t xml:space="preserve">SỐ NGÀY KỂ TỪ NGÀY ĐẶT</t>
  </si>
  <si>
    <t xml:space="preserve">KHÁCH LẤY VAT (TỰ ĐỘNG)</t>
  </si>
  <si>
    <t xml:space="preserve">Chỉ hiện những đơn có chọn VAT ở sheet NHẬP ĐƠN HÀNG. Dùng để đối chiếu khi xuất hóa đơn.</t>
  </si>
  <si>
    <t xml:space="preserve">TỔNG TIỀN HÀNG CHƯA VAT (đ):</t>
  </si>
  <si>
    <t xml:space="preserve">TỔNG TIỀN VAT (đ):</t>
  </si>
  <si>
    <t xml:space="preserve">TỔNG SAU VAT (đ):</t>
  </si>
  <si>
    <t xml:space="preserve">TIỀN HÀNG CHƯA VAT (đ)</t>
  </si>
  <si>
    <t xml:space="preserve">TỔNG SAU VAT (đ)</t>
  </si>
  <si>
    <t xml:space="preserve">KHÁCH KHÔNG LẤY VAT (TỰ ĐỘNG)</t>
  </si>
  <si>
    <t xml:space="preserve">Chỉ hiện những đơn không có VAT. Cập nhật ngay khi nhập đơn ở sheet NHẬP ĐƠN HÀNG.</t>
  </si>
  <si>
    <t xml:space="preserve">TỔNG TIỀN HÀNG (đ):</t>
  </si>
  <si>
    <t xml:space="preserve">ĐÃ THU (đ):</t>
  </si>
  <si>
    <t xml:space="preserve">CÒN NỢ (đ):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</si>
</sst>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[RED]\-#,##0;\-"/>
    <numFmt numFmtId="166" formatCode="0.0%;[RED]\-0.0%;\-"/>
    <numFmt numFmtId="167" formatCode="General"/>
    <numFmt numFmtId="168" formatCode="dd/mm/yyyy"/>
    <numFmt numFmtId="169" formatCode="@"/>
    <numFmt numFmtId="170" formatCode="0"/>
    <numFmt numFmtId="171" formatCode="mm/yyyy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833C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b val="true"/>
      <sz val="9"/>
      <color rgb="FF1F3864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b val="true"/>
      <sz val="13"/>
      <color rgb="FFC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2"/>
      <color rgb="FFC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BF8F00"/>
        <bgColor rgb="FF808000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2F2F2"/>
      </patternFill>
    </fill>
    <fill>
      <patternFill patternType="solid">
        <fgColor rgb="FFC55A11"/>
        <bgColor rgb="FFBF8F00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1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5" fillId="2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8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BF8F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ont>
        <name val="Arial"/>
        <charset val="1"/>
        <family val="0"/>
        <b val="1"/>
        <color rgb="FFC00000"/>
        <sz val="10"/>
      </font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b val="1"/>
        <color rgb="FFC00000"/>
        <sz val="10"/>
      </font>
      <fill>
        <patternFill>
          <bgColor rgb="FFFFC7CE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CE4D6"/>
        </patternFill>
      </fill>
    </dxf>
    <dxf>
      <font>
        <name val="Arial"/>
        <charset val="1"/>
        <family val="0"/>
        <b val="1"/>
        <color rgb="FF006100"/>
        <sz val="1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FC7CE"/>
      <rgbColor rgb="FF2E75B6"/>
      <rgbColor rgb="FF33CCCC"/>
      <rgbColor rgb="FF99CC00"/>
      <rgbColor rgb="FFFFC000"/>
      <rgbColor rgb="FFBF8F00"/>
      <rgbColor rgb="FFC55A11"/>
      <rgbColor rgb="FF66669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7.5" hidden="false" customHeight="true" outlineLevel="0" collapsed="false"/>
    <row r="5" customFormat="false" ht="21.75" hidden="false" customHeight="true" outlineLevel="0" collapsed="false">
      <c r="A5" s="3" t="s">
        <v>2</v>
      </c>
      <c r="B5" s="3"/>
      <c r="C5" s="3"/>
      <c r="D5" s="3"/>
      <c r="E5" s="3"/>
      <c r="F5" s="3"/>
    </row>
    <row r="6" customFormat="false" ht="30" hidden="false" customHeight="true" outlineLevel="0" collapsed="false">
      <c r="A6" s="4" t="s">
        <v>3</v>
      </c>
      <c r="B6" s="5" t="s">
        <v>4</v>
      </c>
      <c r="C6" s="5"/>
      <c r="D6" s="5"/>
      <c r="E6" s="5"/>
      <c r="F6" s="5"/>
    </row>
    <row r="7" customFormat="false" ht="30" hidden="false" customHeight="true" outlineLevel="0" collapsed="false">
      <c r="A7" s="4" t="s">
        <v>5</v>
      </c>
      <c r="B7" s="5" t="s">
        <v>6</v>
      </c>
      <c r="C7" s="5"/>
      <c r="D7" s="5"/>
      <c r="E7" s="5"/>
      <c r="F7" s="5"/>
    </row>
    <row r="8" customFormat="false" ht="7.5" hidden="false" customHeight="true" outlineLevel="0" collapsed="false"/>
    <row r="9" customFormat="false" ht="21.75" hidden="false" customHeight="true" outlineLevel="0" collapsed="false">
      <c r="A9" s="3" t="s">
        <v>7</v>
      </c>
      <c r="B9" s="3"/>
      <c r="C9" s="3"/>
      <c r="D9" s="3"/>
      <c r="E9" s="3"/>
      <c r="F9" s="3"/>
    </row>
    <row r="10" customFormat="false" ht="30" hidden="false" customHeight="true" outlineLevel="0" collapsed="false">
      <c r="A10" s="4" t="s">
        <v>8</v>
      </c>
      <c r="B10" s="5" t="s">
        <v>9</v>
      </c>
      <c r="C10" s="5"/>
      <c r="D10" s="5"/>
      <c r="E10" s="5"/>
      <c r="F10" s="5"/>
    </row>
    <row r="11" customFormat="false" ht="30" hidden="false" customHeight="true" outlineLevel="0" collapsed="false">
      <c r="A11" s="4" t="s">
        <v>10</v>
      </c>
      <c r="B11" s="5" t="s">
        <v>11</v>
      </c>
      <c r="C11" s="5"/>
      <c r="D11" s="5"/>
      <c r="E11" s="5"/>
      <c r="F11" s="5"/>
    </row>
    <row r="12" customFormat="false" ht="30" hidden="false" customHeight="true" outlineLevel="0" collapsed="false">
      <c r="A12" s="4" t="s">
        <v>12</v>
      </c>
      <c r="B12" s="5" t="s">
        <v>13</v>
      </c>
      <c r="C12" s="5"/>
      <c r="D12" s="5"/>
      <c r="E12" s="5"/>
      <c r="F12" s="5"/>
    </row>
    <row r="13" customFormat="false" ht="30" hidden="false" customHeight="true" outlineLevel="0" collapsed="false">
      <c r="A13" s="4" t="s">
        <v>14</v>
      </c>
      <c r="B13" s="5" t="s">
        <v>15</v>
      </c>
      <c r="C13" s="5"/>
      <c r="D13" s="5"/>
      <c r="E13" s="5"/>
      <c r="F13" s="5"/>
    </row>
    <row r="14" customFormat="false" ht="30" hidden="false" customHeight="true" outlineLevel="0" collapsed="false">
      <c r="A14" s="4" t="s">
        <v>16</v>
      </c>
      <c r="B14" s="5" t="s">
        <v>17</v>
      </c>
      <c r="C14" s="5"/>
      <c r="D14" s="5"/>
      <c r="E14" s="5"/>
      <c r="F14" s="5"/>
    </row>
    <row r="15" customFormat="false" ht="30" hidden="false" customHeight="true" outlineLevel="0" collapsed="false">
      <c r="A15" s="4" t="s">
        <v>18</v>
      </c>
      <c r="B15" s="5" t="s">
        <v>19</v>
      </c>
      <c r="C15" s="5"/>
      <c r="D15" s="5"/>
      <c r="E15" s="5"/>
      <c r="F15" s="5"/>
    </row>
    <row r="16" customFormat="false" ht="7.5" hidden="false" customHeight="true" outlineLevel="0" collapsed="false"/>
    <row r="17" customFormat="false" ht="21.75" hidden="false" customHeight="true" outlineLevel="0" collapsed="false">
      <c r="A17" s="3" t="s">
        <v>20</v>
      </c>
      <c r="B17" s="3"/>
      <c r="C17" s="3"/>
      <c r="D17" s="3"/>
      <c r="E17" s="3"/>
      <c r="F17" s="3"/>
    </row>
    <row r="18" customFormat="false" ht="30" hidden="false" customHeight="true" outlineLevel="0" collapsed="false">
      <c r="A18" s="4" t="s">
        <v>21</v>
      </c>
      <c r="B18" s="5" t="s">
        <v>22</v>
      </c>
      <c r="C18" s="5"/>
      <c r="D18" s="5"/>
      <c r="E18" s="5"/>
      <c r="F18" s="5"/>
    </row>
    <row r="19" customFormat="false" ht="30" hidden="false" customHeight="true" outlineLevel="0" collapsed="false">
      <c r="A19" s="4" t="s">
        <v>23</v>
      </c>
      <c r="B19" s="5" t="s">
        <v>24</v>
      </c>
      <c r="C19" s="5"/>
      <c r="D19" s="5"/>
      <c r="E19" s="5"/>
      <c r="F19" s="5"/>
    </row>
    <row r="20" customFormat="false" ht="30" hidden="false" customHeight="true" outlineLevel="0" collapsed="false">
      <c r="A20" s="4" t="s">
        <v>25</v>
      </c>
      <c r="B20" s="5" t="s">
        <v>26</v>
      </c>
      <c r="C20" s="5"/>
      <c r="D20" s="5"/>
      <c r="E20" s="5"/>
      <c r="F20" s="5"/>
    </row>
    <row r="21" customFormat="false" ht="7.5" hidden="false" customHeight="true" outlineLevel="0" collapsed="false"/>
    <row r="22" customFormat="false" ht="21.75" hidden="false" customHeight="true" outlineLevel="0" collapsed="false">
      <c r="A22" s="3" t="s">
        <v>27</v>
      </c>
      <c r="B22" s="3"/>
      <c r="C22" s="3"/>
      <c r="D22" s="3"/>
      <c r="E22" s="3"/>
      <c r="F22" s="3"/>
    </row>
    <row r="23" customFormat="false" ht="30" hidden="false" customHeight="true" outlineLevel="0" collapsed="false">
      <c r="A23" s="4" t="s">
        <v>28</v>
      </c>
      <c r="B23" s="5" t="s">
        <v>29</v>
      </c>
      <c r="C23" s="5"/>
      <c r="D23" s="5"/>
      <c r="E23" s="5"/>
      <c r="F23" s="5"/>
    </row>
    <row r="24" customFormat="false" ht="30" hidden="false" customHeight="true" outlineLevel="0" collapsed="false">
      <c r="A24" s="4" t="s">
        <v>30</v>
      </c>
      <c r="B24" s="5" t="s">
        <v>31</v>
      </c>
      <c r="C24" s="5"/>
      <c r="D24" s="5"/>
      <c r="E24" s="5"/>
      <c r="F24" s="5"/>
    </row>
    <row r="25" customFormat="false" ht="30" hidden="false" customHeight="true" outlineLevel="0" collapsed="false">
      <c r="A25" s="4" t="s">
        <v>32</v>
      </c>
      <c r="B25" s="5" t="s">
        <v>33</v>
      </c>
      <c r="C25" s="5"/>
      <c r="D25" s="5"/>
      <c r="E25" s="5"/>
      <c r="F25" s="5"/>
    </row>
    <row r="26" customFormat="false" ht="30" hidden="false" customHeight="true" outlineLevel="0" collapsed="false">
      <c r="A26" s="4" t="s">
        <v>34</v>
      </c>
      <c r="B26" s="5" t="s">
        <v>35</v>
      </c>
      <c r="C26" s="5"/>
      <c r="D26" s="5"/>
      <c r="E26" s="5"/>
      <c r="F26" s="5"/>
    </row>
    <row r="27" customFormat="false" ht="30" hidden="false" customHeight="true" outlineLevel="0" collapsed="false">
      <c r="A27" s="4" t="s">
        <v>36</v>
      </c>
      <c r="B27" s="5" t="s">
        <v>37</v>
      </c>
      <c r="C27" s="5"/>
      <c r="D27" s="5"/>
      <c r="E27" s="5"/>
      <c r="F27" s="5"/>
    </row>
    <row r="28" customFormat="false" ht="30" hidden="false" customHeight="true" outlineLevel="0" collapsed="false">
      <c r="A28" s="4" t="s">
        <v>38</v>
      </c>
      <c r="B28" s="5" t="s">
        <v>39</v>
      </c>
      <c r="C28" s="5"/>
      <c r="D28" s="5"/>
      <c r="E28" s="5"/>
      <c r="F28" s="5"/>
    </row>
    <row r="29" customFormat="false" ht="30" hidden="false" customHeight="true" outlineLevel="0" collapsed="false">
      <c r="A29" s="4" t="s">
        <v>40</v>
      </c>
      <c r="B29" s="5" t="s">
        <v>41</v>
      </c>
      <c r="C29" s="5"/>
      <c r="D29" s="5"/>
      <c r="E29" s="5"/>
      <c r="F29" s="5"/>
    </row>
    <row r="30" customFormat="false" ht="7.5" hidden="false" customHeight="true" outlineLevel="0" collapsed="false"/>
    <row r="31" customFormat="false" ht="21.75" hidden="false" customHeight="true" outlineLevel="0" collapsed="false">
      <c r="A31" s="3" t="s">
        <v>42</v>
      </c>
      <c r="B31" s="3"/>
      <c r="C31" s="3"/>
      <c r="D31" s="3"/>
      <c r="E31" s="3"/>
      <c r="F31" s="3"/>
    </row>
    <row r="32" customFormat="false" ht="30" hidden="false" customHeight="true" outlineLevel="0" collapsed="false">
      <c r="A32" s="4" t="s">
        <v>43</v>
      </c>
      <c r="B32" s="5" t="s">
        <v>44</v>
      </c>
      <c r="C32" s="5"/>
      <c r="D32" s="5"/>
      <c r="E32" s="5"/>
      <c r="F32" s="5"/>
    </row>
    <row r="33" customFormat="false" ht="30" hidden="false" customHeight="true" outlineLevel="0" collapsed="false">
      <c r="A33" s="4" t="s">
        <v>45</v>
      </c>
      <c r="B33" s="5" t="s">
        <v>46</v>
      </c>
      <c r="C33" s="5"/>
      <c r="D33" s="5"/>
      <c r="E33" s="5"/>
      <c r="F33" s="5"/>
    </row>
    <row r="34" customFormat="false" ht="30" hidden="false" customHeight="true" outlineLevel="0" collapsed="false">
      <c r="A34" s="4" t="s">
        <v>47</v>
      </c>
      <c r="B34" s="5" t="s">
        <v>48</v>
      </c>
      <c r="C34" s="5"/>
      <c r="D34" s="5"/>
      <c r="E34" s="5"/>
      <c r="F34" s="5"/>
    </row>
    <row r="35" customFormat="false" ht="30" hidden="false" customHeight="true" outlineLevel="0" collapsed="false">
      <c r="A35" s="4" t="s">
        <v>49</v>
      </c>
      <c r="B35" s="5" t="s">
        <v>50</v>
      </c>
      <c r="C35" s="5"/>
      <c r="D35" s="5"/>
      <c r="E35" s="5"/>
      <c r="F35" s="5"/>
    </row>
    <row r="36" customFormat="false" ht="30" hidden="false" customHeight="true" outlineLevel="0" collapsed="false">
      <c r="A36" s="4" t="s">
        <v>51</v>
      </c>
      <c r="B36" s="5" t="s">
        <v>52</v>
      </c>
      <c r="C36" s="5"/>
      <c r="D36" s="5"/>
      <c r="E36" s="5"/>
      <c r="F36" s="5"/>
    </row>
  </sheetData>
  <mergeCells count="30">
    <mergeCell ref="A1:F1"/>
    <mergeCell ref="A2:F2"/>
    <mergeCell ref="A5:F5"/>
    <mergeCell ref="B6:F6"/>
    <mergeCell ref="B7:F7"/>
    <mergeCell ref="A9:F9"/>
    <mergeCell ref="B10:F10"/>
    <mergeCell ref="B11:F11"/>
    <mergeCell ref="B12:F12"/>
    <mergeCell ref="B13:F13"/>
    <mergeCell ref="B14:F14"/>
    <mergeCell ref="B15:F15"/>
    <mergeCell ref="A17:F17"/>
    <mergeCell ref="B18:F18"/>
    <mergeCell ref="B19:F19"/>
    <mergeCell ref="B20:F20"/>
    <mergeCell ref="A22:F22"/>
    <mergeCell ref="B23:F23"/>
    <mergeCell ref="B24:F24"/>
    <mergeCell ref="B25:F25"/>
    <mergeCell ref="B26:F26"/>
    <mergeCell ref="B27:F27"/>
    <mergeCell ref="B28:F28"/>
    <mergeCell ref="B29:F29"/>
    <mergeCell ref="A31:F31"/>
    <mergeCell ref="B32:F32"/>
    <mergeCell ref="B33:F33"/>
    <mergeCell ref="B34:F34"/>
    <mergeCell ref="B35:F35"/>
    <mergeCell ref="B36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G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30"/>
  </cols>
  <sheetData>
    <row r="1" customFormat="false" ht="30" hidden="false" customHeight="true" outlineLevel="0" collapsed="false">
      <c r="A1" s="1" t="s">
        <v>53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54</v>
      </c>
      <c r="B2" s="2"/>
      <c r="C2" s="2"/>
      <c r="D2" s="2"/>
      <c r="E2" s="2"/>
      <c r="F2" s="2"/>
      <c r="G2" s="2"/>
    </row>
    <row r="4" customFormat="false" ht="33.75" hidden="false" customHeight="true" outlineLevel="0" collapsed="false">
      <c r="A4" s="6" t="s">
        <v>55</v>
      </c>
      <c r="B4" s="6" t="s">
        <v>56</v>
      </c>
      <c r="C4" s="6" t="s">
        <v>57</v>
      </c>
      <c r="D4" s="6" t="s">
        <v>58</v>
      </c>
      <c r="E4" s="7" t="s">
        <v>59</v>
      </c>
      <c r="F4" s="7" t="s">
        <v>60</v>
      </c>
      <c r="G4" s="6" t="s">
        <v>61</v>
      </c>
    </row>
    <row r="5" customFormat="false" ht="15" hidden="false" customHeight="false" outlineLevel="0" collapsed="false">
      <c r="A5" s="8" t="s">
        <v>62</v>
      </c>
      <c r="B5" s="8" t="s">
        <v>63</v>
      </c>
      <c r="C5" s="9" t="n">
        <v>35000</v>
      </c>
      <c r="D5" s="9" t="n">
        <v>50000</v>
      </c>
      <c r="E5" s="10" t="n">
        <f aca="false">IF($A5="","",N($D5)-N($C5))</f>
        <v>15000</v>
      </c>
      <c r="F5" s="11" t="n">
        <f aca="false">IF(OR($A5="",N($D5)=0),"",($D5-$C5)/$D5)</f>
        <v>0.3</v>
      </c>
      <c r="G5" s="8"/>
    </row>
    <row r="6" customFormat="false" ht="15" hidden="false" customHeight="false" outlineLevel="0" collapsed="false">
      <c r="A6" s="8" t="s">
        <v>64</v>
      </c>
      <c r="B6" s="8" t="s">
        <v>65</v>
      </c>
      <c r="C6" s="9" t="n">
        <v>35000</v>
      </c>
      <c r="D6" s="9" t="n">
        <v>50000</v>
      </c>
      <c r="E6" s="10" t="n">
        <f aca="false">IF($A6="","",N($D6)-N($C6))</f>
        <v>15000</v>
      </c>
      <c r="F6" s="11" t="n">
        <f aca="false">IF(OR($A6="",N($D6)=0),"",($D6-$C6)/$D6)</f>
        <v>0.3</v>
      </c>
      <c r="G6" s="8"/>
    </row>
    <row r="7" customFormat="false" ht="15" hidden="false" customHeight="false" outlineLevel="0" collapsed="false">
      <c r="A7" s="8" t="s">
        <v>66</v>
      </c>
      <c r="B7" s="8" t="s">
        <v>67</v>
      </c>
      <c r="C7" s="9" t="n">
        <v>35000</v>
      </c>
      <c r="D7" s="9" t="n">
        <v>50000</v>
      </c>
      <c r="E7" s="10" t="n">
        <f aca="false">IF($A7="","",N($D7)-N($C7))</f>
        <v>15000</v>
      </c>
      <c r="F7" s="11" t="n">
        <f aca="false">IF(OR($A7="",N($D7)=0),"",($D7-$C7)/$D7)</f>
        <v>0.3</v>
      </c>
      <c r="G7" s="8"/>
    </row>
    <row r="8" customFormat="false" ht="15" hidden="false" customHeight="false" outlineLevel="0" collapsed="false">
      <c r="A8" s="8" t="s">
        <v>68</v>
      </c>
      <c r="B8" s="8" t="s">
        <v>63</v>
      </c>
      <c r="C8" s="9" t="n">
        <v>35000</v>
      </c>
      <c r="D8" s="9" t="n">
        <v>45000</v>
      </c>
      <c r="E8" s="10" t="n">
        <f aca="false">IF($A8="","",N($D8)-N($C8))</f>
        <v>10000</v>
      </c>
      <c r="F8" s="11" t="n">
        <f aca="false">IF(OR($A8="",N($D8)=0),"",($D8-$C8)/$D8)</f>
        <v>0.222222222222222</v>
      </c>
      <c r="G8" s="8"/>
    </row>
    <row r="9" customFormat="false" ht="15" hidden="false" customHeight="false" outlineLevel="0" collapsed="false">
      <c r="A9" s="8" t="s">
        <v>69</v>
      </c>
      <c r="B9" s="8" t="s">
        <v>67</v>
      </c>
      <c r="C9" s="9" t="n">
        <v>35000</v>
      </c>
      <c r="D9" s="9" t="n">
        <v>45000</v>
      </c>
      <c r="E9" s="10" t="n">
        <f aca="false">IF($A9="","",N($D9)-N($C9))</f>
        <v>10000</v>
      </c>
      <c r="F9" s="11" t="n">
        <f aca="false">IF(OR($A9="",N($D9)=0),"",($D9-$C9)/$D9)</f>
        <v>0.222222222222222</v>
      </c>
      <c r="G9" s="8"/>
    </row>
    <row r="10" customFormat="false" ht="15" hidden="false" customHeight="false" outlineLevel="0" collapsed="false">
      <c r="A10" s="8" t="s">
        <v>70</v>
      </c>
      <c r="B10" s="8" t="s">
        <v>71</v>
      </c>
      <c r="C10" s="9" t="n">
        <v>35000</v>
      </c>
      <c r="D10" s="9" t="n">
        <v>50000</v>
      </c>
      <c r="E10" s="10" t="n">
        <f aca="false">IF($A10="","",N($D10)-N($C10))</f>
        <v>15000</v>
      </c>
      <c r="F10" s="11" t="n">
        <f aca="false">IF(OR($A10="",N($D10)=0),"",($D10-$C10)/$D10)</f>
        <v>0.3</v>
      </c>
      <c r="G10" s="8"/>
    </row>
    <row r="11" customFormat="false" ht="15" hidden="false" customHeight="false" outlineLevel="0" collapsed="false">
      <c r="A11" s="8" t="s">
        <v>72</v>
      </c>
      <c r="B11" s="8" t="s">
        <v>71</v>
      </c>
      <c r="C11" s="9" t="n">
        <v>40000</v>
      </c>
      <c r="D11" s="9" t="n">
        <v>55000</v>
      </c>
      <c r="E11" s="10" t="n">
        <f aca="false">IF($A11="","",N($D11)-N($C11))</f>
        <v>15000</v>
      </c>
      <c r="F11" s="11" t="n">
        <f aca="false">IF(OR($A11="",N($D11)=0),"",($D11-$C11)/$D11)</f>
        <v>0.272727272727273</v>
      </c>
      <c r="G11" s="8"/>
    </row>
    <row r="12" customFormat="false" ht="15" hidden="false" customHeight="false" outlineLevel="0" collapsed="false">
      <c r="A12" s="8" t="s">
        <v>73</v>
      </c>
      <c r="B12" s="8" t="s">
        <v>65</v>
      </c>
      <c r="C12" s="9" t="n">
        <v>42000</v>
      </c>
      <c r="D12" s="9" t="n">
        <v>52000</v>
      </c>
      <c r="E12" s="10" t="n">
        <f aca="false">IF($A12="","",N($D12)-N($C12))</f>
        <v>10000</v>
      </c>
      <c r="F12" s="11" t="n">
        <f aca="false">IF(OR($A12="",N($D12)=0),"",($D12-$C12)/$D12)</f>
        <v>0.192307692307692</v>
      </c>
      <c r="G12" s="8"/>
    </row>
    <row r="13" customFormat="false" ht="15" hidden="false" customHeight="false" outlineLevel="0" collapsed="false">
      <c r="A13" s="8" t="s">
        <v>74</v>
      </c>
      <c r="B13" s="8" t="s">
        <v>75</v>
      </c>
      <c r="C13" s="9" t="n">
        <v>42000</v>
      </c>
      <c r="D13" s="9" t="n">
        <v>55000</v>
      </c>
      <c r="E13" s="10" t="n">
        <f aca="false">IF($A13="","",N($D13)-N($C13))</f>
        <v>13000</v>
      </c>
      <c r="F13" s="11" t="n">
        <f aca="false">IF(OR($A13="",N($D13)=0),"",($D13-$C13)/$D13)</f>
        <v>0.236363636363636</v>
      </c>
      <c r="G13" s="8"/>
    </row>
    <row r="14" customFormat="false" ht="15" hidden="false" customHeight="false" outlineLevel="0" collapsed="false">
      <c r="A14" s="8" t="s">
        <v>76</v>
      </c>
      <c r="B14" s="8" t="s">
        <v>65</v>
      </c>
      <c r="C14" s="9" t="n">
        <v>50000</v>
      </c>
      <c r="D14" s="9" t="n">
        <v>65000</v>
      </c>
      <c r="E14" s="10" t="n">
        <f aca="false">IF($A14="","",N($D14)-N($C14))</f>
        <v>15000</v>
      </c>
      <c r="F14" s="11" t="n">
        <f aca="false">IF(OR($A14="",N($D14)=0),"",($D14-$C14)/$D14)</f>
        <v>0.230769230769231</v>
      </c>
      <c r="G14" s="8"/>
    </row>
    <row r="15" customFormat="false" ht="15" hidden="false" customHeight="false" outlineLevel="0" collapsed="false">
      <c r="A15" s="8" t="s">
        <v>77</v>
      </c>
      <c r="B15" s="8" t="s">
        <v>65</v>
      </c>
      <c r="C15" s="9" t="n">
        <v>36000</v>
      </c>
      <c r="D15" s="9" t="n">
        <v>48000</v>
      </c>
      <c r="E15" s="10" t="n">
        <f aca="false">IF($A15="","",N($D15)-N($C15))</f>
        <v>12000</v>
      </c>
      <c r="F15" s="11" t="n">
        <f aca="false">IF(OR($A15="",N($D15)=0),"",($D15-$C15)/$D15)</f>
        <v>0.25</v>
      </c>
      <c r="G15" s="8"/>
    </row>
    <row r="16" customFormat="false" ht="15" hidden="false" customHeight="false" outlineLevel="0" collapsed="false">
      <c r="A16" s="8" t="s">
        <v>78</v>
      </c>
      <c r="B16" s="8" t="s">
        <v>67</v>
      </c>
      <c r="C16" s="9" t="n">
        <v>36000</v>
      </c>
      <c r="D16" s="9" t="n">
        <v>48000</v>
      </c>
      <c r="E16" s="10" t="n">
        <f aca="false">IF($A16="","",N($D16)-N($C16))</f>
        <v>12000</v>
      </c>
      <c r="F16" s="11" t="n">
        <f aca="false">IF(OR($A16="",N($D16)=0),"",($D16-$C16)/$D16)</f>
        <v>0.25</v>
      </c>
      <c r="G16" s="8"/>
    </row>
    <row r="17" customFormat="false" ht="15" hidden="false" customHeight="false" outlineLevel="0" collapsed="false">
      <c r="A17" s="8" t="s">
        <v>79</v>
      </c>
      <c r="B17" s="8" t="s">
        <v>80</v>
      </c>
      <c r="C17" s="9" t="n">
        <v>36000</v>
      </c>
      <c r="D17" s="9" t="n">
        <v>48000</v>
      </c>
      <c r="E17" s="10" t="n">
        <f aca="false">IF($A17="","",N($D17)-N($C17))</f>
        <v>12000</v>
      </c>
      <c r="F17" s="11" t="n">
        <f aca="false">IF(OR($A17="",N($D17)=0),"",($D17-$C17)/$D17)</f>
        <v>0.25</v>
      </c>
      <c r="G17" s="8"/>
    </row>
    <row r="18" customFormat="false" ht="15" hidden="false" customHeight="false" outlineLevel="0" collapsed="false">
      <c r="A18" s="8" t="s">
        <v>81</v>
      </c>
      <c r="B18" s="8" t="s">
        <v>65</v>
      </c>
      <c r="C18" s="9" t="n">
        <v>45000</v>
      </c>
      <c r="D18" s="9" t="n">
        <v>58000</v>
      </c>
      <c r="E18" s="10" t="n">
        <f aca="false">IF($A18="","",N($D18)-N($C18))</f>
        <v>13000</v>
      </c>
      <c r="F18" s="11" t="n">
        <f aca="false">IF(OR($A18="",N($D18)=0),"",($D18-$C18)/$D18)</f>
        <v>0.224137931034483</v>
      </c>
      <c r="G18" s="8"/>
    </row>
    <row r="19" customFormat="false" ht="15" hidden="false" customHeight="false" outlineLevel="0" collapsed="false">
      <c r="A19" s="8"/>
      <c r="B19" s="8"/>
      <c r="C19" s="9"/>
      <c r="D19" s="9"/>
      <c r="E19" s="10" t="str">
        <f aca="false">IF($A19="","",N($D19)-N($C19))</f>
        <v/>
      </c>
      <c r="F19" s="11" t="str">
        <f aca="false">IF(OR($A19="",N($D19)=0),"",($D19-$C19)/$D19)</f>
        <v/>
      </c>
      <c r="G19" s="8"/>
    </row>
    <row r="20" customFormat="false" ht="15" hidden="false" customHeight="false" outlineLevel="0" collapsed="false">
      <c r="A20" s="8"/>
      <c r="B20" s="8"/>
      <c r="C20" s="9"/>
      <c r="D20" s="9"/>
      <c r="E20" s="10" t="str">
        <f aca="false">IF($A20="","",N($D20)-N($C20))</f>
        <v/>
      </c>
      <c r="F20" s="11" t="str">
        <f aca="false">IF(OR($A20="",N($D20)=0),"",($D20-$C20)/$D20)</f>
        <v/>
      </c>
      <c r="G20" s="8"/>
    </row>
    <row r="21" customFormat="false" ht="15" hidden="false" customHeight="false" outlineLevel="0" collapsed="false">
      <c r="A21" s="8"/>
      <c r="B21" s="8"/>
      <c r="C21" s="9"/>
      <c r="D21" s="9"/>
      <c r="E21" s="10" t="str">
        <f aca="false">IF($A21="","",N($D21)-N($C21))</f>
        <v/>
      </c>
      <c r="F21" s="11" t="str">
        <f aca="false">IF(OR($A21="",N($D21)=0),"",($D21-$C21)/$D21)</f>
        <v/>
      </c>
      <c r="G21" s="8"/>
    </row>
    <row r="22" customFormat="false" ht="15" hidden="false" customHeight="false" outlineLevel="0" collapsed="false">
      <c r="A22" s="8"/>
      <c r="B22" s="8"/>
      <c r="C22" s="9"/>
      <c r="D22" s="9"/>
      <c r="E22" s="10" t="str">
        <f aca="false">IF($A22="","",N($D22)-N($C22))</f>
        <v/>
      </c>
      <c r="F22" s="11" t="str">
        <f aca="false">IF(OR($A22="",N($D22)=0),"",($D22-$C22)/$D22)</f>
        <v/>
      </c>
      <c r="G22" s="8"/>
    </row>
    <row r="23" customFormat="false" ht="15" hidden="false" customHeight="false" outlineLevel="0" collapsed="false">
      <c r="A23" s="8"/>
      <c r="B23" s="8"/>
      <c r="C23" s="9"/>
      <c r="D23" s="9"/>
      <c r="E23" s="10" t="str">
        <f aca="false">IF($A23="","",N($D23)-N($C23))</f>
        <v/>
      </c>
      <c r="F23" s="11" t="str">
        <f aca="false">IF(OR($A23="",N($D23)=0),"",($D23-$C23)/$D23)</f>
        <v/>
      </c>
      <c r="G23" s="8"/>
    </row>
    <row r="24" customFormat="false" ht="15" hidden="false" customHeight="false" outlineLevel="0" collapsed="false">
      <c r="A24" s="8"/>
      <c r="B24" s="8"/>
      <c r="C24" s="9"/>
      <c r="D24" s="9"/>
      <c r="E24" s="10" t="str">
        <f aca="false">IF($A24="","",N($D24)-N($C24))</f>
        <v/>
      </c>
      <c r="F24" s="11" t="str">
        <f aca="false">IF(OR($A24="",N($D24)=0),"",($D24-$C24)/$D24)</f>
        <v/>
      </c>
      <c r="G24" s="8"/>
    </row>
    <row r="25" customFormat="false" ht="15" hidden="false" customHeight="false" outlineLevel="0" collapsed="false">
      <c r="A25" s="8"/>
      <c r="B25" s="8"/>
      <c r="C25" s="9"/>
      <c r="D25" s="9"/>
      <c r="E25" s="10" t="str">
        <f aca="false">IF($A25="","",N($D25)-N($C25))</f>
        <v/>
      </c>
      <c r="F25" s="11" t="str">
        <f aca="false">IF(OR($A25="",N($D25)=0),"",($D25-$C25)/$D25)</f>
        <v/>
      </c>
      <c r="G25" s="8"/>
    </row>
    <row r="26" customFormat="false" ht="15" hidden="false" customHeight="false" outlineLevel="0" collapsed="false">
      <c r="A26" s="8"/>
      <c r="B26" s="8"/>
      <c r="C26" s="9"/>
      <c r="D26" s="9"/>
      <c r="E26" s="10" t="str">
        <f aca="false">IF($A26="","",N($D26)-N($C26))</f>
        <v/>
      </c>
      <c r="F26" s="11" t="str">
        <f aca="false">IF(OR($A26="",N($D26)=0),"",($D26-$C26)/$D26)</f>
        <v/>
      </c>
      <c r="G26" s="8"/>
    </row>
    <row r="27" customFormat="false" ht="15" hidden="false" customHeight="false" outlineLevel="0" collapsed="false">
      <c r="A27" s="8"/>
      <c r="B27" s="8"/>
      <c r="C27" s="9"/>
      <c r="D27" s="9"/>
      <c r="E27" s="10" t="str">
        <f aca="false">IF($A27="","",N($D27)-N($C27))</f>
        <v/>
      </c>
      <c r="F27" s="11" t="str">
        <f aca="false">IF(OR($A27="",N($D27)=0),"",($D27-$C27)/$D27)</f>
        <v/>
      </c>
      <c r="G27" s="8"/>
    </row>
    <row r="28" customFormat="false" ht="15" hidden="false" customHeight="false" outlineLevel="0" collapsed="false">
      <c r="A28" s="8"/>
      <c r="B28" s="8"/>
      <c r="C28" s="9"/>
      <c r="D28" s="9"/>
      <c r="E28" s="10" t="str">
        <f aca="false">IF($A28="","",N($D28)-N($C28))</f>
        <v/>
      </c>
      <c r="F28" s="11" t="str">
        <f aca="false">IF(OR($A28="",N($D28)=0),"",($D28-$C28)/$D28)</f>
        <v/>
      </c>
      <c r="G28" s="8"/>
    </row>
    <row r="29" customFormat="false" ht="15" hidden="false" customHeight="false" outlineLevel="0" collapsed="false">
      <c r="A29" s="8"/>
      <c r="B29" s="8"/>
      <c r="C29" s="9"/>
      <c r="D29" s="9"/>
      <c r="E29" s="10" t="str">
        <f aca="false">IF($A29="","",N($D29)-N($C29))</f>
        <v/>
      </c>
      <c r="F29" s="11" t="str">
        <f aca="false">IF(OR($A29="",N($D29)=0),"",($D29-$C29)/$D29)</f>
        <v/>
      </c>
      <c r="G29" s="8"/>
    </row>
    <row r="30" customFormat="false" ht="15" hidden="false" customHeight="false" outlineLevel="0" collapsed="false">
      <c r="A30" s="8"/>
      <c r="B30" s="8"/>
      <c r="C30" s="9"/>
      <c r="D30" s="9"/>
      <c r="E30" s="10" t="str">
        <f aca="false">IF($A30="","",N($D30)-N($C30))</f>
        <v/>
      </c>
      <c r="F30" s="11" t="str">
        <f aca="false">IF(OR($A30="",N($D30)=0),"",($D30-$C30)/$D30)</f>
        <v/>
      </c>
      <c r="G30" s="8"/>
    </row>
    <row r="31" customFormat="false" ht="15" hidden="false" customHeight="false" outlineLevel="0" collapsed="false">
      <c r="A31" s="8"/>
      <c r="B31" s="8"/>
      <c r="C31" s="9"/>
      <c r="D31" s="9"/>
      <c r="E31" s="10" t="str">
        <f aca="false">IF($A31="","",N($D31)-N($C31))</f>
        <v/>
      </c>
      <c r="F31" s="11" t="str">
        <f aca="false">IF(OR($A31="",N($D31)=0),"",($D31-$C31)/$D31)</f>
        <v/>
      </c>
      <c r="G31" s="8"/>
    </row>
    <row r="32" customFormat="false" ht="15" hidden="false" customHeight="false" outlineLevel="0" collapsed="false">
      <c r="A32" s="8"/>
      <c r="B32" s="8"/>
      <c r="C32" s="9"/>
      <c r="D32" s="9"/>
      <c r="E32" s="10" t="str">
        <f aca="false">IF($A32="","",N($D32)-N($C32))</f>
        <v/>
      </c>
      <c r="F32" s="11" t="str">
        <f aca="false">IF(OR($A32="",N($D32)=0),"",($D32-$C32)/$D32)</f>
        <v/>
      </c>
      <c r="G32" s="8"/>
    </row>
    <row r="33" customFormat="false" ht="15" hidden="false" customHeight="false" outlineLevel="0" collapsed="false">
      <c r="A33" s="8"/>
      <c r="B33" s="8"/>
      <c r="C33" s="9"/>
      <c r="D33" s="9"/>
      <c r="E33" s="10" t="str">
        <f aca="false">IF($A33="","",N($D33)-N($C33))</f>
        <v/>
      </c>
      <c r="F33" s="11" t="str">
        <f aca="false">IF(OR($A33="",N($D33)=0),"",($D33-$C33)/$D33)</f>
        <v/>
      </c>
      <c r="G33" s="8"/>
    </row>
    <row r="34" customFormat="false" ht="15" hidden="false" customHeight="false" outlineLevel="0" collapsed="false">
      <c r="A34" s="8"/>
      <c r="B34" s="8"/>
      <c r="C34" s="9"/>
      <c r="D34" s="9"/>
      <c r="E34" s="10" t="str">
        <f aca="false">IF($A34="","",N($D34)-N($C34))</f>
        <v/>
      </c>
      <c r="F34" s="11" t="str">
        <f aca="false">IF(OR($A34="",N($D34)=0),"",($D34-$C34)/$D34)</f>
        <v/>
      </c>
      <c r="G34" s="8"/>
    </row>
    <row r="35" customFormat="false" ht="15" hidden="false" customHeight="false" outlineLevel="0" collapsed="false">
      <c r="A35" s="8"/>
      <c r="B35" s="8"/>
      <c r="C35" s="9"/>
      <c r="D35" s="9"/>
      <c r="E35" s="10" t="str">
        <f aca="false">IF($A35="","",N($D35)-N($C35))</f>
        <v/>
      </c>
      <c r="F35" s="11" t="str">
        <f aca="false">IF(OR($A35="",N($D35)=0),"",($D35-$C35)/$D35)</f>
        <v/>
      </c>
      <c r="G35" s="8"/>
    </row>
    <row r="36" customFormat="false" ht="15" hidden="false" customHeight="false" outlineLevel="0" collapsed="false">
      <c r="A36" s="8"/>
      <c r="B36" s="8"/>
      <c r="C36" s="9"/>
      <c r="D36" s="9"/>
      <c r="E36" s="10" t="str">
        <f aca="false">IF($A36="","",N($D36)-N($C36))</f>
        <v/>
      </c>
      <c r="F36" s="11" t="str">
        <f aca="false">IF(OR($A36="",N($D36)=0),"",($D36-$C36)/$D36)</f>
        <v/>
      </c>
      <c r="G36" s="8"/>
    </row>
    <row r="37" customFormat="false" ht="15" hidden="false" customHeight="false" outlineLevel="0" collapsed="false">
      <c r="A37" s="8"/>
      <c r="B37" s="8"/>
      <c r="C37" s="9"/>
      <c r="D37" s="9"/>
      <c r="E37" s="10" t="str">
        <f aca="false">IF($A37="","",N($D37)-N($C37))</f>
        <v/>
      </c>
      <c r="F37" s="11" t="str">
        <f aca="false">IF(OR($A37="",N($D37)=0),"",($D37-$C37)/$D37)</f>
        <v/>
      </c>
      <c r="G37" s="8"/>
    </row>
    <row r="38" customFormat="false" ht="15" hidden="false" customHeight="false" outlineLevel="0" collapsed="false">
      <c r="A38" s="8"/>
      <c r="B38" s="8"/>
      <c r="C38" s="9"/>
      <c r="D38" s="9"/>
      <c r="E38" s="10" t="str">
        <f aca="false">IF($A38="","",N($D38)-N($C38))</f>
        <v/>
      </c>
      <c r="F38" s="11" t="str">
        <f aca="false">IF(OR($A38="",N($D38)=0),"",($D38-$C38)/$D38)</f>
        <v/>
      </c>
      <c r="G38" s="8"/>
    </row>
    <row r="39" customFormat="false" ht="15" hidden="false" customHeight="false" outlineLevel="0" collapsed="false">
      <c r="A39" s="8"/>
      <c r="B39" s="8"/>
      <c r="C39" s="9"/>
      <c r="D39" s="9"/>
      <c r="E39" s="10" t="str">
        <f aca="false">IF($A39="","",N($D39)-N($C39))</f>
        <v/>
      </c>
      <c r="F39" s="11" t="str">
        <f aca="false">IF(OR($A39="",N($D39)=0),"",($D39-$C39)/$D39)</f>
        <v/>
      </c>
      <c r="G39" s="8"/>
    </row>
    <row r="40" customFormat="false" ht="15" hidden="false" customHeight="false" outlineLevel="0" collapsed="false">
      <c r="A40" s="8"/>
      <c r="B40" s="8"/>
      <c r="C40" s="9"/>
      <c r="D40" s="9"/>
      <c r="E40" s="10" t="str">
        <f aca="false">IF($A40="","",N($D40)-N($C40))</f>
        <v/>
      </c>
      <c r="F40" s="11" t="str">
        <f aca="false">IF(OR($A40="",N($D40)=0),"",($D40-$C40)/$D40)</f>
        <v/>
      </c>
      <c r="G40" s="8"/>
    </row>
    <row r="41" customFormat="false" ht="15" hidden="false" customHeight="false" outlineLevel="0" collapsed="false">
      <c r="A41" s="8"/>
      <c r="B41" s="8"/>
      <c r="C41" s="9"/>
      <c r="D41" s="9"/>
      <c r="E41" s="10" t="str">
        <f aca="false">IF($A41="","",N($D41)-N($C41))</f>
        <v/>
      </c>
      <c r="F41" s="11" t="str">
        <f aca="false">IF(OR($A41="",N($D41)=0),"",($D41-$C41)/$D41)</f>
        <v/>
      </c>
      <c r="G41" s="8"/>
    </row>
    <row r="42" customFormat="false" ht="15" hidden="false" customHeight="false" outlineLevel="0" collapsed="false">
      <c r="A42" s="8"/>
      <c r="B42" s="8"/>
      <c r="C42" s="9"/>
      <c r="D42" s="9"/>
      <c r="E42" s="10" t="str">
        <f aca="false">IF($A42="","",N($D42)-N($C42))</f>
        <v/>
      </c>
      <c r="F42" s="11" t="str">
        <f aca="false">IF(OR($A42="",N($D42)=0),"",($D42-$C42)/$D42)</f>
        <v/>
      </c>
      <c r="G42" s="8"/>
    </row>
    <row r="43" customFormat="false" ht="15" hidden="false" customHeight="false" outlineLevel="0" collapsed="false">
      <c r="A43" s="8"/>
      <c r="B43" s="8"/>
      <c r="C43" s="9"/>
      <c r="D43" s="9"/>
      <c r="E43" s="10" t="str">
        <f aca="false">IF($A43="","",N($D43)-N($C43))</f>
        <v/>
      </c>
      <c r="F43" s="11" t="str">
        <f aca="false">IF(OR($A43="",N($D43)=0),"",($D43-$C43)/$D43)</f>
        <v/>
      </c>
      <c r="G43" s="8"/>
    </row>
    <row r="44" customFormat="false" ht="15" hidden="false" customHeight="false" outlineLevel="0" collapsed="false">
      <c r="A44" s="8"/>
      <c r="B44" s="8"/>
      <c r="C44" s="9"/>
      <c r="D44" s="9"/>
      <c r="E44" s="10" t="str">
        <f aca="false">IF($A44="","",N($D44)-N($C44))</f>
        <v/>
      </c>
      <c r="F44" s="11" t="str">
        <f aca="false">IF(OR($A44="",N($D44)=0),"",($D44-$C44)/$D44)</f>
        <v/>
      </c>
      <c r="G44" s="8"/>
    </row>
    <row r="45" customFormat="false" ht="15" hidden="false" customHeight="false" outlineLevel="0" collapsed="false">
      <c r="A45" s="8"/>
      <c r="B45" s="8"/>
      <c r="C45" s="9"/>
      <c r="D45" s="9"/>
      <c r="E45" s="10" t="str">
        <f aca="false">IF($A45="","",N($D45)-N($C45))</f>
        <v/>
      </c>
      <c r="F45" s="11" t="str">
        <f aca="false">IF(OR($A45="",N($D45)=0),"",($D45-$C45)/$D45)</f>
        <v/>
      </c>
      <c r="G45" s="8"/>
    </row>
    <row r="46" customFormat="false" ht="15" hidden="false" customHeight="false" outlineLevel="0" collapsed="false">
      <c r="A46" s="8"/>
      <c r="B46" s="8"/>
      <c r="C46" s="9"/>
      <c r="D46" s="9"/>
      <c r="E46" s="10" t="str">
        <f aca="false">IF($A46="","",N($D46)-N($C46))</f>
        <v/>
      </c>
      <c r="F46" s="11" t="str">
        <f aca="false">IF(OR($A46="",N($D46)=0),"",($D46-$C46)/$D46)</f>
        <v/>
      </c>
      <c r="G46" s="8"/>
    </row>
    <row r="47" customFormat="false" ht="15" hidden="false" customHeight="false" outlineLevel="0" collapsed="false">
      <c r="A47" s="8"/>
      <c r="B47" s="8"/>
      <c r="C47" s="9"/>
      <c r="D47" s="9"/>
      <c r="E47" s="10" t="str">
        <f aca="false">IF($A47="","",N($D47)-N($C47))</f>
        <v/>
      </c>
      <c r="F47" s="11" t="str">
        <f aca="false">IF(OR($A47="",N($D47)=0),"",($D47-$C47)/$D47)</f>
        <v/>
      </c>
      <c r="G47" s="8"/>
    </row>
    <row r="48" customFormat="false" ht="15" hidden="false" customHeight="false" outlineLevel="0" collapsed="false">
      <c r="A48" s="8"/>
      <c r="B48" s="8"/>
      <c r="C48" s="9"/>
      <c r="D48" s="9"/>
      <c r="E48" s="10" t="str">
        <f aca="false">IF($A48="","",N($D48)-N($C48))</f>
        <v/>
      </c>
      <c r="F48" s="11" t="str">
        <f aca="false">IF(OR($A48="",N($D48)=0),"",($D48-$C48)/$D48)</f>
        <v/>
      </c>
      <c r="G48" s="8"/>
    </row>
    <row r="49" customFormat="false" ht="15" hidden="false" customHeight="false" outlineLevel="0" collapsed="false">
      <c r="A49" s="8"/>
      <c r="B49" s="8"/>
      <c r="C49" s="9"/>
      <c r="D49" s="9"/>
      <c r="E49" s="10" t="str">
        <f aca="false">IF($A49="","",N($D49)-N($C49))</f>
        <v/>
      </c>
      <c r="F49" s="11" t="str">
        <f aca="false">IF(OR($A49="",N($D49)=0),"",($D49-$C49)/$D49)</f>
        <v/>
      </c>
      <c r="G49" s="8"/>
    </row>
    <row r="50" customFormat="false" ht="15" hidden="false" customHeight="false" outlineLevel="0" collapsed="false">
      <c r="A50" s="8"/>
      <c r="B50" s="8"/>
      <c r="C50" s="9"/>
      <c r="D50" s="9"/>
      <c r="E50" s="10" t="str">
        <f aca="false">IF($A50="","",N($D50)-N($C50))</f>
        <v/>
      </c>
      <c r="F50" s="11" t="str">
        <f aca="false">IF(OR($A50="",N($D50)=0),"",($D50-$C50)/$D50)</f>
        <v/>
      </c>
      <c r="G50" s="8"/>
    </row>
    <row r="51" customFormat="false" ht="15" hidden="false" customHeight="false" outlineLevel="0" collapsed="false">
      <c r="A51" s="8"/>
      <c r="B51" s="8"/>
      <c r="C51" s="9"/>
      <c r="D51" s="9"/>
      <c r="E51" s="10" t="str">
        <f aca="false">IF($A51="","",N($D51)-N($C51))</f>
        <v/>
      </c>
      <c r="F51" s="11" t="str">
        <f aca="false">IF(OR($A51="",N($D51)=0),"",($D51-$C51)/$D51)</f>
        <v/>
      </c>
      <c r="G51" s="8"/>
    </row>
    <row r="52" customFormat="false" ht="15" hidden="false" customHeight="false" outlineLevel="0" collapsed="false">
      <c r="A52" s="8"/>
      <c r="B52" s="8"/>
      <c r="C52" s="9"/>
      <c r="D52" s="9"/>
      <c r="E52" s="10" t="str">
        <f aca="false">IF($A52="","",N($D52)-N($C52))</f>
        <v/>
      </c>
      <c r="F52" s="11" t="str">
        <f aca="false">IF(OR($A52="",N($D52)=0),"",($D52-$C52)/$D52)</f>
        <v/>
      </c>
      <c r="G52" s="8"/>
    </row>
    <row r="53" customFormat="false" ht="15" hidden="false" customHeight="false" outlineLevel="0" collapsed="false">
      <c r="A53" s="8"/>
      <c r="B53" s="8"/>
      <c r="C53" s="9"/>
      <c r="D53" s="9"/>
      <c r="E53" s="10" t="str">
        <f aca="false">IF($A53="","",N($D53)-N($C53))</f>
        <v/>
      </c>
      <c r="F53" s="11" t="str">
        <f aca="false">IF(OR($A53="",N($D53)=0),"",($D53-$C53)/$D53)</f>
        <v/>
      </c>
      <c r="G53" s="8"/>
    </row>
    <row r="54" customFormat="false" ht="15" hidden="false" customHeight="false" outlineLevel="0" collapsed="false">
      <c r="A54" s="8"/>
      <c r="B54" s="8"/>
      <c r="C54" s="9"/>
      <c r="D54" s="9"/>
      <c r="E54" s="10" t="str">
        <f aca="false">IF($A54="","",N($D54)-N($C54))</f>
        <v/>
      </c>
      <c r="F54" s="11" t="str">
        <f aca="false">IF(OR($A54="",N($D54)=0),"",($D54-$C54)/$D54)</f>
        <v/>
      </c>
      <c r="G54" s="8"/>
    </row>
    <row r="55" customFormat="false" ht="15" hidden="false" customHeight="false" outlineLevel="0" collapsed="false">
      <c r="A55" s="8"/>
      <c r="B55" s="8"/>
      <c r="C55" s="9"/>
      <c r="D55" s="9"/>
      <c r="E55" s="10" t="str">
        <f aca="false">IF($A55="","",N($D55)-N($C55))</f>
        <v/>
      </c>
      <c r="F55" s="11" t="str">
        <f aca="false">IF(OR($A55="",N($D55)=0),"",($D55-$C55)/$D55)</f>
        <v/>
      </c>
      <c r="G55" s="8"/>
    </row>
    <row r="56" customFormat="false" ht="15" hidden="false" customHeight="false" outlineLevel="0" collapsed="false">
      <c r="A56" s="8"/>
      <c r="B56" s="8"/>
      <c r="C56" s="9"/>
      <c r="D56" s="9"/>
      <c r="E56" s="10" t="str">
        <f aca="false">IF($A56="","",N($D56)-N($C56))</f>
        <v/>
      </c>
      <c r="F56" s="11" t="str">
        <f aca="false">IF(OR($A56="",N($D56)=0),"",($D56-$C56)/$D56)</f>
        <v/>
      </c>
      <c r="G56" s="8"/>
    </row>
    <row r="57" customFormat="false" ht="15" hidden="false" customHeight="false" outlineLevel="0" collapsed="false">
      <c r="A57" s="8"/>
      <c r="B57" s="8"/>
      <c r="C57" s="9"/>
      <c r="D57" s="9"/>
      <c r="E57" s="10" t="str">
        <f aca="false">IF($A57="","",N($D57)-N($C57))</f>
        <v/>
      </c>
      <c r="F57" s="11" t="str">
        <f aca="false">IF(OR($A57="",N($D57)=0),"",($D57-$C57)/$D57)</f>
        <v/>
      </c>
      <c r="G57" s="8"/>
    </row>
    <row r="58" customFormat="false" ht="15" hidden="false" customHeight="false" outlineLevel="0" collapsed="false">
      <c r="A58" s="8"/>
      <c r="B58" s="8"/>
      <c r="C58" s="9"/>
      <c r="D58" s="9"/>
      <c r="E58" s="10" t="str">
        <f aca="false">IF($A58="","",N($D58)-N($C58))</f>
        <v/>
      </c>
      <c r="F58" s="11" t="str">
        <f aca="false">IF(OR($A58="",N($D58)=0),"",($D58-$C58)/$D58)</f>
        <v/>
      </c>
      <c r="G58" s="8"/>
    </row>
    <row r="59" customFormat="false" ht="15" hidden="false" customHeight="false" outlineLevel="0" collapsed="false">
      <c r="A59" s="8"/>
      <c r="B59" s="8"/>
      <c r="C59" s="9"/>
      <c r="D59" s="9"/>
      <c r="E59" s="10" t="str">
        <f aca="false">IF($A59="","",N($D59)-N($C59))</f>
        <v/>
      </c>
      <c r="F59" s="11" t="str">
        <f aca="false">IF(OR($A59="",N($D59)=0),"",($D59-$C59)/$D59)</f>
        <v/>
      </c>
      <c r="G59" s="8"/>
    </row>
    <row r="60" customFormat="false" ht="15" hidden="false" customHeight="false" outlineLevel="0" collapsed="false">
      <c r="A60" s="8"/>
      <c r="B60" s="8"/>
      <c r="C60" s="9"/>
      <c r="D60" s="9"/>
      <c r="E60" s="10" t="str">
        <f aca="false">IF($A60="","",N($D60)-N($C60))</f>
        <v/>
      </c>
      <c r="F60" s="11" t="str">
        <f aca="false">IF(OR($A60="",N($D60)=0),"",($D60-$C60)/$D60)</f>
        <v/>
      </c>
      <c r="G60" s="8"/>
    </row>
    <row r="61" customFormat="false" ht="15" hidden="false" customHeight="false" outlineLevel="0" collapsed="false">
      <c r="A61" s="8"/>
      <c r="B61" s="8"/>
      <c r="C61" s="9"/>
      <c r="D61" s="9"/>
      <c r="E61" s="10" t="str">
        <f aca="false">IF($A61="","",N($D61)-N($C61))</f>
        <v/>
      </c>
      <c r="F61" s="11" t="str">
        <f aca="false">IF(OR($A61="",N($D61)=0),"",($D61-$C61)/$D61)</f>
        <v/>
      </c>
      <c r="G61" s="8"/>
    </row>
    <row r="62" customFormat="false" ht="15" hidden="false" customHeight="false" outlineLevel="0" collapsed="false">
      <c r="A62" s="8"/>
      <c r="B62" s="8"/>
      <c r="C62" s="9"/>
      <c r="D62" s="9"/>
      <c r="E62" s="10" t="str">
        <f aca="false">IF($A62="","",N($D62)-N($C62))</f>
        <v/>
      </c>
      <c r="F62" s="11" t="str">
        <f aca="false">IF(OR($A62="",N($D62)=0),"",($D62-$C62)/$D62)</f>
        <v/>
      </c>
      <c r="G62" s="8"/>
    </row>
    <row r="63" customFormat="false" ht="15" hidden="false" customHeight="false" outlineLevel="0" collapsed="false">
      <c r="A63" s="8"/>
      <c r="B63" s="8"/>
      <c r="C63" s="9"/>
      <c r="D63" s="9"/>
      <c r="E63" s="10" t="str">
        <f aca="false">IF($A63="","",N($D63)-N($C63))</f>
        <v/>
      </c>
      <c r="F63" s="11" t="str">
        <f aca="false">IF(OR($A63="",N($D63)=0),"",($D63-$C63)/$D63)</f>
        <v/>
      </c>
      <c r="G63" s="8"/>
    </row>
    <row r="64" customFormat="false" ht="15" hidden="false" customHeight="false" outlineLevel="0" collapsed="false">
      <c r="A64" s="8"/>
      <c r="B64" s="8"/>
      <c r="C64" s="9"/>
      <c r="D64" s="9"/>
      <c r="E64" s="10" t="str">
        <f aca="false">IF($A64="","",N($D64)-N($C64))</f>
        <v/>
      </c>
      <c r="F64" s="11" t="str">
        <f aca="false">IF(OR($A64="",N($D64)=0),"",($D64-$C64)/$D64)</f>
        <v/>
      </c>
      <c r="G64" s="8"/>
    </row>
    <row r="65" customFormat="false" ht="15" hidden="false" customHeight="false" outlineLevel="0" collapsed="false">
      <c r="A65" s="8"/>
      <c r="B65" s="8"/>
      <c r="C65" s="9"/>
      <c r="D65" s="9"/>
      <c r="E65" s="10" t="str">
        <f aca="false">IF($A65="","",N($D65)-N($C65))</f>
        <v/>
      </c>
      <c r="F65" s="11" t="str">
        <f aca="false">IF(OR($A65="",N($D65)=0),"",($D65-$C65)/$D65)</f>
        <v/>
      </c>
      <c r="G65" s="8"/>
    </row>
    <row r="66" customFormat="false" ht="15" hidden="false" customHeight="false" outlineLevel="0" collapsed="false">
      <c r="A66" s="8"/>
      <c r="B66" s="8"/>
      <c r="C66" s="9"/>
      <c r="D66" s="9"/>
      <c r="E66" s="10" t="str">
        <f aca="false">IF($A66="","",N($D66)-N($C66))</f>
        <v/>
      </c>
      <c r="F66" s="11" t="str">
        <f aca="false">IF(OR($A66="",N($D66)=0),"",($D66-$C66)/$D66)</f>
        <v/>
      </c>
      <c r="G66" s="8"/>
    </row>
    <row r="67" customFormat="false" ht="15" hidden="false" customHeight="false" outlineLevel="0" collapsed="false">
      <c r="A67" s="8"/>
      <c r="B67" s="8"/>
      <c r="C67" s="9"/>
      <c r="D67" s="9"/>
      <c r="E67" s="10" t="str">
        <f aca="false">IF($A67="","",N($D67)-N($C67))</f>
        <v/>
      </c>
      <c r="F67" s="11" t="str">
        <f aca="false">IF(OR($A67="",N($D67)=0),"",($D67-$C67)/$D67)</f>
        <v/>
      </c>
      <c r="G67" s="8"/>
    </row>
    <row r="68" customFormat="false" ht="15" hidden="false" customHeight="false" outlineLevel="0" collapsed="false">
      <c r="A68" s="8"/>
      <c r="B68" s="8"/>
      <c r="C68" s="9"/>
      <c r="D68" s="9"/>
      <c r="E68" s="10" t="str">
        <f aca="false">IF($A68="","",N($D68)-N($C68))</f>
        <v/>
      </c>
      <c r="F68" s="11" t="str">
        <f aca="false">IF(OR($A68="",N($D68)=0),"",($D68-$C68)/$D68)</f>
        <v/>
      </c>
      <c r="G68" s="8"/>
    </row>
    <row r="69" customFormat="false" ht="15" hidden="false" customHeight="false" outlineLevel="0" collapsed="false">
      <c r="A69" s="8"/>
      <c r="B69" s="8"/>
      <c r="C69" s="9"/>
      <c r="D69" s="9"/>
      <c r="E69" s="10" t="str">
        <f aca="false">IF($A69="","",N($D69)-N($C69))</f>
        <v/>
      </c>
      <c r="F69" s="11" t="str">
        <f aca="false">IF(OR($A69="",N($D69)=0),"",($D69-$C69)/$D69)</f>
        <v/>
      </c>
      <c r="G69" s="8"/>
    </row>
    <row r="70" customFormat="false" ht="15" hidden="false" customHeight="false" outlineLevel="0" collapsed="false">
      <c r="A70" s="8"/>
      <c r="B70" s="8"/>
      <c r="C70" s="9"/>
      <c r="D70" s="9"/>
      <c r="E70" s="10" t="str">
        <f aca="false">IF($A70="","",N($D70)-N($C70))</f>
        <v/>
      </c>
      <c r="F70" s="11" t="str">
        <f aca="false">IF(OR($A70="",N($D70)=0),"",($D70-$C70)/$D70)</f>
        <v/>
      </c>
      <c r="G70" s="8"/>
    </row>
    <row r="71" customFormat="false" ht="15" hidden="false" customHeight="false" outlineLevel="0" collapsed="false">
      <c r="A71" s="8"/>
      <c r="B71" s="8"/>
      <c r="C71" s="9"/>
      <c r="D71" s="9"/>
      <c r="E71" s="10" t="str">
        <f aca="false">IF($A71="","",N($D71)-N($C71))</f>
        <v/>
      </c>
      <c r="F71" s="11" t="str">
        <f aca="false">IF(OR($A71="",N($D71)=0),"",($D71-$C71)/$D71)</f>
        <v/>
      </c>
      <c r="G71" s="8"/>
    </row>
    <row r="72" customFormat="false" ht="15" hidden="false" customHeight="false" outlineLevel="0" collapsed="false">
      <c r="A72" s="8"/>
      <c r="B72" s="8"/>
      <c r="C72" s="9"/>
      <c r="D72" s="9"/>
      <c r="E72" s="10" t="str">
        <f aca="false">IF($A72="","",N($D72)-N($C72))</f>
        <v/>
      </c>
      <c r="F72" s="11" t="str">
        <f aca="false">IF(OR($A72="",N($D72)=0),"",($D72-$C72)/$D72)</f>
        <v/>
      </c>
      <c r="G72" s="8"/>
    </row>
    <row r="73" customFormat="false" ht="15" hidden="false" customHeight="false" outlineLevel="0" collapsed="false">
      <c r="A73" s="8"/>
      <c r="B73" s="8"/>
      <c r="C73" s="9"/>
      <c r="D73" s="9"/>
      <c r="E73" s="10" t="str">
        <f aca="false">IF($A73="","",N($D73)-N($C73))</f>
        <v/>
      </c>
      <c r="F73" s="11" t="str">
        <f aca="false">IF(OR($A73="",N($D73)=0),"",($D73-$C73)/$D73)</f>
        <v/>
      </c>
      <c r="G73" s="8"/>
    </row>
    <row r="74" customFormat="false" ht="15" hidden="false" customHeight="false" outlineLevel="0" collapsed="false">
      <c r="A74" s="8"/>
      <c r="B74" s="8"/>
      <c r="C74" s="9"/>
      <c r="D74" s="9"/>
      <c r="E74" s="10" t="str">
        <f aca="false">IF($A74="","",N($D74)-N($C74))</f>
        <v/>
      </c>
      <c r="F74" s="11" t="str">
        <f aca="false">IF(OR($A74="",N($D74)=0),"",($D74-$C74)/$D74)</f>
        <v/>
      </c>
      <c r="G74" s="8"/>
    </row>
    <row r="75" customFormat="false" ht="15" hidden="false" customHeight="false" outlineLevel="0" collapsed="false">
      <c r="A75" s="8"/>
      <c r="B75" s="8"/>
      <c r="C75" s="9"/>
      <c r="D75" s="9"/>
      <c r="E75" s="10" t="str">
        <f aca="false">IF($A75="","",N($D75)-N($C75))</f>
        <v/>
      </c>
      <c r="F75" s="11" t="str">
        <f aca="false">IF(OR($A75="",N($D75)=0),"",($D75-$C75)/$D75)</f>
        <v/>
      </c>
      <c r="G75" s="8"/>
    </row>
    <row r="76" customFormat="false" ht="15" hidden="false" customHeight="false" outlineLevel="0" collapsed="false">
      <c r="A76" s="8"/>
      <c r="B76" s="8"/>
      <c r="C76" s="9"/>
      <c r="D76" s="9"/>
      <c r="E76" s="10" t="str">
        <f aca="false">IF($A76="","",N($D76)-N($C76))</f>
        <v/>
      </c>
      <c r="F76" s="11" t="str">
        <f aca="false">IF(OR($A76="",N($D76)=0),"",($D76-$C76)/$D76)</f>
        <v/>
      </c>
      <c r="G76" s="8"/>
    </row>
    <row r="77" customFormat="false" ht="15" hidden="false" customHeight="false" outlineLevel="0" collapsed="false">
      <c r="A77" s="8"/>
      <c r="B77" s="8"/>
      <c r="C77" s="9"/>
      <c r="D77" s="9"/>
      <c r="E77" s="10" t="str">
        <f aca="false">IF($A77="","",N($D77)-N($C77))</f>
        <v/>
      </c>
      <c r="F77" s="11" t="str">
        <f aca="false">IF(OR($A77="",N($D77)=0),"",($D77-$C77)/$D77)</f>
        <v/>
      </c>
      <c r="G77" s="8"/>
    </row>
    <row r="78" customFormat="false" ht="15" hidden="false" customHeight="false" outlineLevel="0" collapsed="false">
      <c r="A78" s="8"/>
      <c r="B78" s="8"/>
      <c r="C78" s="9"/>
      <c r="D78" s="9"/>
      <c r="E78" s="10" t="str">
        <f aca="false">IF($A78="","",N($D78)-N($C78))</f>
        <v/>
      </c>
      <c r="F78" s="11" t="str">
        <f aca="false">IF(OR($A78="",N($D78)=0),"",($D78-$C78)/$D78)</f>
        <v/>
      </c>
      <c r="G78" s="8"/>
    </row>
    <row r="79" customFormat="false" ht="15" hidden="false" customHeight="false" outlineLevel="0" collapsed="false">
      <c r="A79" s="8"/>
      <c r="B79" s="8"/>
      <c r="C79" s="9"/>
      <c r="D79" s="9"/>
      <c r="E79" s="10" t="str">
        <f aca="false">IF($A79="","",N($D79)-N($C79))</f>
        <v/>
      </c>
      <c r="F79" s="11" t="str">
        <f aca="false">IF(OR($A79="",N($D79)=0),"",($D79-$C79)/$D79)</f>
        <v/>
      </c>
      <c r="G79" s="8"/>
    </row>
    <row r="80" customFormat="false" ht="15" hidden="false" customHeight="false" outlineLevel="0" collapsed="false">
      <c r="A80" s="8"/>
      <c r="B80" s="8"/>
      <c r="C80" s="9"/>
      <c r="D80" s="9"/>
      <c r="E80" s="10" t="str">
        <f aca="false">IF($A80="","",N($D80)-N($C80))</f>
        <v/>
      </c>
      <c r="F80" s="11" t="str">
        <f aca="false">IF(OR($A80="",N($D80)=0),"",($D80-$C80)/$D80)</f>
        <v/>
      </c>
      <c r="G80" s="8"/>
    </row>
    <row r="81" customFormat="false" ht="15" hidden="false" customHeight="false" outlineLevel="0" collapsed="false">
      <c r="A81" s="8"/>
      <c r="B81" s="8"/>
      <c r="C81" s="9"/>
      <c r="D81" s="9"/>
      <c r="E81" s="10" t="str">
        <f aca="false">IF($A81="","",N($D81)-N($C81))</f>
        <v/>
      </c>
      <c r="F81" s="11" t="str">
        <f aca="false">IF(OR($A81="",N($D81)=0),"",($D81-$C81)/$D81)</f>
        <v/>
      </c>
      <c r="G81" s="8"/>
    </row>
    <row r="82" customFormat="false" ht="15" hidden="false" customHeight="false" outlineLevel="0" collapsed="false">
      <c r="A82" s="8"/>
      <c r="B82" s="8"/>
      <c r="C82" s="9"/>
      <c r="D82" s="9"/>
      <c r="E82" s="10" t="str">
        <f aca="false">IF($A82="","",N($D82)-N($C82))</f>
        <v/>
      </c>
      <c r="F82" s="11" t="str">
        <f aca="false">IF(OR($A82="",N($D82)=0),"",($D82-$C82)/$D82)</f>
        <v/>
      </c>
      <c r="G82" s="8"/>
    </row>
    <row r="83" customFormat="false" ht="15" hidden="false" customHeight="false" outlineLevel="0" collapsed="false">
      <c r="A83" s="8"/>
      <c r="B83" s="8"/>
      <c r="C83" s="9"/>
      <c r="D83" s="9"/>
      <c r="E83" s="10" t="str">
        <f aca="false">IF($A83="","",N($D83)-N($C83))</f>
        <v/>
      </c>
      <c r="F83" s="11" t="str">
        <f aca="false">IF(OR($A83="",N($D83)=0),"",($D83-$C83)/$D83)</f>
        <v/>
      </c>
      <c r="G83" s="8"/>
    </row>
    <row r="84" customFormat="false" ht="15" hidden="false" customHeight="false" outlineLevel="0" collapsed="false">
      <c r="A84" s="8"/>
      <c r="B84" s="8"/>
      <c r="C84" s="9"/>
      <c r="D84" s="9"/>
      <c r="E84" s="10" t="str">
        <f aca="false">IF($A84="","",N($D84)-N($C84))</f>
        <v/>
      </c>
      <c r="F84" s="11" t="str">
        <f aca="false">IF(OR($A84="",N($D84)=0),"",($D84-$C84)/$D84)</f>
        <v/>
      </c>
      <c r="G84" s="8"/>
    </row>
    <row r="85" customFormat="false" ht="15" hidden="false" customHeight="false" outlineLevel="0" collapsed="false">
      <c r="A85" s="8"/>
      <c r="B85" s="8"/>
      <c r="C85" s="9"/>
      <c r="D85" s="9"/>
      <c r="E85" s="10" t="str">
        <f aca="false">IF($A85="","",N($D85)-N($C85))</f>
        <v/>
      </c>
      <c r="F85" s="11" t="str">
        <f aca="false">IF(OR($A85="",N($D85)=0),"",($D85-$C85)/$D85)</f>
        <v/>
      </c>
      <c r="G85" s="8"/>
    </row>
    <row r="86" customFormat="false" ht="15" hidden="false" customHeight="false" outlineLevel="0" collapsed="false">
      <c r="A86" s="8"/>
      <c r="B86" s="8"/>
      <c r="C86" s="9"/>
      <c r="D86" s="9"/>
      <c r="E86" s="10" t="str">
        <f aca="false">IF($A86="","",N($D86)-N($C86))</f>
        <v/>
      </c>
      <c r="F86" s="11" t="str">
        <f aca="false">IF(OR($A86="",N($D86)=0),"",($D86-$C86)/$D86)</f>
        <v/>
      </c>
      <c r="G86" s="8"/>
    </row>
    <row r="87" customFormat="false" ht="15" hidden="false" customHeight="false" outlineLevel="0" collapsed="false">
      <c r="A87" s="8"/>
      <c r="B87" s="8"/>
      <c r="C87" s="9"/>
      <c r="D87" s="9"/>
      <c r="E87" s="10" t="str">
        <f aca="false">IF($A87="","",N($D87)-N($C87))</f>
        <v/>
      </c>
      <c r="F87" s="11" t="str">
        <f aca="false">IF(OR($A87="",N($D87)=0),"",($D87-$C87)/$D87)</f>
        <v/>
      </c>
      <c r="G87" s="8"/>
    </row>
    <row r="88" customFormat="false" ht="15" hidden="false" customHeight="false" outlineLevel="0" collapsed="false">
      <c r="A88" s="8"/>
      <c r="B88" s="8"/>
      <c r="C88" s="9"/>
      <c r="D88" s="9"/>
      <c r="E88" s="10" t="str">
        <f aca="false">IF($A88="","",N($D88)-N($C88))</f>
        <v/>
      </c>
      <c r="F88" s="11" t="str">
        <f aca="false">IF(OR($A88="",N($D88)=0),"",($D88-$C88)/$D88)</f>
        <v/>
      </c>
      <c r="G88" s="8"/>
    </row>
    <row r="89" customFormat="false" ht="15" hidden="false" customHeight="false" outlineLevel="0" collapsed="false">
      <c r="A89" s="8"/>
      <c r="B89" s="8"/>
      <c r="C89" s="9"/>
      <c r="D89" s="9"/>
      <c r="E89" s="10" t="str">
        <f aca="false">IF($A89="","",N($D89)-N($C89))</f>
        <v/>
      </c>
      <c r="F89" s="11" t="str">
        <f aca="false">IF(OR($A89="",N($D89)=0),"",($D89-$C89)/$D89)</f>
        <v/>
      </c>
      <c r="G89" s="8"/>
    </row>
    <row r="90" customFormat="false" ht="15" hidden="false" customHeight="false" outlineLevel="0" collapsed="false">
      <c r="A90" s="8"/>
      <c r="B90" s="8"/>
      <c r="C90" s="9"/>
      <c r="D90" s="9"/>
      <c r="E90" s="10" t="str">
        <f aca="false">IF($A90="","",N($D90)-N($C90))</f>
        <v/>
      </c>
      <c r="F90" s="11" t="str">
        <f aca="false">IF(OR($A90="",N($D90)=0),"",($D90-$C90)/$D90)</f>
        <v/>
      </c>
      <c r="G90" s="8"/>
    </row>
    <row r="91" customFormat="false" ht="15" hidden="false" customHeight="false" outlineLevel="0" collapsed="false">
      <c r="A91" s="8"/>
      <c r="B91" s="8"/>
      <c r="C91" s="9"/>
      <c r="D91" s="9"/>
      <c r="E91" s="10" t="str">
        <f aca="false">IF($A91="","",N($D91)-N($C91))</f>
        <v/>
      </c>
      <c r="F91" s="11" t="str">
        <f aca="false">IF(OR($A91="",N($D91)=0),"",($D91-$C91)/$D91)</f>
        <v/>
      </c>
      <c r="G91" s="8"/>
    </row>
    <row r="92" customFormat="false" ht="15" hidden="false" customHeight="false" outlineLevel="0" collapsed="false">
      <c r="A92" s="8"/>
      <c r="B92" s="8"/>
      <c r="C92" s="9"/>
      <c r="D92" s="9"/>
      <c r="E92" s="10" t="str">
        <f aca="false">IF($A92="","",N($D92)-N($C92))</f>
        <v/>
      </c>
      <c r="F92" s="11" t="str">
        <f aca="false">IF(OR($A92="",N($D92)=0),"",($D92-$C92)/$D92)</f>
        <v/>
      </c>
      <c r="G92" s="8"/>
    </row>
    <row r="93" customFormat="false" ht="15" hidden="false" customHeight="false" outlineLevel="0" collapsed="false">
      <c r="A93" s="8"/>
      <c r="B93" s="8"/>
      <c r="C93" s="9"/>
      <c r="D93" s="9"/>
      <c r="E93" s="10" t="str">
        <f aca="false">IF($A93="","",N($D93)-N($C93))</f>
        <v/>
      </c>
      <c r="F93" s="11" t="str">
        <f aca="false">IF(OR($A93="",N($D93)=0),"",($D93-$C93)/$D93)</f>
        <v/>
      </c>
      <c r="G93" s="8"/>
    </row>
    <row r="94" customFormat="false" ht="15" hidden="false" customHeight="false" outlineLevel="0" collapsed="false">
      <c r="A94" s="8"/>
      <c r="B94" s="8"/>
      <c r="C94" s="9"/>
      <c r="D94" s="9"/>
      <c r="E94" s="10" t="str">
        <f aca="false">IF($A94="","",N($D94)-N($C94))</f>
        <v/>
      </c>
      <c r="F94" s="11" t="str">
        <f aca="false">IF(OR($A94="",N($D94)=0),"",($D94-$C94)/$D94)</f>
        <v/>
      </c>
      <c r="G94" s="8"/>
    </row>
    <row r="95" customFormat="false" ht="15" hidden="false" customHeight="false" outlineLevel="0" collapsed="false">
      <c r="A95" s="8"/>
      <c r="B95" s="8"/>
      <c r="C95" s="9"/>
      <c r="D95" s="9"/>
      <c r="E95" s="10" t="str">
        <f aca="false">IF($A95="","",N($D95)-N($C95))</f>
        <v/>
      </c>
      <c r="F95" s="11" t="str">
        <f aca="false">IF(OR($A95="",N($D95)=0),"",($D95-$C95)/$D95)</f>
        <v/>
      </c>
      <c r="G95" s="8"/>
    </row>
    <row r="96" customFormat="false" ht="15" hidden="false" customHeight="false" outlineLevel="0" collapsed="false">
      <c r="A96" s="8"/>
      <c r="B96" s="8"/>
      <c r="C96" s="9"/>
      <c r="D96" s="9"/>
      <c r="E96" s="10" t="str">
        <f aca="false">IF($A96="","",N($D96)-N($C96))</f>
        <v/>
      </c>
      <c r="F96" s="11" t="str">
        <f aca="false">IF(OR($A96="",N($D96)=0),"",($D96-$C96)/$D96)</f>
        <v/>
      </c>
      <c r="G96" s="8"/>
    </row>
    <row r="97" customFormat="false" ht="15" hidden="false" customHeight="false" outlineLevel="0" collapsed="false">
      <c r="A97" s="8"/>
      <c r="B97" s="8"/>
      <c r="C97" s="9"/>
      <c r="D97" s="9"/>
      <c r="E97" s="10" t="str">
        <f aca="false">IF($A97="","",N($D97)-N($C97))</f>
        <v/>
      </c>
      <c r="F97" s="11" t="str">
        <f aca="false">IF(OR($A97="",N($D97)=0),"",($D97-$C97)/$D97)</f>
        <v/>
      </c>
      <c r="G97" s="8"/>
    </row>
    <row r="98" customFormat="false" ht="15" hidden="false" customHeight="false" outlineLevel="0" collapsed="false">
      <c r="A98" s="8"/>
      <c r="B98" s="8"/>
      <c r="C98" s="9"/>
      <c r="D98" s="9"/>
      <c r="E98" s="10" t="str">
        <f aca="false">IF($A98="","",N($D98)-N($C98))</f>
        <v/>
      </c>
      <c r="F98" s="11" t="str">
        <f aca="false">IF(OR($A98="",N($D98)=0),"",($D98-$C98)/$D98)</f>
        <v/>
      </c>
      <c r="G98" s="8"/>
    </row>
    <row r="99" customFormat="false" ht="15" hidden="false" customHeight="false" outlineLevel="0" collapsed="false">
      <c r="A99" s="8"/>
      <c r="B99" s="8"/>
      <c r="C99" s="9"/>
      <c r="D99" s="9"/>
      <c r="E99" s="10" t="str">
        <f aca="false">IF($A99="","",N($D99)-N($C99))</f>
        <v/>
      </c>
      <c r="F99" s="11" t="str">
        <f aca="false">IF(OR($A99="",N($D99)=0),"",($D99-$C99)/$D99)</f>
        <v/>
      </c>
      <c r="G99" s="8"/>
    </row>
    <row r="100" customFormat="false" ht="15" hidden="false" customHeight="false" outlineLevel="0" collapsed="false">
      <c r="A100" s="8"/>
      <c r="B100" s="8"/>
      <c r="C100" s="9"/>
      <c r="D100" s="9"/>
      <c r="E100" s="10" t="str">
        <f aca="false">IF($A100="","",N($D100)-N($C100))</f>
        <v/>
      </c>
      <c r="F100" s="11" t="str">
        <f aca="false">IF(OR($A100="",N($D100)=0),"",($D100-$C100)/$D100)</f>
        <v/>
      </c>
      <c r="G100" s="8"/>
    </row>
    <row r="101" customFormat="false" ht="15" hidden="false" customHeight="false" outlineLevel="0" collapsed="false">
      <c r="A101" s="8"/>
      <c r="B101" s="8"/>
      <c r="C101" s="9"/>
      <c r="D101" s="9"/>
      <c r="E101" s="10" t="str">
        <f aca="false">IF($A101="","",N($D101)-N($C101))</f>
        <v/>
      </c>
      <c r="F101" s="11" t="str">
        <f aca="false">IF(OR($A101="",N($D101)=0),"",($D101-$C101)/$D101)</f>
        <v/>
      </c>
      <c r="G101" s="8"/>
    </row>
    <row r="102" customFormat="false" ht="15" hidden="false" customHeight="false" outlineLevel="0" collapsed="false">
      <c r="A102" s="8"/>
      <c r="B102" s="8"/>
      <c r="C102" s="9"/>
      <c r="D102" s="9"/>
      <c r="E102" s="10" t="str">
        <f aca="false">IF($A102="","",N($D102)-N($C102))</f>
        <v/>
      </c>
      <c r="F102" s="11" t="str">
        <f aca="false">IF(OR($A102="",N($D102)=0),"",($D102-$C102)/$D102)</f>
        <v/>
      </c>
      <c r="G102" s="8"/>
    </row>
    <row r="103" customFormat="false" ht="15" hidden="false" customHeight="false" outlineLevel="0" collapsed="false">
      <c r="A103" s="8"/>
      <c r="B103" s="8"/>
      <c r="C103" s="9"/>
      <c r="D103" s="9"/>
      <c r="E103" s="10" t="str">
        <f aca="false">IF($A103="","",N($D103)-N($C103))</f>
        <v/>
      </c>
      <c r="F103" s="11" t="str">
        <f aca="false">IF(OR($A103="",N($D103)=0),"",($D103-$C103)/$D103)</f>
        <v/>
      </c>
      <c r="G103" s="8"/>
    </row>
    <row r="104" customFormat="false" ht="15" hidden="false" customHeight="false" outlineLevel="0" collapsed="false">
      <c r="A104" s="8"/>
      <c r="B104" s="8"/>
      <c r="C104" s="9"/>
      <c r="D104" s="9"/>
      <c r="E104" s="10" t="str">
        <f aca="false">IF($A104="","",N($D104)-N($C104))</f>
        <v/>
      </c>
      <c r="F104" s="11" t="str">
        <f aca="false">IF(OR($A104="",N($D104)=0),"",($D104-$C104)/$D104)</f>
        <v/>
      </c>
      <c r="G104" s="8"/>
    </row>
    <row r="105" customFormat="false" ht="15" hidden="false" customHeight="false" outlineLevel="0" collapsed="false">
      <c r="A105" s="8"/>
      <c r="B105" s="8"/>
      <c r="C105" s="9"/>
      <c r="D105" s="9"/>
      <c r="E105" s="10" t="str">
        <f aca="false">IF($A105="","",N($D105)-N($C105))</f>
        <v/>
      </c>
      <c r="F105" s="11" t="str">
        <f aca="false">IF(OR($A105="",N($D105)=0),"",($D105-$C105)/$D105)</f>
        <v/>
      </c>
      <c r="G105" s="8"/>
    </row>
    <row r="106" customFormat="false" ht="15" hidden="false" customHeight="false" outlineLevel="0" collapsed="false">
      <c r="A106" s="8"/>
      <c r="B106" s="8"/>
      <c r="C106" s="9"/>
      <c r="D106" s="9"/>
      <c r="E106" s="10" t="str">
        <f aca="false">IF($A106="","",N($D106)-N($C106))</f>
        <v/>
      </c>
      <c r="F106" s="11" t="str">
        <f aca="false">IF(OR($A106="",N($D106)=0),"",($D106-$C106)/$D106)</f>
        <v/>
      </c>
      <c r="G106" s="8"/>
    </row>
    <row r="107" customFormat="false" ht="15" hidden="false" customHeight="false" outlineLevel="0" collapsed="false">
      <c r="A107" s="8"/>
      <c r="B107" s="8"/>
      <c r="C107" s="9"/>
      <c r="D107" s="9"/>
      <c r="E107" s="10" t="str">
        <f aca="false">IF($A107="","",N($D107)-N($C107))</f>
        <v/>
      </c>
      <c r="F107" s="11" t="str">
        <f aca="false">IF(OR($A107="",N($D107)=0),"",($D107-$C107)/$D107)</f>
        <v/>
      </c>
      <c r="G107" s="8"/>
    </row>
    <row r="108" customFormat="false" ht="15" hidden="false" customHeight="false" outlineLevel="0" collapsed="false">
      <c r="A108" s="8"/>
      <c r="B108" s="8"/>
      <c r="C108" s="9"/>
      <c r="D108" s="9"/>
      <c r="E108" s="10" t="str">
        <f aca="false">IF($A108="","",N($D108)-N($C108))</f>
        <v/>
      </c>
      <c r="F108" s="11" t="str">
        <f aca="false">IF(OR($A108="",N($D108)=0),"",($D108-$C108)/$D108)</f>
        <v/>
      </c>
      <c r="G108" s="8"/>
    </row>
    <row r="109" customFormat="false" ht="15" hidden="false" customHeight="false" outlineLevel="0" collapsed="false">
      <c r="A109" s="8"/>
      <c r="B109" s="8"/>
      <c r="C109" s="9"/>
      <c r="D109" s="9"/>
      <c r="E109" s="10" t="str">
        <f aca="false">IF($A109="","",N($D109)-N($C109))</f>
        <v/>
      </c>
      <c r="F109" s="11" t="str">
        <f aca="false">IF(OR($A109="",N($D109)=0),"",($D109-$C109)/$D109)</f>
        <v/>
      </c>
      <c r="G109" s="8"/>
    </row>
    <row r="110" customFormat="false" ht="15" hidden="false" customHeight="false" outlineLevel="0" collapsed="false">
      <c r="A110" s="8"/>
      <c r="B110" s="8"/>
      <c r="C110" s="9"/>
      <c r="D110" s="9"/>
      <c r="E110" s="10" t="str">
        <f aca="false">IF($A110="","",N($D110)-N($C110))</f>
        <v/>
      </c>
      <c r="F110" s="11" t="str">
        <f aca="false">IF(OR($A110="",N($D110)=0),"",($D110-$C110)/$D110)</f>
        <v/>
      </c>
      <c r="G110" s="8"/>
    </row>
    <row r="111" customFormat="false" ht="15" hidden="false" customHeight="false" outlineLevel="0" collapsed="false">
      <c r="A111" s="8"/>
      <c r="B111" s="8"/>
      <c r="C111" s="9"/>
      <c r="D111" s="9"/>
      <c r="E111" s="10" t="str">
        <f aca="false">IF($A111="","",N($D111)-N($C111))</f>
        <v/>
      </c>
      <c r="F111" s="11" t="str">
        <f aca="false">IF(OR($A111="",N($D111)=0),"",($D111-$C111)/$D111)</f>
        <v/>
      </c>
      <c r="G111" s="8"/>
    </row>
    <row r="112" customFormat="false" ht="15" hidden="false" customHeight="false" outlineLevel="0" collapsed="false">
      <c r="A112" s="8"/>
      <c r="B112" s="8"/>
      <c r="C112" s="9"/>
      <c r="D112" s="9"/>
      <c r="E112" s="10" t="str">
        <f aca="false">IF($A112="","",N($D112)-N($C112))</f>
        <v/>
      </c>
      <c r="F112" s="11" t="str">
        <f aca="false">IF(OR($A112="",N($D112)=0),"",($D112-$C112)/$D112)</f>
        <v/>
      </c>
      <c r="G112" s="8"/>
    </row>
    <row r="113" customFormat="false" ht="15" hidden="false" customHeight="false" outlineLevel="0" collapsed="false">
      <c r="A113" s="8"/>
      <c r="B113" s="8"/>
      <c r="C113" s="9"/>
      <c r="D113" s="9"/>
      <c r="E113" s="10" t="str">
        <f aca="false">IF($A113="","",N($D113)-N($C113))</f>
        <v/>
      </c>
      <c r="F113" s="11" t="str">
        <f aca="false">IF(OR($A113="",N($D113)=0),"",($D113-$C113)/$D113)</f>
        <v/>
      </c>
      <c r="G113" s="8"/>
    </row>
    <row r="114" customFormat="false" ht="15" hidden="false" customHeight="false" outlineLevel="0" collapsed="false">
      <c r="A114" s="8"/>
      <c r="B114" s="8"/>
      <c r="C114" s="9"/>
      <c r="D114" s="9"/>
      <c r="E114" s="10" t="str">
        <f aca="false">IF($A114="","",N($D114)-N($C114))</f>
        <v/>
      </c>
      <c r="F114" s="11" t="str">
        <f aca="false">IF(OR($A114="",N($D114)=0),"",($D114-$C114)/$D114)</f>
        <v/>
      </c>
      <c r="G114" s="8"/>
    </row>
    <row r="115" customFormat="false" ht="15" hidden="false" customHeight="false" outlineLevel="0" collapsed="false">
      <c r="A115" s="8"/>
      <c r="B115" s="8"/>
      <c r="C115" s="9"/>
      <c r="D115" s="9"/>
      <c r="E115" s="10" t="str">
        <f aca="false">IF($A115="","",N($D115)-N($C115))</f>
        <v/>
      </c>
      <c r="F115" s="11" t="str">
        <f aca="false">IF(OR($A115="",N($D115)=0),"",($D115-$C115)/$D115)</f>
        <v/>
      </c>
      <c r="G115" s="8"/>
    </row>
    <row r="116" customFormat="false" ht="15" hidden="false" customHeight="false" outlineLevel="0" collapsed="false">
      <c r="A116" s="8"/>
      <c r="B116" s="8"/>
      <c r="C116" s="9"/>
      <c r="D116" s="9"/>
      <c r="E116" s="10" t="str">
        <f aca="false">IF($A116="","",N($D116)-N($C116))</f>
        <v/>
      </c>
      <c r="F116" s="11" t="str">
        <f aca="false">IF(OR($A116="",N($D116)=0),"",($D116-$C116)/$D116)</f>
        <v/>
      </c>
      <c r="G116" s="8"/>
    </row>
    <row r="117" customFormat="false" ht="15" hidden="false" customHeight="false" outlineLevel="0" collapsed="false">
      <c r="A117" s="8"/>
      <c r="B117" s="8"/>
      <c r="C117" s="9"/>
      <c r="D117" s="9"/>
      <c r="E117" s="10" t="str">
        <f aca="false">IF($A117="","",N($D117)-N($C117))</f>
        <v/>
      </c>
      <c r="F117" s="11" t="str">
        <f aca="false">IF(OR($A117="",N($D117)=0),"",($D117-$C117)/$D117)</f>
        <v/>
      </c>
      <c r="G117" s="8"/>
    </row>
    <row r="118" customFormat="false" ht="15" hidden="false" customHeight="false" outlineLevel="0" collapsed="false">
      <c r="A118" s="8"/>
      <c r="B118" s="8"/>
      <c r="C118" s="9"/>
      <c r="D118" s="9"/>
      <c r="E118" s="10" t="str">
        <f aca="false">IF($A118="","",N($D118)-N($C118))</f>
        <v/>
      </c>
      <c r="F118" s="11" t="str">
        <f aca="false">IF(OR($A118="",N($D118)=0),"",($D118-$C118)/$D118)</f>
        <v/>
      </c>
      <c r="G118" s="8"/>
    </row>
    <row r="119" customFormat="false" ht="15" hidden="false" customHeight="false" outlineLevel="0" collapsed="false">
      <c r="A119" s="8"/>
      <c r="B119" s="8"/>
      <c r="C119" s="9"/>
      <c r="D119" s="9"/>
      <c r="E119" s="10" t="str">
        <f aca="false">IF($A119="","",N($D119)-N($C119))</f>
        <v/>
      </c>
      <c r="F119" s="11" t="str">
        <f aca="false">IF(OR($A119="",N($D119)=0),"",($D119-$C119)/$D119)</f>
        <v/>
      </c>
      <c r="G119" s="8"/>
    </row>
    <row r="120" customFormat="false" ht="15" hidden="false" customHeight="false" outlineLevel="0" collapsed="false">
      <c r="A120" s="8"/>
      <c r="B120" s="8"/>
      <c r="C120" s="9"/>
      <c r="D120" s="9"/>
      <c r="E120" s="10" t="str">
        <f aca="false">IF($A120="","",N($D120)-N($C120))</f>
        <v/>
      </c>
      <c r="F120" s="11" t="str">
        <f aca="false">IF(OR($A120="",N($D120)=0),"",($D120-$C120)/$D120)</f>
        <v/>
      </c>
      <c r="G120" s="8"/>
    </row>
    <row r="121" customFormat="false" ht="15" hidden="false" customHeight="false" outlineLevel="0" collapsed="false">
      <c r="A121" s="8"/>
      <c r="B121" s="8"/>
      <c r="C121" s="9"/>
      <c r="D121" s="9"/>
      <c r="E121" s="10" t="str">
        <f aca="false">IF($A121="","",N($D121)-N($C121))</f>
        <v/>
      </c>
      <c r="F121" s="11" t="str">
        <f aca="false">IF(OR($A121="",N($D121)=0),"",($D121-$C121)/$D121)</f>
        <v/>
      </c>
      <c r="G121" s="8"/>
    </row>
    <row r="122" customFormat="false" ht="15" hidden="false" customHeight="false" outlineLevel="0" collapsed="false">
      <c r="A122" s="8"/>
      <c r="B122" s="8"/>
      <c r="C122" s="9"/>
      <c r="D122" s="9"/>
      <c r="E122" s="10" t="str">
        <f aca="false">IF($A122="","",N($D122)-N($C122))</f>
        <v/>
      </c>
      <c r="F122" s="11" t="str">
        <f aca="false">IF(OR($A122="",N($D122)=0),"",($D122-$C122)/$D122)</f>
        <v/>
      </c>
      <c r="G122" s="8"/>
    </row>
    <row r="123" customFormat="false" ht="15" hidden="false" customHeight="false" outlineLevel="0" collapsed="false">
      <c r="A123" s="8"/>
      <c r="B123" s="8"/>
      <c r="C123" s="9"/>
      <c r="D123" s="9"/>
      <c r="E123" s="10" t="str">
        <f aca="false">IF($A123="","",N($D123)-N($C123))</f>
        <v/>
      </c>
      <c r="F123" s="11" t="str">
        <f aca="false">IF(OR($A123="",N($D123)=0),"",($D123-$C123)/$D123)</f>
        <v/>
      </c>
      <c r="G123" s="8"/>
    </row>
    <row r="124" customFormat="false" ht="15" hidden="false" customHeight="false" outlineLevel="0" collapsed="false">
      <c r="A124" s="8"/>
      <c r="B124" s="8"/>
      <c r="C124" s="9"/>
      <c r="D124" s="9"/>
      <c r="E124" s="10" t="str">
        <f aca="false">IF($A124="","",N($D124)-N($C124))</f>
        <v/>
      </c>
      <c r="F124" s="11" t="str">
        <f aca="false">IF(OR($A124="",N($D124)=0),"",($D124-$C124)/$D124)</f>
        <v/>
      </c>
      <c r="G124" s="8"/>
    </row>
    <row r="125" customFormat="false" ht="15" hidden="false" customHeight="false" outlineLevel="0" collapsed="false">
      <c r="A125" s="8"/>
      <c r="B125" s="8"/>
      <c r="C125" s="9"/>
      <c r="D125" s="9"/>
      <c r="E125" s="10" t="str">
        <f aca="false">IF($A125="","",N($D125)-N($C125))</f>
        <v/>
      </c>
      <c r="F125" s="11" t="str">
        <f aca="false">IF(OR($A125="",N($D125)=0),"",($D125-$C125)/$D125)</f>
        <v/>
      </c>
      <c r="G125" s="8"/>
    </row>
    <row r="126" customFormat="false" ht="15" hidden="false" customHeight="false" outlineLevel="0" collapsed="false">
      <c r="A126" s="8"/>
      <c r="B126" s="8"/>
      <c r="C126" s="9"/>
      <c r="D126" s="9"/>
      <c r="E126" s="10" t="str">
        <f aca="false">IF($A126="","",N($D126)-N($C126))</f>
        <v/>
      </c>
      <c r="F126" s="11" t="str">
        <f aca="false">IF(OR($A126="",N($D126)=0),"",($D126-$C126)/$D126)</f>
        <v/>
      </c>
      <c r="G126" s="8"/>
    </row>
    <row r="127" customFormat="false" ht="15" hidden="false" customHeight="false" outlineLevel="0" collapsed="false">
      <c r="A127" s="8"/>
      <c r="B127" s="8"/>
      <c r="C127" s="9"/>
      <c r="D127" s="9"/>
      <c r="E127" s="10" t="str">
        <f aca="false">IF($A127="","",N($D127)-N($C127))</f>
        <v/>
      </c>
      <c r="F127" s="11" t="str">
        <f aca="false">IF(OR($A127="",N($D127)=0),"",($D127-$C127)/$D127)</f>
        <v/>
      </c>
      <c r="G127" s="8"/>
    </row>
    <row r="128" customFormat="false" ht="15" hidden="false" customHeight="false" outlineLevel="0" collapsed="false">
      <c r="A128" s="8"/>
      <c r="B128" s="8"/>
      <c r="C128" s="9"/>
      <c r="D128" s="9"/>
      <c r="E128" s="10" t="str">
        <f aca="false">IF($A128="","",N($D128)-N($C128))</f>
        <v/>
      </c>
      <c r="F128" s="11" t="str">
        <f aca="false">IF(OR($A128="",N($D128)=0),"",($D128-$C128)/$D128)</f>
        <v/>
      </c>
      <c r="G128" s="8"/>
    </row>
    <row r="129" customFormat="false" ht="15" hidden="false" customHeight="false" outlineLevel="0" collapsed="false">
      <c r="A129" s="8"/>
      <c r="B129" s="8"/>
      <c r="C129" s="9"/>
      <c r="D129" s="9"/>
      <c r="E129" s="10" t="str">
        <f aca="false">IF($A129="","",N($D129)-N($C129))</f>
        <v/>
      </c>
      <c r="F129" s="11" t="str">
        <f aca="false">IF(OR($A129="",N($D129)=0),"",($D129-$C129)/$D129)</f>
        <v/>
      </c>
      <c r="G129" s="8"/>
    </row>
    <row r="130" customFormat="false" ht="15" hidden="false" customHeight="false" outlineLevel="0" collapsed="false">
      <c r="A130" s="8"/>
      <c r="B130" s="8"/>
      <c r="C130" s="9"/>
      <c r="D130" s="9"/>
      <c r="E130" s="10" t="str">
        <f aca="false">IF($A130="","",N($D130)-N($C130))</f>
        <v/>
      </c>
      <c r="F130" s="11" t="str">
        <f aca="false">IF(OR($A130="",N($D130)=0),"",($D130-$C130)/$D130)</f>
        <v/>
      </c>
      <c r="G130" s="8"/>
    </row>
    <row r="131" customFormat="false" ht="15" hidden="false" customHeight="false" outlineLevel="0" collapsed="false">
      <c r="A131" s="8"/>
      <c r="B131" s="8"/>
      <c r="C131" s="9"/>
      <c r="D131" s="9"/>
      <c r="E131" s="10" t="str">
        <f aca="false">IF($A131="","",N($D131)-N($C131))</f>
        <v/>
      </c>
      <c r="F131" s="11" t="str">
        <f aca="false">IF(OR($A131="",N($D131)=0),"",($D131-$C131)/$D131)</f>
        <v/>
      </c>
      <c r="G131" s="8"/>
    </row>
    <row r="132" customFormat="false" ht="15" hidden="false" customHeight="false" outlineLevel="0" collapsed="false">
      <c r="A132" s="8"/>
      <c r="B132" s="8"/>
      <c r="C132" s="9"/>
      <c r="D132" s="9"/>
      <c r="E132" s="10" t="str">
        <f aca="false">IF($A132="","",N($D132)-N($C132))</f>
        <v/>
      </c>
      <c r="F132" s="11" t="str">
        <f aca="false">IF(OR($A132="",N($D132)=0),"",($D132-$C132)/$D132)</f>
        <v/>
      </c>
      <c r="G132" s="8"/>
    </row>
    <row r="133" customFormat="false" ht="15" hidden="false" customHeight="false" outlineLevel="0" collapsed="false">
      <c r="A133" s="8"/>
      <c r="B133" s="8"/>
      <c r="C133" s="9"/>
      <c r="D133" s="9"/>
      <c r="E133" s="10" t="str">
        <f aca="false">IF($A133="","",N($D133)-N($C133))</f>
        <v/>
      </c>
      <c r="F133" s="11" t="str">
        <f aca="false">IF(OR($A133="",N($D133)=0),"",($D133-$C133)/$D133)</f>
        <v/>
      </c>
      <c r="G133" s="8"/>
    </row>
    <row r="134" customFormat="false" ht="15" hidden="false" customHeight="false" outlineLevel="0" collapsed="false">
      <c r="A134" s="8"/>
      <c r="B134" s="8"/>
      <c r="C134" s="9"/>
      <c r="D134" s="9"/>
      <c r="E134" s="10" t="str">
        <f aca="false">IF($A134="","",N($D134)-N($C134))</f>
        <v/>
      </c>
      <c r="F134" s="11" t="str">
        <f aca="false">IF(OR($A134="",N($D134)=0),"",($D134-$C134)/$D134)</f>
        <v/>
      </c>
      <c r="G134" s="8"/>
    </row>
    <row r="135" customFormat="false" ht="15" hidden="false" customHeight="false" outlineLevel="0" collapsed="false">
      <c r="A135" s="8"/>
      <c r="B135" s="8"/>
      <c r="C135" s="9"/>
      <c r="D135" s="9"/>
      <c r="E135" s="10" t="str">
        <f aca="false">IF($A135="","",N($D135)-N($C135))</f>
        <v/>
      </c>
      <c r="F135" s="11" t="str">
        <f aca="false">IF(OR($A135="",N($D135)=0),"",($D135-$C135)/$D135)</f>
        <v/>
      </c>
      <c r="G135" s="8"/>
    </row>
    <row r="136" customFormat="false" ht="15" hidden="false" customHeight="false" outlineLevel="0" collapsed="false">
      <c r="A136" s="8"/>
      <c r="B136" s="8"/>
      <c r="C136" s="9"/>
      <c r="D136" s="9"/>
      <c r="E136" s="10" t="str">
        <f aca="false">IF($A136="","",N($D136)-N($C136))</f>
        <v/>
      </c>
      <c r="F136" s="11" t="str">
        <f aca="false">IF(OR($A136="",N($D136)=0),"",($D136-$C136)/$D136)</f>
        <v/>
      </c>
      <c r="G136" s="8"/>
    </row>
    <row r="137" customFormat="false" ht="15" hidden="false" customHeight="false" outlineLevel="0" collapsed="false">
      <c r="A137" s="8"/>
      <c r="B137" s="8"/>
      <c r="C137" s="9"/>
      <c r="D137" s="9"/>
      <c r="E137" s="10" t="str">
        <f aca="false">IF($A137="","",N($D137)-N($C137))</f>
        <v/>
      </c>
      <c r="F137" s="11" t="str">
        <f aca="false">IF(OR($A137="",N($D137)=0),"",($D137-$C137)/$D137)</f>
        <v/>
      </c>
      <c r="G137" s="8"/>
    </row>
    <row r="138" customFormat="false" ht="15" hidden="false" customHeight="false" outlineLevel="0" collapsed="false">
      <c r="A138" s="8"/>
      <c r="B138" s="8"/>
      <c r="C138" s="9"/>
      <c r="D138" s="9"/>
      <c r="E138" s="10" t="str">
        <f aca="false">IF($A138="","",N($D138)-N($C138))</f>
        <v/>
      </c>
      <c r="F138" s="11" t="str">
        <f aca="false">IF(OR($A138="",N($D138)=0),"",($D138-$C138)/$D138)</f>
        <v/>
      </c>
      <c r="G138" s="8"/>
    </row>
    <row r="139" customFormat="false" ht="15" hidden="false" customHeight="false" outlineLevel="0" collapsed="false">
      <c r="A139" s="8"/>
      <c r="B139" s="8"/>
      <c r="C139" s="9"/>
      <c r="D139" s="9"/>
      <c r="E139" s="10" t="str">
        <f aca="false">IF($A139="","",N($D139)-N($C139))</f>
        <v/>
      </c>
      <c r="F139" s="11" t="str">
        <f aca="false">IF(OR($A139="",N($D139)=0),"",($D139-$C139)/$D139)</f>
        <v/>
      </c>
      <c r="G139" s="8"/>
    </row>
    <row r="140" customFormat="false" ht="15" hidden="false" customHeight="false" outlineLevel="0" collapsed="false">
      <c r="A140" s="8"/>
      <c r="B140" s="8"/>
      <c r="C140" s="9"/>
      <c r="D140" s="9"/>
      <c r="E140" s="10" t="str">
        <f aca="false">IF($A140="","",N($D140)-N($C140))</f>
        <v/>
      </c>
      <c r="F140" s="11" t="str">
        <f aca="false">IF(OR($A140="",N($D140)=0),"",($D140-$C140)/$D140)</f>
        <v/>
      </c>
      <c r="G140" s="8"/>
    </row>
    <row r="141" customFormat="false" ht="15" hidden="false" customHeight="false" outlineLevel="0" collapsed="false">
      <c r="A141" s="8"/>
      <c r="B141" s="8"/>
      <c r="C141" s="9"/>
      <c r="D141" s="9"/>
      <c r="E141" s="10" t="str">
        <f aca="false">IF($A141="","",N($D141)-N($C141))</f>
        <v/>
      </c>
      <c r="F141" s="11" t="str">
        <f aca="false">IF(OR($A141="",N($D141)=0),"",($D141-$C141)/$D141)</f>
        <v/>
      </c>
      <c r="G141" s="8"/>
    </row>
    <row r="142" customFormat="false" ht="15" hidden="false" customHeight="false" outlineLevel="0" collapsed="false">
      <c r="A142" s="8"/>
      <c r="B142" s="8"/>
      <c r="C142" s="9"/>
      <c r="D142" s="9"/>
      <c r="E142" s="10" t="str">
        <f aca="false">IF($A142="","",N($D142)-N($C142))</f>
        <v/>
      </c>
      <c r="F142" s="11" t="str">
        <f aca="false">IF(OR($A142="",N($D142)=0),"",($D142-$C142)/$D142)</f>
        <v/>
      </c>
      <c r="G142" s="8"/>
    </row>
    <row r="143" customFormat="false" ht="15" hidden="false" customHeight="false" outlineLevel="0" collapsed="false">
      <c r="A143" s="8"/>
      <c r="B143" s="8"/>
      <c r="C143" s="9"/>
      <c r="D143" s="9"/>
      <c r="E143" s="10" t="str">
        <f aca="false">IF($A143="","",N($D143)-N($C143))</f>
        <v/>
      </c>
      <c r="F143" s="11" t="str">
        <f aca="false">IF(OR($A143="",N($D143)=0),"",($D143-$C143)/$D143)</f>
        <v/>
      </c>
      <c r="G143" s="8"/>
    </row>
    <row r="144" customFormat="false" ht="15" hidden="false" customHeight="false" outlineLevel="0" collapsed="false">
      <c r="A144" s="8"/>
      <c r="B144" s="8"/>
      <c r="C144" s="9"/>
      <c r="D144" s="9"/>
      <c r="E144" s="10" t="str">
        <f aca="false">IF($A144="","",N($D144)-N($C144))</f>
        <v/>
      </c>
      <c r="F144" s="11" t="str">
        <f aca="false">IF(OR($A144="",N($D144)=0),"",($D144-$C144)/$D144)</f>
        <v/>
      </c>
      <c r="G144" s="8"/>
    </row>
    <row r="145" customFormat="false" ht="15" hidden="false" customHeight="false" outlineLevel="0" collapsed="false">
      <c r="A145" s="8"/>
      <c r="B145" s="8"/>
      <c r="C145" s="9"/>
      <c r="D145" s="9"/>
      <c r="E145" s="10" t="str">
        <f aca="false">IF($A145="","",N($D145)-N($C145))</f>
        <v/>
      </c>
      <c r="F145" s="11" t="str">
        <f aca="false">IF(OR($A145="",N($D145)=0),"",($D145-$C145)/$D145)</f>
        <v/>
      </c>
      <c r="G145" s="8"/>
    </row>
    <row r="146" customFormat="false" ht="15" hidden="false" customHeight="false" outlineLevel="0" collapsed="false">
      <c r="A146" s="8"/>
      <c r="B146" s="8"/>
      <c r="C146" s="9"/>
      <c r="D146" s="9"/>
      <c r="E146" s="10" t="str">
        <f aca="false">IF($A146="","",N($D146)-N($C146))</f>
        <v/>
      </c>
      <c r="F146" s="11" t="str">
        <f aca="false">IF(OR($A146="",N($D146)=0),"",($D146-$C146)/$D146)</f>
        <v/>
      </c>
      <c r="G146" s="8"/>
    </row>
    <row r="147" customFormat="false" ht="15" hidden="false" customHeight="false" outlineLevel="0" collapsed="false">
      <c r="A147" s="8"/>
      <c r="B147" s="8"/>
      <c r="C147" s="9"/>
      <c r="D147" s="9"/>
      <c r="E147" s="10" t="str">
        <f aca="false">IF($A147="","",N($D147)-N($C147))</f>
        <v/>
      </c>
      <c r="F147" s="11" t="str">
        <f aca="false">IF(OR($A147="",N($D147)=0),"",($D147-$C147)/$D147)</f>
        <v/>
      </c>
      <c r="G147" s="8"/>
    </row>
    <row r="148" customFormat="false" ht="15" hidden="false" customHeight="false" outlineLevel="0" collapsed="false">
      <c r="A148" s="8"/>
      <c r="B148" s="8"/>
      <c r="C148" s="9"/>
      <c r="D148" s="9"/>
      <c r="E148" s="10" t="str">
        <f aca="false">IF($A148="","",N($D148)-N($C148))</f>
        <v/>
      </c>
      <c r="F148" s="11" t="str">
        <f aca="false">IF(OR($A148="",N($D148)=0),"",($D148-$C148)/$D148)</f>
        <v/>
      </c>
      <c r="G148" s="8"/>
    </row>
    <row r="149" customFormat="false" ht="15" hidden="false" customHeight="false" outlineLevel="0" collapsed="false">
      <c r="A149" s="8"/>
      <c r="B149" s="8"/>
      <c r="C149" s="9"/>
      <c r="D149" s="9"/>
      <c r="E149" s="10" t="str">
        <f aca="false">IF($A149="","",N($D149)-N($C149))</f>
        <v/>
      </c>
      <c r="F149" s="11" t="str">
        <f aca="false">IF(OR($A149="",N($D149)=0),"",($D149-$C149)/$D149)</f>
        <v/>
      </c>
      <c r="G149" s="8"/>
    </row>
    <row r="150" customFormat="false" ht="15" hidden="false" customHeight="false" outlineLevel="0" collapsed="false">
      <c r="A150" s="8"/>
      <c r="B150" s="8"/>
      <c r="C150" s="9"/>
      <c r="D150" s="9"/>
      <c r="E150" s="10" t="str">
        <f aca="false">IF($A150="","",N($D150)-N($C150))</f>
        <v/>
      </c>
      <c r="F150" s="11" t="str">
        <f aca="false">IF(OR($A150="",N($D150)=0),"",($D150-$C150)/$D150)</f>
        <v/>
      </c>
      <c r="G150" s="8"/>
    </row>
    <row r="151" customFormat="false" ht="15" hidden="false" customHeight="false" outlineLevel="0" collapsed="false">
      <c r="A151" s="8"/>
      <c r="B151" s="8"/>
      <c r="C151" s="9"/>
      <c r="D151" s="9"/>
      <c r="E151" s="10" t="str">
        <f aca="false">IF($A151="","",N($D151)-N($C151))</f>
        <v/>
      </c>
      <c r="F151" s="11" t="str">
        <f aca="false">IF(OR($A151="",N($D151)=0),"",($D151-$C151)/$D151)</f>
        <v/>
      </c>
      <c r="G151" s="8"/>
    </row>
    <row r="152" customFormat="false" ht="15" hidden="false" customHeight="false" outlineLevel="0" collapsed="false">
      <c r="A152" s="8"/>
      <c r="B152" s="8"/>
      <c r="C152" s="9"/>
      <c r="D152" s="9"/>
      <c r="E152" s="10" t="str">
        <f aca="false">IF($A152="","",N($D152)-N($C152))</f>
        <v/>
      </c>
      <c r="F152" s="11" t="str">
        <f aca="false">IF(OR($A152="",N($D152)=0),"",($D152-$C152)/$D152)</f>
        <v/>
      </c>
      <c r="G152" s="8"/>
    </row>
    <row r="153" customFormat="false" ht="15" hidden="false" customHeight="false" outlineLevel="0" collapsed="false">
      <c r="A153" s="8"/>
      <c r="B153" s="8"/>
      <c r="C153" s="9"/>
      <c r="D153" s="9"/>
      <c r="E153" s="10" t="str">
        <f aca="false">IF($A153="","",N($D153)-N($C153))</f>
        <v/>
      </c>
      <c r="F153" s="11" t="str">
        <f aca="false">IF(OR($A153="",N($D153)=0),"",($D153-$C153)/$D153)</f>
        <v/>
      </c>
      <c r="G153" s="8"/>
    </row>
    <row r="154" customFormat="false" ht="15" hidden="false" customHeight="false" outlineLevel="0" collapsed="false">
      <c r="A154" s="8"/>
      <c r="B154" s="8"/>
      <c r="C154" s="9"/>
      <c r="D154" s="9"/>
      <c r="E154" s="10" t="str">
        <f aca="false">IF($A154="","",N($D154)-N($C154))</f>
        <v/>
      </c>
      <c r="F154" s="11" t="str">
        <f aca="false">IF(OR($A154="",N($D154)=0),"",($D154-$C154)/$D154)</f>
        <v/>
      </c>
      <c r="G154" s="8"/>
    </row>
    <row r="155" customFormat="false" ht="15" hidden="false" customHeight="false" outlineLevel="0" collapsed="false">
      <c r="A155" s="8"/>
      <c r="B155" s="8"/>
      <c r="C155" s="9"/>
      <c r="D155" s="9"/>
      <c r="E155" s="10" t="str">
        <f aca="false">IF($A155="","",N($D155)-N($C155))</f>
        <v/>
      </c>
      <c r="F155" s="11" t="str">
        <f aca="false">IF(OR($A155="",N($D155)=0),"",($D155-$C155)/$D155)</f>
        <v/>
      </c>
      <c r="G155" s="8"/>
    </row>
    <row r="156" customFormat="false" ht="15" hidden="false" customHeight="false" outlineLevel="0" collapsed="false">
      <c r="A156" s="8"/>
      <c r="B156" s="8"/>
      <c r="C156" s="9"/>
      <c r="D156" s="9"/>
      <c r="E156" s="10" t="str">
        <f aca="false">IF($A156="","",N($D156)-N($C156))</f>
        <v/>
      </c>
      <c r="F156" s="11" t="str">
        <f aca="false">IF(OR($A156="",N($D156)=0),"",($D156-$C156)/$D156)</f>
        <v/>
      </c>
      <c r="G156" s="8"/>
    </row>
    <row r="157" customFormat="false" ht="15" hidden="false" customHeight="false" outlineLevel="0" collapsed="false">
      <c r="A157" s="8"/>
      <c r="B157" s="8"/>
      <c r="C157" s="9"/>
      <c r="D157" s="9"/>
      <c r="E157" s="10" t="str">
        <f aca="false">IF($A157="","",N($D157)-N($C157))</f>
        <v/>
      </c>
      <c r="F157" s="11" t="str">
        <f aca="false">IF(OR($A157="",N($D157)=0),"",($D157-$C157)/$D157)</f>
        <v/>
      </c>
      <c r="G157" s="8"/>
    </row>
    <row r="158" customFormat="false" ht="15" hidden="false" customHeight="false" outlineLevel="0" collapsed="false">
      <c r="A158" s="8"/>
      <c r="B158" s="8"/>
      <c r="C158" s="9"/>
      <c r="D158" s="9"/>
      <c r="E158" s="10" t="str">
        <f aca="false">IF($A158="","",N($D158)-N($C158))</f>
        <v/>
      </c>
      <c r="F158" s="11" t="str">
        <f aca="false">IF(OR($A158="",N($D158)=0),"",($D158-$C158)/$D158)</f>
        <v/>
      </c>
      <c r="G158" s="8"/>
    </row>
    <row r="159" customFormat="false" ht="15" hidden="false" customHeight="false" outlineLevel="0" collapsed="false">
      <c r="A159" s="8"/>
      <c r="B159" s="8"/>
      <c r="C159" s="9"/>
      <c r="D159" s="9"/>
      <c r="E159" s="10" t="str">
        <f aca="false">IF($A159="","",N($D159)-N($C159))</f>
        <v/>
      </c>
      <c r="F159" s="11" t="str">
        <f aca="false">IF(OR($A159="",N($D159)=0),"",($D159-$C159)/$D159)</f>
        <v/>
      </c>
      <c r="G159" s="8"/>
    </row>
    <row r="160" customFormat="false" ht="15" hidden="false" customHeight="false" outlineLevel="0" collapsed="false">
      <c r="A160" s="8"/>
      <c r="B160" s="8"/>
      <c r="C160" s="9"/>
      <c r="D160" s="9"/>
      <c r="E160" s="10" t="str">
        <f aca="false">IF($A160="","",N($D160)-N($C160))</f>
        <v/>
      </c>
      <c r="F160" s="11" t="str">
        <f aca="false">IF(OR($A160="",N($D160)=0),"",($D160-$C160)/$D160)</f>
        <v/>
      </c>
      <c r="G160" s="8"/>
    </row>
    <row r="161" customFormat="false" ht="15" hidden="false" customHeight="false" outlineLevel="0" collapsed="false">
      <c r="A161" s="8"/>
      <c r="B161" s="8"/>
      <c r="C161" s="9"/>
      <c r="D161" s="9"/>
      <c r="E161" s="10" t="str">
        <f aca="false">IF($A161="","",N($D161)-N($C161))</f>
        <v/>
      </c>
      <c r="F161" s="11" t="str">
        <f aca="false">IF(OR($A161="",N($D161)=0),"",($D161-$C161)/$D161)</f>
        <v/>
      </c>
      <c r="G161" s="8"/>
    </row>
    <row r="162" customFormat="false" ht="15" hidden="false" customHeight="false" outlineLevel="0" collapsed="false">
      <c r="A162" s="8"/>
      <c r="B162" s="8"/>
      <c r="C162" s="9"/>
      <c r="D162" s="9"/>
      <c r="E162" s="10" t="str">
        <f aca="false">IF($A162="","",N($D162)-N($C162))</f>
        <v/>
      </c>
      <c r="F162" s="11" t="str">
        <f aca="false">IF(OR($A162="",N($D162)=0),"",($D162-$C162)/$D162)</f>
        <v/>
      </c>
      <c r="G162" s="8"/>
    </row>
    <row r="163" customFormat="false" ht="15" hidden="false" customHeight="false" outlineLevel="0" collapsed="false">
      <c r="A163" s="8"/>
      <c r="B163" s="8"/>
      <c r="C163" s="9"/>
      <c r="D163" s="9"/>
      <c r="E163" s="10" t="str">
        <f aca="false">IF($A163="","",N($D163)-N($C163))</f>
        <v/>
      </c>
      <c r="F163" s="11" t="str">
        <f aca="false">IF(OR($A163="",N($D163)=0),"",($D163-$C163)/$D163)</f>
        <v/>
      </c>
      <c r="G163" s="8"/>
    </row>
    <row r="164" customFormat="false" ht="15" hidden="false" customHeight="false" outlineLevel="0" collapsed="false">
      <c r="A164" s="8"/>
      <c r="B164" s="8"/>
      <c r="C164" s="9"/>
      <c r="D164" s="9"/>
      <c r="E164" s="10" t="str">
        <f aca="false">IF($A164="","",N($D164)-N($C164))</f>
        <v/>
      </c>
      <c r="F164" s="11" t="str">
        <f aca="false">IF(OR($A164="",N($D164)=0),"",($D164-$C164)/$D164)</f>
        <v/>
      </c>
      <c r="G164" s="8"/>
    </row>
    <row r="165" customFormat="false" ht="15" hidden="false" customHeight="false" outlineLevel="0" collapsed="false">
      <c r="A165" s="8"/>
      <c r="B165" s="8"/>
      <c r="C165" s="9"/>
      <c r="D165" s="9"/>
      <c r="E165" s="10" t="str">
        <f aca="false">IF($A165="","",N($D165)-N($C165))</f>
        <v/>
      </c>
      <c r="F165" s="11" t="str">
        <f aca="false">IF(OR($A165="",N($D165)=0),"",($D165-$C165)/$D165)</f>
        <v/>
      </c>
      <c r="G165" s="8"/>
    </row>
    <row r="166" customFormat="false" ht="15" hidden="false" customHeight="false" outlineLevel="0" collapsed="false">
      <c r="A166" s="8"/>
      <c r="B166" s="8"/>
      <c r="C166" s="9"/>
      <c r="D166" s="9"/>
      <c r="E166" s="10" t="str">
        <f aca="false">IF($A166="","",N($D166)-N($C166))</f>
        <v/>
      </c>
      <c r="F166" s="11" t="str">
        <f aca="false">IF(OR($A166="",N($D166)=0),"",($D166-$C166)/$D166)</f>
        <v/>
      </c>
      <c r="G166" s="8"/>
    </row>
    <row r="167" customFormat="false" ht="15" hidden="false" customHeight="false" outlineLevel="0" collapsed="false">
      <c r="A167" s="8"/>
      <c r="B167" s="8"/>
      <c r="C167" s="9"/>
      <c r="D167" s="9"/>
      <c r="E167" s="10" t="str">
        <f aca="false">IF($A167="","",N($D167)-N($C167))</f>
        <v/>
      </c>
      <c r="F167" s="11" t="str">
        <f aca="false">IF(OR($A167="",N($D167)=0),"",($D167-$C167)/$D167)</f>
        <v/>
      </c>
      <c r="G167" s="8"/>
    </row>
    <row r="168" customFormat="false" ht="15" hidden="false" customHeight="false" outlineLevel="0" collapsed="false">
      <c r="A168" s="8"/>
      <c r="B168" s="8"/>
      <c r="C168" s="9"/>
      <c r="D168" s="9"/>
      <c r="E168" s="10" t="str">
        <f aca="false">IF($A168="","",N($D168)-N($C168))</f>
        <v/>
      </c>
      <c r="F168" s="11" t="str">
        <f aca="false">IF(OR($A168="",N($D168)=0),"",($D168-$C168)/$D168)</f>
        <v/>
      </c>
      <c r="G168" s="8"/>
    </row>
    <row r="169" customFormat="false" ht="15" hidden="false" customHeight="false" outlineLevel="0" collapsed="false">
      <c r="A169" s="8"/>
      <c r="B169" s="8"/>
      <c r="C169" s="9"/>
      <c r="D169" s="9"/>
      <c r="E169" s="10" t="str">
        <f aca="false">IF($A169="","",N($D169)-N($C169))</f>
        <v/>
      </c>
      <c r="F169" s="11" t="str">
        <f aca="false">IF(OR($A169="",N($D169)=0),"",($D169-$C169)/$D169)</f>
        <v/>
      </c>
      <c r="G169" s="8"/>
    </row>
    <row r="170" customFormat="false" ht="15" hidden="false" customHeight="false" outlineLevel="0" collapsed="false">
      <c r="A170" s="8"/>
      <c r="B170" s="8"/>
      <c r="C170" s="9"/>
      <c r="D170" s="9"/>
      <c r="E170" s="10" t="str">
        <f aca="false">IF($A170="","",N($D170)-N($C170))</f>
        <v/>
      </c>
      <c r="F170" s="11" t="str">
        <f aca="false">IF(OR($A170="",N($D170)=0),"",($D170-$C170)/$D170)</f>
        <v/>
      </c>
      <c r="G170" s="8"/>
    </row>
    <row r="171" customFormat="false" ht="15" hidden="false" customHeight="false" outlineLevel="0" collapsed="false">
      <c r="A171" s="8"/>
      <c r="B171" s="8"/>
      <c r="C171" s="9"/>
      <c r="D171" s="9"/>
      <c r="E171" s="10" t="str">
        <f aca="false">IF($A171="","",N($D171)-N($C171))</f>
        <v/>
      </c>
      <c r="F171" s="11" t="str">
        <f aca="false">IF(OR($A171="",N($D171)=0),"",($D171-$C171)/$D171)</f>
        <v/>
      </c>
      <c r="G171" s="8"/>
    </row>
    <row r="172" customFormat="false" ht="15" hidden="false" customHeight="false" outlineLevel="0" collapsed="false">
      <c r="A172" s="8"/>
      <c r="B172" s="8"/>
      <c r="C172" s="9"/>
      <c r="D172" s="9"/>
      <c r="E172" s="10" t="str">
        <f aca="false">IF($A172="","",N($D172)-N($C172))</f>
        <v/>
      </c>
      <c r="F172" s="11" t="str">
        <f aca="false">IF(OR($A172="",N($D172)=0),"",($D172-$C172)/$D172)</f>
        <v/>
      </c>
      <c r="G172" s="8"/>
    </row>
    <row r="173" customFormat="false" ht="15" hidden="false" customHeight="false" outlineLevel="0" collapsed="false">
      <c r="A173" s="8"/>
      <c r="B173" s="8"/>
      <c r="C173" s="9"/>
      <c r="D173" s="9"/>
      <c r="E173" s="10" t="str">
        <f aca="false">IF($A173="","",N($D173)-N($C173))</f>
        <v/>
      </c>
      <c r="F173" s="11" t="str">
        <f aca="false">IF(OR($A173="",N($D173)=0),"",($D173-$C173)/$D173)</f>
        <v/>
      </c>
      <c r="G173" s="8"/>
    </row>
    <row r="174" customFormat="false" ht="15" hidden="false" customHeight="false" outlineLevel="0" collapsed="false">
      <c r="A174" s="8"/>
      <c r="B174" s="8"/>
      <c r="C174" s="9"/>
      <c r="D174" s="9"/>
      <c r="E174" s="10" t="str">
        <f aca="false">IF($A174="","",N($D174)-N($C174))</f>
        <v/>
      </c>
      <c r="F174" s="11" t="str">
        <f aca="false">IF(OR($A174="",N($D174)=0),"",($D174-$C174)/$D174)</f>
        <v/>
      </c>
      <c r="G174" s="8"/>
    </row>
    <row r="175" customFormat="false" ht="15" hidden="false" customHeight="false" outlineLevel="0" collapsed="false">
      <c r="A175" s="8"/>
      <c r="B175" s="8"/>
      <c r="C175" s="9"/>
      <c r="D175" s="9"/>
      <c r="E175" s="10" t="str">
        <f aca="false">IF($A175="","",N($D175)-N($C175))</f>
        <v/>
      </c>
      <c r="F175" s="11" t="str">
        <f aca="false">IF(OR($A175="",N($D175)=0),"",($D175-$C175)/$D175)</f>
        <v/>
      </c>
      <c r="G175" s="8"/>
    </row>
    <row r="176" customFormat="false" ht="15" hidden="false" customHeight="false" outlineLevel="0" collapsed="false">
      <c r="A176" s="8"/>
      <c r="B176" s="8"/>
      <c r="C176" s="9"/>
      <c r="D176" s="9"/>
      <c r="E176" s="10" t="str">
        <f aca="false">IF($A176="","",N($D176)-N($C176))</f>
        <v/>
      </c>
      <c r="F176" s="11" t="str">
        <f aca="false">IF(OR($A176="",N($D176)=0),"",($D176-$C176)/$D176)</f>
        <v/>
      </c>
      <c r="G176" s="8"/>
    </row>
    <row r="177" customFormat="false" ht="15" hidden="false" customHeight="false" outlineLevel="0" collapsed="false">
      <c r="A177" s="8"/>
      <c r="B177" s="8"/>
      <c r="C177" s="9"/>
      <c r="D177" s="9"/>
      <c r="E177" s="10" t="str">
        <f aca="false">IF($A177="","",N($D177)-N($C177))</f>
        <v/>
      </c>
      <c r="F177" s="11" t="str">
        <f aca="false">IF(OR($A177="",N($D177)=0),"",($D177-$C177)/$D177)</f>
        <v/>
      </c>
      <c r="G177" s="8"/>
    </row>
    <row r="178" customFormat="false" ht="15" hidden="false" customHeight="false" outlineLevel="0" collapsed="false">
      <c r="A178" s="8"/>
      <c r="B178" s="8"/>
      <c r="C178" s="9"/>
      <c r="D178" s="9"/>
      <c r="E178" s="10" t="str">
        <f aca="false">IF($A178="","",N($D178)-N($C178))</f>
        <v/>
      </c>
      <c r="F178" s="11" t="str">
        <f aca="false">IF(OR($A178="",N($D178)=0),"",($D178-$C178)/$D178)</f>
        <v/>
      </c>
      <c r="G178" s="8"/>
    </row>
    <row r="179" customFormat="false" ht="15" hidden="false" customHeight="false" outlineLevel="0" collapsed="false">
      <c r="A179" s="8"/>
      <c r="B179" s="8"/>
      <c r="C179" s="9"/>
      <c r="D179" s="9"/>
      <c r="E179" s="10" t="str">
        <f aca="false">IF($A179="","",N($D179)-N($C179))</f>
        <v/>
      </c>
      <c r="F179" s="11" t="str">
        <f aca="false">IF(OR($A179="",N($D179)=0),"",($D179-$C179)/$D179)</f>
        <v/>
      </c>
      <c r="G179" s="8"/>
    </row>
    <row r="180" customFormat="false" ht="15" hidden="false" customHeight="false" outlineLevel="0" collapsed="false">
      <c r="A180" s="8"/>
      <c r="B180" s="8"/>
      <c r="C180" s="9"/>
      <c r="D180" s="9"/>
      <c r="E180" s="10" t="str">
        <f aca="false">IF($A180="","",N($D180)-N($C180))</f>
        <v/>
      </c>
      <c r="F180" s="11" t="str">
        <f aca="false">IF(OR($A180="",N($D180)=0),"",($D180-$C180)/$D180)</f>
        <v/>
      </c>
      <c r="G180" s="8"/>
    </row>
    <row r="181" customFormat="false" ht="15" hidden="false" customHeight="false" outlineLevel="0" collapsed="false">
      <c r="A181" s="8"/>
      <c r="B181" s="8"/>
      <c r="C181" s="9"/>
      <c r="D181" s="9"/>
      <c r="E181" s="10" t="str">
        <f aca="false">IF($A181="","",N($D181)-N($C181))</f>
        <v/>
      </c>
      <c r="F181" s="11" t="str">
        <f aca="false">IF(OR($A181="",N($D181)=0),"",($D181-$C181)/$D181)</f>
        <v/>
      </c>
      <c r="G181" s="8"/>
    </row>
    <row r="182" customFormat="false" ht="15" hidden="false" customHeight="false" outlineLevel="0" collapsed="false">
      <c r="A182" s="8"/>
      <c r="B182" s="8"/>
      <c r="C182" s="9"/>
      <c r="D182" s="9"/>
      <c r="E182" s="10" t="str">
        <f aca="false">IF($A182="","",N($D182)-N($C182))</f>
        <v/>
      </c>
      <c r="F182" s="11" t="str">
        <f aca="false">IF(OR($A182="",N($D182)=0),"",($D182-$C182)/$D182)</f>
        <v/>
      </c>
      <c r="G182" s="8"/>
    </row>
    <row r="183" customFormat="false" ht="15" hidden="false" customHeight="false" outlineLevel="0" collapsed="false">
      <c r="A183" s="8"/>
      <c r="B183" s="8"/>
      <c r="C183" s="9"/>
      <c r="D183" s="9"/>
      <c r="E183" s="10" t="str">
        <f aca="false">IF($A183="","",N($D183)-N($C183))</f>
        <v/>
      </c>
      <c r="F183" s="11" t="str">
        <f aca="false">IF(OR($A183="",N($D183)=0),"",($D183-$C183)/$D183)</f>
        <v/>
      </c>
      <c r="G183" s="8"/>
    </row>
    <row r="184" customFormat="false" ht="15" hidden="false" customHeight="false" outlineLevel="0" collapsed="false">
      <c r="A184" s="8"/>
      <c r="B184" s="8"/>
      <c r="C184" s="9"/>
      <c r="D184" s="9"/>
      <c r="E184" s="10" t="str">
        <f aca="false">IF($A184="","",N($D184)-N($C184))</f>
        <v/>
      </c>
      <c r="F184" s="11" t="str">
        <f aca="false">IF(OR($A184="",N($D184)=0),"",($D184-$C184)/$D184)</f>
        <v/>
      </c>
      <c r="G184" s="8"/>
    </row>
    <row r="185" customFormat="false" ht="15" hidden="false" customHeight="false" outlineLevel="0" collapsed="false">
      <c r="A185" s="8"/>
      <c r="B185" s="8"/>
      <c r="C185" s="9"/>
      <c r="D185" s="9"/>
      <c r="E185" s="10" t="str">
        <f aca="false">IF($A185="","",N($D185)-N($C185))</f>
        <v/>
      </c>
      <c r="F185" s="11" t="str">
        <f aca="false">IF(OR($A185="",N($D185)=0),"",($D185-$C185)/$D185)</f>
        <v/>
      </c>
      <c r="G185" s="8"/>
    </row>
    <row r="186" customFormat="false" ht="15" hidden="false" customHeight="false" outlineLevel="0" collapsed="false">
      <c r="A186" s="8"/>
      <c r="B186" s="8"/>
      <c r="C186" s="9"/>
      <c r="D186" s="9"/>
      <c r="E186" s="10" t="str">
        <f aca="false">IF($A186="","",N($D186)-N($C186))</f>
        <v/>
      </c>
      <c r="F186" s="11" t="str">
        <f aca="false">IF(OR($A186="",N($D186)=0),"",($D186-$C186)/$D186)</f>
        <v/>
      </c>
      <c r="G186" s="8"/>
    </row>
    <row r="187" customFormat="false" ht="15" hidden="false" customHeight="false" outlineLevel="0" collapsed="false">
      <c r="A187" s="8"/>
      <c r="B187" s="8"/>
      <c r="C187" s="9"/>
      <c r="D187" s="9"/>
      <c r="E187" s="10" t="str">
        <f aca="false">IF($A187="","",N($D187)-N($C187))</f>
        <v/>
      </c>
      <c r="F187" s="11" t="str">
        <f aca="false">IF(OR($A187="",N($D187)=0),"",($D187-$C187)/$D187)</f>
        <v/>
      </c>
      <c r="G187" s="8"/>
    </row>
    <row r="188" customFormat="false" ht="15" hidden="false" customHeight="false" outlineLevel="0" collapsed="false">
      <c r="A188" s="8"/>
      <c r="B188" s="8"/>
      <c r="C188" s="9"/>
      <c r="D188" s="9"/>
      <c r="E188" s="10" t="str">
        <f aca="false">IF($A188="","",N($D188)-N($C188))</f>
        <v/>
      </c>
      <c r="F188" s="11" t="str">
        <f aca="false">IF(OR($A188="",N($D188)=0),"",($D188-$C188)/$D188)</f>
        <v/>
      </c>
      <c r="G188" s="8"/>
    </row>
    <row r="189" customFormat="false" ht="15" hidden="false" customHeight="false" outlineLevel="0" collapsed="false">
      <c r="A189" s="8"/>
      <c r="B189" s="8"/>
      <c r="C189" s="9"/>
      <c r="D189" s="9"/>
      <c r="E189" s="10" t="str">
        <f aca="false">IF($A189="","",N($D189)-N($C189))</f>
        <v/>
      </c>
      <c r="F189" s="11" t="str">
        <f aca="false">IF(OR($A189="",N($D189)=0),"",($D189-$C189)/$D189)</f>
        <v/>
      </c>
      <c r="G189" s="8"/>
    </row>
    <row r="190" customFormat="false" ht="15" hidden="false" customHeight="false" outlineLevel="0" collapsed="false">
      <c r="A190" s="8"/>
      <c r="B190" s="8"/>
      <c r="C190" s="9"/>
      <c r="D190" s="9"/>
      <c r="E190" s="10" t="str">
        <f aca="false">IF($A190="","",N($D190)-N($C190))</f>
        <v/>
      </c>
      <c r="F190" s="11" t="str">
        <f aca="false">IF(OR($A190="",N($D190)=0),"",($D190-$C190)/$D190)</f>
        <v/>
      </c>
      <c r="G190" s="8"/>
    </row>
    <row r="191" customFormat="false" ht="15" hidden="false" customHeight="false" outlineLevel="0" collapsed="false">
      <c r="A191" s="8"/>
      <c r="B191" s="8"/>
      <c r="C191" s="9"/>
      <c r="D191" s="9"/>
      <c r="E191" s="10" t="str">
        <f aca="false">IF($A191="","",N($D191)-N($C191))</f>
        <v/>
      </c>
      <c r="F191" s="11" t="str">
        <f aca="false">IF(OR($A191="",N($D191)=0),"",($D191-$C191)/$D191)</f>
        <v/>
      </c>
      <c r="G191" s="8"/>
    </row>
    <row r="192" customFormat="false" ht="15" hidden="false" customHeight="false" outlineLevel="0" collapsed="false">
      <c r="A192" s="8"/>
      <c r="B192" s="8"/>
      <c r="C192" s="9"/>
      <c r="D192" s="9"/>
      <c r="E192" s="10" t="str">
        <f aca="false">IF($A192="","",N($D192)-N($C192))</f>
        <v/>
      </c>
      <c r="F192" s="11" t="str">
        <f aca="false">IF(OR($A192="",N($D192)=0),"",($D192-$C192)/$D192)</f>
        <v/>
      </c>
      <c r="G192" s="8"/>
    </row>
    <row r="193" customFormat="false" ht="15" hidden="false" customHeight="false" outlineLevel="0" collapsed="false">
      <c r="A193" s="8"/>
      <c r="B193" s="8"/>
      <c r="C193" s="9"/>
      <c r="D193" s="9"/>
      <c r="E193" s="10" t="str">
        <f aca="false">IF($A193="","",N($D193)-N($C193))</f>
        <v/>
      </c>
      <c r="F193" s="11" t="str">
        <f aca="false">IF(OR($A193="",N($D193)=0),"",($D193-$C193)/$D193)</f>
        <v/>
      </c>
      <c r="G193" s="8"/>
    </row>
    <row r="194" customFormat="false" ht="15" hidden="false" customHeight="false" outlineLevel="0" collapsed="false">
      <c r="A194" s="8"/>
      <c r="B194" s="8"/>
      <c r="C194" s="9"/>
      <c r="D194" s="9"/>
      <c r="E194" s="10" t="str">
        <f aca="false">IF($A194="","",N($D194)-N($C194))</f>
        <v/>
      </c>
      <c r="F194" s="11" t="str">
        <f aca="false">IF(OR($A194="",N($D194)=0),"",($D194-$C194)/$D194)</f>
        <v/>
      </c>
      <c r="G194" s="8"/>
    </row>
    <row r="195" customFormat="false" ht="15" hidden="false" customHeight="false" outlineLevel="0" collapsed="false">
      <c r="A195" s="8"/>
      <c r="B195" s="8"/>
      <c r="C195" s="9"/>
      <c r="D195" s="9"/>
      <c r="E195" s="10" t="str">
        <f aca="false">IF($A195="","",N($D195)-N($C195))</f>
        <v/>
      </c>
      <c r="F195" s="11" t="str">
        <f aca="false">IF(OR($A195="",N($D195)=0),"",($D195-$C195)/$D195)</f>
        <v/>
      </c>
      <c r="G195" s="8"/>
    </row>
    <row r="196" customFormat="false" ht="15" hidden="false" customHeight="false" outlineLevel="0" collapsed="false">
      <c r="A196" s="8"/>
      <c r="B196" s="8"/>
      <c r="C196" s="9"/>
      <c r="D196" s="9"/>
      <c r="E196" s="10" t="str">
        <f aca="false">IF($A196="","",N($D196)-N($C196))</f>
        <v/>
      </c>
      <c r="F196" s="11" t="str">
        <f aca="false">IF(OR($A196="",N($D196)=0),"",($D196-$C196)/$D196)</f>
        <v/>
      </c>
      <c r="G196" s="8"/>
    </row>
    <row r="197" customFormat="false" ht="15" hidden="false" customHeight="false" outlineLevel="0" collapsed="false">
      <c r="A197" s="8"/>
      <c r="B197" s="8"/>
      <c r="C197" s="9"/>
      <c r="D197" s="9"/>
      <c r="E197" s="10" t="str">
        <f aca="false">IF($A197="","",N($D197)-N($C197))</f>
        <v/>
      </c>
      <c r="F197" s="11" t="str">
        <f aca="false">IF(OR($A197="",N($D197)=0),"",($D197-$C197)/$D197)</f>
        <v/>
      </c>
      <c r="G197" s="8"/>
    </row>
    <row r="198" customFormat="false" ht="15" hidden="false" customHeight="false" outlineLevel="0" collapsed="false">
      <c r="A198" s="8"/>
      <c r="B198" s="8"/>
      <c r="C198" s="9"/>
      <c r="D198" s="9"/>
      <c r="E198" s="10" t="str">
        <f aca="false">IF($A198="","",N($D198)-N($C198))</f>
        <v/>
      </c>
      <c r="F198" s="11" t="str">
        <f aca="false">IF(OR($A198="",N($D198)=0),"",($D198-$C198)/$D198)</f>
        <v/>
      </c>
      <c r="G198" s="8"/>
    </row>
    <row r="199" customFormat="false" ht="15" hidden="false" customHeight="false" outlineLevel="0" collapsed="false">
      <c r="A199" s="8"/>
      <c r="B199" s="8"/>
      <c r="C199" s="9"/>
      <c r="D199" s="9"/>
      <c r="E199" s="10" t="str">
        <f aca="false">IF($A199="","",N($D199)-N($C199))</f>
        <v/>
      </c>
      <c r="F199" s="11" t="str">
        <f aca="false">IF(OR($A199="",N($D199)=0),"",($D199-$C199)/$D199)</f>
        <v/>
      </c>
      <c r="G199" s="8"/>
    </row>
    <row r="200" customFormat="false" ht="15" hidden="false" customHeight="false" outlineLevel="0" collapsed="false">
      <c r="A200" s="8"/>
      <c r="B200" s="8"/>
      <c r="C200" s="9"/>
      <c r="D200" s="9"/>
      <c r="E200" s="10" t="str">
        <f aca="false">IF($A200="","",N($D200)-N($C200))</f>
        <v/>
      </c>
      <c r="F200" s="11" t="str">
        <f aca="false">IF(OR($A200="",N($D200)=0),"",($D200-$C200)/$D200)</f>
        <v/>
      </c>
      <c r="G200" s="8"/>
    </row>
    <row r="201" customFormat="false" ht="15" hidden="false" customHeight="false" outlineLevel="0" collapsed="false">
      <c r="A201" s="8"/>
      <c r="B201" s="8"/>
      <c r="C201" s="9"/>
      <c r="D201" s="9"/>
      <c r="E201" s="10" t="str">
        <f aca="false">IF($A201="","",N($D201)-N($C201))</f>
        <v/>
      </c>
      <c r="F201" s="11" t="str">
        <f aca="false">IF(OR($A201="",N($D201)=0),"",($D201-$C201)/$D201)</f>
        <v/>
      </c>
      <c r="G201" s="8"/>
    </row>
    <row r="202" customFormat="false" ht="15" hidden="false" customHeight="false" outlineLevel="0" collapsed="false">
      <c r="A202" s="8"/>
      <c r="B202" s="8"/>
      <c r="C202" s="9"/>
      <c r="D202" s="9"/>
      <c r="E202" s="10" t="str">
        <f aca="false">IF($A202="","",N($D202)-N($C202))</f>
        <v/>
      </c>
      <c r="F202" s="11" t="str">
        <f aca="false">IF(OR($A202="",N($D202)=0),"",($D202-$C202)/$D202)</f>
        <v/>
      </c>
      <c r="G202" s="8"/>
    </row>
    <row r="203" customFormat="false" ht="15" hidden="false" customHeight="false" outlineLevel="0" collapsed="false">
      <c r="A203" s="8"/>
      <c r="B203" s="8"/>
      <c r="C203" s="9"/>
      <c r="D203" s="9"/>
      <c r="E203" s="10" t="str">
        <f aca="false">IF($A203="","",N($D203)-N($C203))</f>
        <v/>
      </c>
      <c r="F203" s="11" t="str">
        <f aca="false">IF(OR($A203="",N($D203)=0),"",($D203-$C203)/$D203)</f>
        <v/>
      </c>
      <c r="G203" s="8"/>
    </row>
    <row r="204" customFormat="false" ht="15" hidden="false" customHeight="false" outlineLevel="0" collapsed="false">
      <c r="A204" s="8"/>
      <c r="B204" s="8"/>
      <c r="C204" s="9"/>
      <c r="D204" s="9"/>
      <c r="E204" s="10" t="str">
        <f aca="false">IF($A204="","",N($D204)-N($C204))</f>
        <v/>
      </c>
      <c r="F204" s="11" t="str">
        <f aca="false">IF(OR($A204="",N($D204)=0),"",($D204-$C204)/$D204)</f>
        <v/>
      </c>
      <c r="G204" s="8"/>
    </row>
  </sheetData>
  <autoFilter ref="A4:G204"/>
  <mergeCells count="2">
    <mergeCell ref="A1:G1"/>
    <mergeCell ref="A2:G2"/>
  </mergeCells>
  <conditionalFormatting sqref="E5:E204">
    <cfRule type="cellIs" priority="2" operator="lessThan" aboveAverage="0" equalAverage="0" bottom="0" percent="0" rank="0" text="" dxfId="6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AC5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8" min="7" style="0" width="34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3" min="11" style="0" width="15"/>
    <col collapsed="false" customWidth="true" hidden="false" outlineLevel="0" max="14" min="14" style="0" width="10"/>
    <col collapsed="false" customWidth="true" hidden="false" outlineLevel="0" max="15" min="15" style="0" width="13"/>
    <col collapsed="false" customWidth="true" hidden="false" outlineLevel="0" max="17" min="16" style="0" width="16"/>
    <col collapsed="false" customWidth="true" hidden="false" outlineLevel="0" max="18" min="18" style="0" width="14"/>
    <col collapsed="false" customWidth="true" hidden="false" outlineLevel="0" max="19" min="19" style="0" width="18"/>
    <col collapsed="false" customWidth="true" hidden="false" outlineLevel="0" max="21" min="20" style="0" width="14"/>
    <col collapsed="false" customWidth="true" hidden="false" outlineLevel="0" max="22" min="22" style="0" width="9"/>
    <col collapsed="false" customWidth="true" hidden="false" outlineLevel="0" max="23" min="23" style="0" width="28"/>
    <col collapsed="false" customWidth="true" hidden="false" outlineLevel="0" max="24" min="24" style="0" width="38"/>
    <col collapsed="false" customWidth="true" hidden="true" outlineLevel="0" max="29" min="25" style="0" width="6"/>
  </cols>
  <sheetData>
    <row r="1" customFormat="false" ht="30" hidden="false" customHeight="true" outlineLevel="0" collapsed="false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9.5" hidden="false" customHeight="true" outlineLevel="0" collapsed="false">
      <c r="A2" s="2" t="s">
        <v>83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21.75" hidden="false" customHeight="true" outlineLevel="0" collapsed="false">
      <c r="A3" s="12" t="s">
        <v>84</v>
      </c>
      <c r="B3" s="13" t="n">
        <f aca="false">COUNTA($C$6:$C$505)</f>
        <v>6</v>
      </c>
      <c r="C3" s="12" t="s">
        <v>85</v>
      </c>
      <c r="D3" s="13" t="n">
        <f aca="false">SUM($L$6:$L$505)</f>
        <v>15300000</v>
      </c>
      <c r="E3" s="12" t="s">
        <v>86</v>
      </c>
      <c r="F3" s="13" t="n">
        <f aca="false">SUM($T$6:$T$505)</f>
        <v>10950000</v>
      </c>
      <c r="G3" s="12" t="s">
        <v>87</v>
      </c>
      <c r="H3" s="13" t="n">
        <f aca="false">SUM($U$6:$U$505)</f>
        <v>4350000</v>
      </c>
      <c r="I3" s="12" t="s">
        <v>34</v>
      </c>
      <c r="J3" s="14" t="n">
        <f aca="false">IF(SUM($L$6:$L$505)=0,"",SUM($U$6:$U$505)/SUM($L$6:$L$505))</f>
        <v>0.284313725490196</v>
      </c>
      <c r="K3" s="12" t="s">
        <v>88</v>
      </c>
      <c r="L3" s="13" t="n">
        <f aca="false">SUM($P$6:$P$505)</f>
        <v>15391200</v>
      </c>
      <c r="M3" s="12" t="s">
        <v>89</v>
      </c>
      <c r="N3" s="13" t="n">
        <f aca="false">SUM($Q$6:$Q$505)</f>
        <v>6110000</v>
      </c>
      <c r="O3" s="12" t="s">
        <v>90</v>
      </c>
      <c r="P3" s="13" t="n">
        <f aca="false">SUM($R$6:$R$505)</f>
        <v>9281200</v>
      </c>
      <c r="Q3" s="12" t="s">
        <v>91</v>
      </c>
      <c r="R3" s="13" t="n">
        <f aca="false">SUMPRODUCT(--(LEN($X$6:$X$505)&gt;0))</f>
        <v>3</v>
      </c>
    </row>
    <row r="5" customFormat="false" ht="33.75" hidden="false" customHeight="true" outlineLevel="0" collapsed="false">
      <c r="A5" s="7" t="s">
        <v>92</v>
      </c>
      <c r="B5" s="6" t="s">
        <v>93</v>
      </c>
      <c r="C5" s="6" t="s">
        <v>94</v>
      </c>
      <c r="D5" s="6" t="s">
        <v>95</v>
      </c>
      <c r="E5" s="6" t="s">
        <v>96</v>
      </c>
      <c r="F5" s="6" t="s">
        <v>97</v>
      </c>
      <c r="G5" s="6" t="s">
        <v>98</v>
      </c>
      <c r="H5" s="6" t="s">
        <v>55</v>
      </c>
      <c r="I5" s="6" t="s">
        <v>99</v>
      </c>
      <c r="J5" s="7" t="s">
        <v>57</v>
      </c>
      <c r="K5" s="6" t="s">
        <v>100</v>
      </c>
      <c r="L5" s="7" t="s">
        <v>85</v>
      </c>
      <c r="M5" s="6" t="s">
        <v>101</v>
      </c>
      <c r="N5" s="7" t="s">
        <v>102</v>
      </c>
      <c r="O5" s="7" t="s">
        <v>103</v>
      </c>
      <c r="P5" s="7" t="s">
        <v>88</v>
      </c>
      <c r="Q5" s="6" t="s">
        <v>104</v>
      </c>
      <c r="R5" s="7" t="s">
        <v>90</v>
      </c>
      <c r="S5" s="7" t="s">
        <v>105</v>
      </c>
      <c r="T5" s="7" t="s">
        <v>86</v>
      </c>
      <c r="U5" s="7" t="s">
        <v>87</v>
      </c>
      <c r="V5" s="7" t="s">
        <v>34</v>
      </c>
      <c r="W5" s="6" t="s">
        <v>61</v>
      </c>
      <c r="X5" s="15" t="s">
        <v>106</v>
      </c>
      <c r="Y5" s="7" t="s">
        <v>107</v>
      </c>
      <c r="Z5" s="7" t="s">
        <v>108</v>
      </c>
      <c r="AA5" s="7" t="s">
        <v>109</v>
      </c>
      <c r="AB5" s="7" t="s">
        <v>110</v>
      </c>
      <c r="AC5" s="7" t="s">
        <v>111</v>
      </c>
    </row>
    <row r="6" customFormat="false" ht="15" hidden="false" customHeight="false" outlineLevel="0" collapsed="false">
      <c r="A6" s="16" t="n">
        <f aca="false">IF($C6="","",COUNTA($C$6:$C6))</f>
        <v>1</v>
      </c>
      <c r="B6" s="17"/>
      <c r="C6" s="8" t="s">
        <v>112</v>
      </c>
      <c r="D6" s="18" t="s">
        <v>113</v>
      </c>
      <c r="E6" s="8" t="s">
        <v>114</v>
      </c>
      <c r="F6" s="18" t="s">
        <v>115</v>
      </c>
      <c r="G6" s="8" t="s">
        <v>116</v>
      </c>
      <c r="H6" s="8" t="s">
        <v>72</v>
      </c>
      <c r="I6" s="9" t="n">
        <v>20</v>
      </c>
      <c r="J6" s="10" t="n">
        <f aca="false">IF($H6="","",IFERROR(VLOOKUP($H6,'BẢNG GIÁ GỐC'!$A$5:$D$204,3,FALSE()),""))</f>
        <v>40000</v>
      </c>
      <c r="K6" s="9" t="n">
        <v>57000</v>
      </c>
      <c r="L6" s="10" t="n">
        <f aca="false">IF($C6="","",N($I6)*N($K6))</f>
        <v>1140000</v>
      </c>
      <c r="M6" s="8" t="s">
        <v>117</v>
      </c>
      <c r="N6" s="11" t="n">
        <f aca="false">IF($C6="","",IF($M6="VAT 5%",0.05,IF($M6="VAT 8%",0.08,IF($M6="VAT 10%",0.1,0))))</f>
        <v>0.08</v>
      </c>
      <c r="O6" s="10" t="n">
        <f aca="false">IF($C6="","",$L6*$N6)</f>
        <v>91200</v>
      </c>
      <c r="P6" s="10" t="n">
        <f aca="false">IF($C6="","",$L6+$O6)</f>
        <v>1231200</v>
      </c>
      <c r="Q6" s="9" t="n">
        <v>0</v>
      </c>
      <c r="R6" s="10" t="n">
        <f aca="false">IF($C6="","",MAX(0,$P6-N($Q6)))</f>
        <v>1231200</v>
      </c>
      <c r="S6" s="19" t="str">
        <f aca="false">IF(OR($C6="",$P6=0),"",IF(N($Q6)&lt;=0,"Chưa thanh toán",IF(N($Q6)&lt;$P6,"Thanh toán một phần","Đã thanh toán")))</f>
        <v>Chưa thanh toán</v>
      </c>
      <c r="T6" s="10" t="n">
        <f aca="false">IF(OR($C6="",$J6=""),"",N($I6)*$J6)</f>
        <v>800000</v>
      </c>
      <c r="U6" s="10" t="n">
        <f aca="false">IF(OR($C6="",$T6=""),"",$L6-$T6)</f>
        <v>340000</v>
      </c>
      <c r="V6" s="11" t="n">
        <f aca="false">IF(OR($U6="",$L6=0),"",$U6/$L6)</f>
        <v>0.298245614035088</v>
      </c>
      <c r="W6" s="8" t="s">
        <v>118</v>
      </c>
      <c r="X6" s="19" t="str">
        <f aca="false">IF($C6="","",IF(AND($H6="",N($I6)=0,N($K6)=0),"Dòng chỉ lưu thông tin khách (chưa có đơn); ",IF($B6="","Thiếu ngày đặt; ","")&amp;IF($H6="","Thiếu tên sản phẩm; ",IF($J6="","Sản phẩm chưa có trong BẢNG GIÁ GỐC; ",""))&amp;IF(N($I6)&lt;=0,"Thiếu số lượng; ","")&amp;IF(N($K6)&lt;=0,"Thiếu giá bán; ","")&amp;IF(AND($N6&gt;0,$F6=""),"Khách lấy VAT thiếu mã số thuế; ","")&amp;IF(N($Q6)&gt;$P6,"Đã thu vượt tổng phải thu; ","")&amp;IF(AND($L6&gt;0,$U6&lt;0),"CẢNH BÁO: ĐƠN NÀY ĐANG LỖ; ","")))</f>
        <v>Thiếu ngày đặt; </v>
      </c>
      <c r="Y6" s="16" t="n">
        <f aca="false">IF(AND($C6&lt;&gt;"",$R6&gt;0),COUNTIFS($C$6:$C6,"&lt;&gt;",$R$6:$R6,"&gt;0"),"")</f>
        <v>1</v>
      </c>
      <c r="Z6" s="16" t="n">
        <f aca="false">IF(AND($H6&lt;&gt;"",N($N6)&gt;0),COUNTIFS($H$6:$H6,"&lt;&gt;",$N$6:$N6,"&gt;0"),"")</f>
        <v>1</v>
      </c>
      <c r="AA6" s="16" t="str">
        <f aca="false">IF(AND($H6&lt;&gt;"",N($N6)=0),COUNTIFS($H$6:$H6,"&lt;&gt;",$N$6:$N6,"&lt;=0"),"")</f>
        <v/>
      </c>
      <c r="AB6" s="16" t="n">
        <f aca="false">IF($C6="","",IF(COUNTIF($C$6:$C6,$C6)&gt;1,"",MAX($AB$5:AB5)+1))</f>
        <v>1</v>
      </c>
      <c r="AC6" s="16" t="n">
        <f aca="false">IF($H6="","",IF(COUNTIF($H$6:$H6,$H6)&gt;1,"",MAX($AC$5:AC5)+1))</f>
        <v>1</v>
      </c>
    </row>
    <row r="7" customFormat="false" ht="15" hidden="false" customHeight="false" outlineLevel="0" collapsed="false">
      <c r="A7" s="16" t="n">
        <f aca="false">IF($C7="","",COUNTA($C$6:$C7))</f>
        <v>2</v>
      </c>
      <c r="B7" s="17" t="n">
        <v>46224</v>
      </c>
      <c r="C7" s="8" t="s">
        <v>119</v>
      </c>
      <c r="D7" s="18" t="s">
        <v>120</v>
      </c>
      <c r="E7" s="8" t="s">
        <v>121</v>
      </c>
      <c r="F7" s="18" t="s">
        <v>122</v>
      </c>
      <c r="G7" s="8" t="s">
        <v>123</v>
      </c>
      <c r="H7" s="8" t="s">
        <v>62</v>
      </c>
      <c r="I7" s="9" t="n">
        <v>130</v>
      </c>
      <c r="J7" s="10" t="n">
        <f aca="false">IF($H7="","",IFERROR(VLOOKUP($H7,'BẢNG GIÁ GỐC'!$A$5:$D$204,3,FALSE()),""))</f>
        <v>35000</v>
      </c>
      <c r="K7" s="9" t="n">
        <v>48000</v>
      </c>
      <c r="L7" s="10" t="n">
        <f aca="false">IF($C7="","",N($I7)*N($K7))</f>
        <v>6240000</v>
      </c>
      <c r="M7" s="8" t="s">
        <v>124</v>
      </c>
      <c r="N7" s="11" t="n">
        <f aca="false">IF($C7="","",IF($M7="VAT 5%",0.05,IF($M7="VAT 8%",0.08,IF($M7="VAT 10%",0.1,0))))</f>
        <v>0</v>
      </c>
      <c r="O7" s="10" t="n">
        <f aca="false">IF($C7="","",$L7*$N7)</f>
        <v>0</v>
      </c>
      <c r="P7" s="10" t="n">
        <f aca="false">IF($C7="","",$L7+$O7)</f>
        <v>6240000</v>
      </c>
      <c r="Q7" s="9" t="n">
        <v>3110000</v>
      </c>
      <c r="R7" s="10" t="n">
        <f aca="false">IF($C7="","",MAX(0,$P7-N($Q7)))</f>
        <v>3130000</v>
      </c>
      <c r="S7" s="19" t="str">
        <f aca="false">IF(OR($C7="",$P7=0),"",IF(N($Q7)&lt;=0,"Chưa thanh toán",IF(N($Q7)&lt;$P7,"Thanh toán một phần","Đã thanh toán")))</f>
        <v>Thanh toán một phần</v>
      </c>
      <c r="T7" s="10" t="n">
        <f aca="false">IF(OR($C7="",$J7=""),"",N($I7)*$J7)</f>
        <v>4550000</v>
      </c>
      <c r="U7" s="10" t="n">
        <f aca="false">IF(OR($C7="",$T7=""),"",$L7-$T7)</f>
        <v>1690000</v>
      </c>
      <c r="V7" s="11" t="n">
        <f aca="false">IF(OR($U7="",$L7=0),"",$U7/$L7)</f>
        <v>0.270833333333333</v>
      </c>
      <c r="W7" s="8" t="s">
        <v>125</v>
      </c>
      <c r="X7" s="19" t="str">
        <f aca="false">IF($C7="","",IF(AND($H7="",N($I7)=0,N($K7)=0),"Dòng chỉ lưu thông tin khách (chưa có đơn); ",IF($B7="","Thiếu ngày đặt; ","")&amp;IF($H7="","Thiếu tên sản phẩm; ",IF($J7="","Sản phẩm chưa có trong BẢNG GIÁ GỐC; ",""))&amp;IF(N($I7)&lt;=0,"Thiếu số lượng; ","")&amp;IF(N($K7)&lt;=0,"Thiếu giá bán; ","")&amp;IF(AND($N7&gt;0,$F7=""),"Khách lấy VAT thiếu mã số thuế; ","")&amp;IF(N($Q7)&gt;$P7,"Đã thu vượt tổng phải thu; ","")&amp;IF(AND($L7&gt;0,$U7&lt;0),"CẢNH BÁO: ĐƠN NÀY ĐANG LỖ; ","")))</f>
        <v/>
      </c>
      <c r="Y7" s="16" t="n">
        <f aca="false">IF(AND($C7&lt;&gt;"",$R7&gt;0),COUNTIFS($C$6:$C7,"&lt;&gt;",$R$6:$R7,"&gt;0"),"")</f>
        <v>2</v>
      </c>
      <c r="Z7" s="16" t="str">
        <f aca="false">IF(AND($H7&lt;&gt;"",N($N7)&gt;0),COUNTIFS($H$6:$H7,"&lt;&gt;",$N$6:$N7,"&gt;0"),"")</f>
        <v/>
      </c>
      <c r="AA7" s="16" t="n">
        <f aca="false">IF(AND($H7&lt;&gt;"",N($N7)=0),COUNTIFS($H$6:$H7,"&lt;&gt;",$N$6:$N7,"&lt;=0"),"")</f>
        <v>1</v>
      </c>
      <c r="AB7" s="16" t="n">
        <f aca="false">IF($C7="","",IF(COUNTIF($C$6:$C7,$C7)&gt;1,"",MAX($AB$5:AB6)+1))</f>
        <v>2</v>
      </c>
      <c r="AC7" s="16" t="n">
        <f aca="false">IF($H7="","",IF(COUNTIF($H$6:$H7,$H7)&gt;1,"",MAX($AC$5:AC6)+1))</f>
        <v>2</v>
      </c>
    </row>
    <row r="8" customFormat="false" ht="15" hidden="false" customHeight="false" outlineLevel="0" collapsed="false">
      <c r="A8" s="16" t="n">
        <f aca="false">IF($C8="","",COUNTA($C$6:$C8))</f>
        <v>3</v>
      </c>
      <c r="B8" s="17" t="n">
        <v>46224</v>
      </c>
      <c r="C8" s="8" t="s">
        <v>126</v>
      </c>
      <c r="D8" s="18"/>
      <c r="E8" s="8"/>
      <c r="F8" s="18"/>
      <c r="G8" s="8"/>
      <c r="H8" s="8" t="s">
        <v>68</v>
      </c>
      <c r="I8" s="9" t="n">
        <v>80</v>
      </c>
      <c r="J8" s="10" t="n">
        <f aca="false">IF($H8="","",IFERROR(VLOOKUP($H8,'BẢNG GIÁ GỐC'!$A$5:$D$204,3,FALSE()),""))</f>
        <v>35000</v>
      </c>
      <c r="K8" s="9" t="n">
        <v>52000</v>
      </c>
      <c r="L8" s="10" t="n">
        <f aca="false">IF($C8="","",N($I8)*N($K8))</f>
        <v>4160000</v>
      </c>
      <c r="M8" s="8" t="s">
        <v>124</v>
      </c>
      <c r="N8" s="11" t="n">
        <f aca="false">IF($C8="","",IF($M8="VAT 5%",0.05,IF($M8="VAT 8%",0.08,IF($M8="VAT 10%",0.1,0))))</f>
        <v>0</v>
      </c>
      <c r="O8" s="10" t="n">
        <f aca="false">IF($C8="","",$L8*$N8)</f>
        <v>0</v>
      </c>
      <c r="P8" s="10" t="n">
        <f aca="false">IF($C8="","",$L8+$O8)</f>
        <v>4160000</v>
      </c>
      <c r="Q8" s="9" t="n">
        <v>1500000</v>
      </c>
      <c r="R8" s="10" t="n">
        <f aca="false">IF($C8="","",MAX(0,$P8-N($Q8)))</f>
        <v>2660000</v>
      </c>
      <c r="S8" s="19" t="str">
        <f aca="false">IF(OR($C8="",$P8=0),"",IF(N($Q8)&lt;=0,"Chưa thanh toán",IF(N($Q8)&lt;$P8,"Thanh toán một phần","Đã thanh toán")))</f>
        <v>Thanh toán một phần</v>
      </c>
      <c r="T8" s="10" t="n">
        <f aca="false">IF(OR($C8="",$J8=""),"",N($I8)*$J8)</f>
        <v>2800000</v>
      </c>
      <c r="U8" s="10" t="n">
        <f aca="false">IF(OR($C8="",$T8=""),"",$L8-$T8)</f>
        <v>1360000</v>
      </c>
      <c r="V8" s="11" t="n">
        <f aca="false">IF(OR($U8="",$L8=0),"",$U8/$L8)</f>
        <v>0.326923076923077</v>
      </c>
      <c r="W8" s="8" t="s">
        <v>127</v>
      </c>
      <c r="X8" s="19" t="str">
        <f aca="false">IF($C8="","",IF(AND($H8="",N($I8)=0,N($K8)=0),"Dòng chỉ lưu thông tin khách (chưa có đơn); ",IF($B8="","Thiếu ngày đặt; ","")&amp;IF($H8="","Thiếu tên sản phẩm; ",IF($J8="","Sản phẩm chưa có trong BẢNG GIÁ GỐC; ",""))&amp;IF(N($I8)&lt;=0,"Thiếu số lượng; ","")&amp;IF(N($K8)&lt;=0,"Thiếu giá bán; ","")&amp;IF(AND($N8&gt;0,$F8=""),"Khách lấy VAT thiếu mã số thuế; ","")&amp;IF(N($Q8)&gt;$P8,"Đã thu vượt tổng phải thu; ","")&amp;IF(AND($L8&gt;0,$U8&lt;0),"CẢNH BÁO: ĐƠN NÀY ĐANG LỖ; ","")))</f>
        <v/>
      </c>
      <c r="Y8" s="16" t="n">
        <f aca="false">IF(AND($C8&lt;&gt;"",$R8&gt;0),COUNTIFS($C$6:$C8,"&lt;&gt;",$R$6:$R8,"&gt;0"),"")</f>
        <v>3</v>
      </c>
      <c r="Z8" s="16" t="str">
        <f aca="false">IF(AND($H8&lt;&gt;"",N($N8)&gt;0),COUNTIFS($H$6:$H8,"&lt;&gt;",$N$6:$N8,"&gt;0"),"")</f>
        <v/>
      </c>
      <c r="AA8" s="16" t="n">
        <f aca="false">IF(AND($H8&lt;&gt;"",N($N8)=0),COUNTIFS($H$6:$H8,"&lt;&gt;",$N$6:$N8,"&lt;=0"),"")</f>
        <v>2</v>
      </c>
      <c r="AB8" s="16" t="n">
        <f aca="false">IF($C8="","",IF(COUNTIF($C$6:$C8,$C8)&gt;1,"",MAX($AB$5:AB7)+1))</f>
        <v>3</v>
      </c>
      <c r="AC8" s="16" t="n">
        <f aca="false">IF($H8="","",IF(COUNTIF($H$6:$H8,$H8)&gt;1,"",MAX($AC$5:AC7)+1))</f>
        <v>3</v>
      </c>
    </row>
    <row r="9" customFormat="false" ht="15" hidden="false" customHeight="false" outlineLevel="0" collapsed="false">
      <c r="A9" s="16" t="n">
        <f aca="false">IF($C9="","",COUNTA($C$6:$C9))</f>
        <v>4</v>
      </c>
      <c r="B9" s="17" t="n">
        <v>46224</v>
      </c>
      <c r="C9" s="8" t="s">
        <v>128</v>
      </c>
      <c r="D9" s="18"/>
      <c r="E9" s="8"/>
      <c r="F9" s="18"/>
      <c r="G9" s="8"/>
      <c r="H9" s="8" t="s">
        <v>62</v>
      </c>
      <c r="I9" s="9" t="n">
        <v>80</v>
      </c>
      <c r="J9" s="10" t="n">
        <f aca="false">IF($H9="","",IFERROR(VLOOKUP($H9,'BẢNG GIÁ GỐC'!$A$5:$D$204,3,FALSE()),""))</f>
        <v>35000</v>
      </c>
      <c r="K9" s="9" t="n">
        <v>47000</v>
      </c>
      <c r="L9" s="10" t="n">
        <f aca="false">IF($C9="","",N($I9)*N($K9))</f>
        <v>3760000</v>
      </c>
      <c r="M9" s="8" t="s">
        <v>124</v>
      </c>
      <c r="N9" s="11" t="n">
        <f aca="false">IF($C9="","",IF($M9="VAT 5%",0.05,IF($M9="VAT 8%",0.08,IF($M9="VAT 10%",0.1,0))))</f>
        <v>0</v>
      </c>
      <c r="O9" s="10" t="n">
        <f aca="false">IF($C9="","",$L9*$N9)</f>
        <v>0</v>
      </c>
      <c r="P9" s="10" t="n">
        <f aca="false">IF($C9="","",$L9+$O9)</f>
        <v>3760000</v>
      </c>
      <c r="Q9" s="9" t="n">
        <v>1500000</v>
      </c>
      <c r="R9" s="10" t="n">
        <f aca="false">IF($C9="","",MAX(0,$P9-N($Q9)))</f>
        <v>2260000</v>
      </c>
      <c r="S9" s="19" t="str">
        <f aca="false">IF(OR($C9="",$P9=0),"",IF(N($Q9)&lt;=0,"Chưa thanh toán",IF(N($Q9)&lt;$P9,"Thanh toán một phần","Đã thanh toán")))</f>
        <v>Thanh toán một phần</v>
      </c>
      <c r="T9" s="10" t="n">
        <f aca="false">IF(OR($C9="",$J9=""),"",N($I9)*$J9)</f>
        <v>2800000</v>
      </c>
      <c r="U9" s="10" t="n">
        <f aca="false">IF(OR($C9="",$T9=""),"",$L9-$T9)</f>
        <v>960000</v>
      </c>
      <c r="V9" s="11" t="n">
        <f aca="false">IF(OR($U9="",$L9=0),"",$U9/$L9)</f>
        <v>0.25531914893617</v>
      </c>
      <c r="W9" s="8" t="s">
        <v>129</v>
      </c>
      <c r="X9" s="19" t="str">
        <f aca="false">IF($C9="","",IF(AND($H9="",N($I9)=0,N($K9)=0),"Dòng chỉ lưu thông tin khách (chưa có đơn); ",IF($B9="","Thiếu ngày đặt; ","")&amp;IF($H9="","Thiếu tên sản phẩm; ",IF($J9="","Sản phẩm chưa có trong BẢNG GIÁ GỐC; ",""))&amp;IF(N($I9)&lt;=0,"Thiếu số lượng; ","")&amp;IF(N($K9)&lt;=0,"Thiếu giá bán; ","")&amp;IF(AND($N9&gt;0,$F9=""),"Khách lấy VAT thiếu mã số thuế; ","")&amp;IF(N($Q9)&gt;$P9,"Đã thu vượt tổng phải thu; ","")&amp;IF(AND($L9&gt;0,$U9&lt;0),"CẢNH BÁO: ĐƠN NÀY ĐANG LỖ; ","")))</f>
        <v/>
      </c>
      <c r="Y9" s="16" t="n">
        <f aca="false">IF(AND($C9&lt;&gt;"",$R9&gt;0),COUNTIFS($C$6:$C9,"&lt;&gt;",$R$6:$R9,"&gt;0"),"")</f>
        <v>4</v>
      </c>
      <c r="Z9" s="16" t="str">
        <f aca="false">IF(AND($H9&lt;&gt;"",N($N9)&gt;0),COUNTIFS($H$6:$H9,"&lt;&gt;",$N$6:$N9,"&gt;0"),"")</f>
        <v/>
      </c>
      <c r="AA9" s="16" t="n">
        <f aca="false">IF(AND($H9&lt;&gt;"",N($N9)=0),COUNTIFS($H$6:$H9,"&lt;&gt;",$N$6:$N9,"&lt;=0"),"")</f>
        <v>3</v>
      </c>
      <c r="AB9" s="16" t="n">
        <f aca="false">IF($C9="","",IF(COUNTIF($C$6:$C9,$C9)&gt;1,"",MAX($AB$5:AB8)+1))</f>
        <v>4</v>
      </c>
      <c r="AC9" s="16" t="str">
        <f aca="false">IF($H9="","",IF(COUNTIF($H$6:$H9,$H9)&gt;1,"",MAX($AC$5:AC8)+1))</f>
        <v/>
      </c>
    </row>
    <row r="10" customFormat="false" ht="15" hidden="false" customHeight="false" outlineLevel="0" collapsed="false">
      <c r="A10" s="16" t="n">
        <f aca="false">IF($C10="","",COUNTA($C$6:$C10))</f>
        <v>5</v>
      </c>
      <c r="B10" s="17"/>
      <c r="C10" s="8" t="s">
        <v>130</v>
      </c>
      <c r="D10" s="18" t="s">
        <v>131</v>
      </c>
      <c r="E10" s="8"/>
      <c r="F10" s="18"/>
      <c r="G10" s="8" t="s">
        <v>132</v>
      </c>
      <c r="H10" s="8"/>
      <c r="I10" s="9"/>
      <c r="J10" s="10" t="str">
        <f aca="false">IF($H10="","",IFERROR(VLOOKUP($H10,'BẢNG GIÁ GỐC'!$A$5:$D$204,3,FALSE()),""))</f>
        <v/>
      </c>
      <c r="K10" s="9"/>
      <c r="L10" s="10" t="n">
        <f aca="false">IF($C10="","",N($I10)*N($K10))</f>
        <v>0</v>
      </c>
      <c r="M10" s="8" t="s">
        <v>124</v>
      </c>
      <c r="N10" s="11" t="n">
        <f aca="false">IF($C10="","",IF($M10="VAT 5%",0.05,IF($M10="VAT 8%",0.08,IF($M10="VAT 10%",0.1,0))))</f>
        <v>0</v>
      </c>
      <c r="O10" s="10" t="n">
        <f aca="false">IF($C10="","",$L10*$N10)</f>
        <v>0</v>
      </c>
      <c r="P10" s="10" t="n">
        <f aca="false">IF($C10="","",$L10+$O10)</f>
        <v>0</v>
      </c>
      <c r="Q10" s="9"/>
      <c r="R10" s="10" t="n">
        <f aca="false">IF($C10="","",MAX(0,$P10-N($Q10)))</f>
        <v>0</v>
      </c>
      <c r="S10" s="19" t="str">
        <f aca="false">IF(OR($C10="",$P10=0),"",IF(N($Q10)&lt;=0,"Chưa thanh toán",IF(N($Q10)&lt;$P10,"Thanh toán một phần","Đã thanh toán")))</f>
        <v/>
      </c>
      <c r="T10" s="10" t="str">
        <f aca="false">IF(OR($C10="",$J10=""),"",N($I10)*$J10)</f>
        <v/>
      </c>
      <c r="U10" s="10" t="str">
        <f aca="false">IF(OR($C10="",$T10=""),"",$L10-$T10)</f>
        <v/>
      </c>
      <c r="V10" s="11" t="str">
        <f aca="false">IF(OR($U10="",$L10=0),"",$U10/$L10)</f>
        <v/>
      </c>
      <c r="W10" s="8" t="s">
        <v>133</v>
      </c>
      <c r="X10" s="19" t="str">
        <f aca="false">IF($C10="","",IF(AND($H10="",N($I10)=0,N($K10)=0),"Dòng chỉ lưu thông tin khách (chưa có đơn); ",IF($B10="","Thiếu ngày đặt; ","")&amp;IF($H10="","Thiếu tên sản phẩm; ",IF($J10="","Sản phẩm chưa có trong BẢNG GIÁ GỐC; ",""))&amp;IF(N($I10)&lt;=0,"Thiếu số lượng; ","")&amp;IF(N($K10)&lt;=0,"Thiếu giá bán; ","")&amp;IF(AND($N10&gt;0,$F10=""),"Khách lấy VAT thiếu mã số thuế; ","")&amp;IF(N($Q10)&gt;$P10,"Đã thu vượt tổng phải thu; ","")&amp;IF(AND($L10&gt;0,$U10&lt;0),"CẢNH BÁO: ĐƠN NÀY ĐANG LỖ; ","")))</f>
        <v>Dòng chỉ lưu thông tin khách (chưa có đơn); </v>
      </c>
      <c r="Y10" s="16" t="str">
        <f aca="false">IF(AND($C10&lt;&gt;"",$R10&gt;0),COUNTIFS($C$6:$C10,"&lt;&gt;",$R$6:$R10,"&gt;0"),"")</f>
        <v/>
      </c>
      <c r="Z10" s="16" t="str">
        <f aca="false">IF(AND($H10&lt;&gt;"",N($N10)&gt;0),COUNTIFS($H$6:$H10,"&lt;&gt;",$N$6:$N10,"&gt;0"),"")</f>
        <v/>
      </c>
      <c r="AA10" s="16" t="str">
        <f aca="false">IF(AND($H10&lt;&gt;"",N($N10)=0),COUNTIFS($H$6:$H10,"&lt;&gt;",$N$6:$N10,"&lt;=0"),"")</f>
        <v/>
      </c>
      <c r="AB10" s="16" t="n">
        <f aca="false">IF($C10="","",IF(COUNTIF($C$6:$C10,$C10)&gt;1,"",MAX($AB$5:AB9)+1))</f>
        <v>5</v>
      </c>
      <c r="AC10" s="16" t="str">
        <f aca="false">IF($H10="","",IF(COUNTIF($H$6:$H10,$H10)&gt;1,"",MAX($AC$5:AC9)+1))</f>
        <v/>
      </c>
    </row>
    <row r="11" customFormat="false" ht="15" hidden="false" customHeight="false" outlineLevel="0" collapsed="false">
      <c r="A11" s="16" t="n">
        <f aca="false">IF($C11="","",COUNTA($C$6:$C11))</f>
        <v>6</v>
      </c>
      <c r="B11" s="17"/>
      <c r="C11" s="8" t="s">
        <v>134</v>
      </c>
      <c r="D11" s="18" t="s">
        <v>135</v>
      </c>
      <c r="E11" s="8"/>
      <c r="F11" s="18"/>
      <c r="G11" s="8" t="s">
        <v>136</v>
      </c>
      <c r="H11" s="8"/>
      <c r="I11" s="9"/>
      <c r="J11" s="10" t="str">
        <f aca="false">IF($H11="","",IFERROR(VLOOKUP($H11,'BẢNG GIÁ GỐC'!$A$5:$D$204,3,FALSE()),""))</f>
        <v/>
      </c>
      <c r="K11" s="9"/>
      <c r="L11" s="10" t="n">
        <f aca="false">IF($C11="","",N($I11)*N($K11))</f>
        <v>0</v>
      </c>
      <c r="M11" s="8" t="s">
        <v>124</v>
      </c>
      <c r="N11" s="11" t="n">
        <f aca="false">IF($C11="","",IF($M11="VAT 5%",0.05,IF($M11="VAT 8%",0.08,IF($M11="VAT 10%",0.1,0))))</f>
        <v>0</v>
      </c>
      <c r="O11" s="10" t="n">
        <f aca="false">IF($C11="","",$L11*$N11)</f>
        <v>0</v>
      </c>
      <c r="P11" s="10" t="n">
        <f aca="false">IF($C11="","",$L11+$O11)</f>
        <v>0</v>
      </c>
      <c r="Q11" s="9"/>
      <c r="R11" s="10" t="n">
        <f aca="false">IF($C11="","",MAX(0,$P11-N($Q11)))</f>
        <v>0</v>
      </c>
      <c r="S11" s="19" t="str">
        <f aca="false">IF(OR($C11="",$P11=0),"",IF(N($Q11)&lt;=0,"Chưa thanh toán",IF(N($Q11)&lt;$P11,"Thanh toán một phần","Đã thanh toán")))</f>
        <v/>
      </c>
      <c r="T11" s="10" t="str">
        <f aca="false">IF(OR($C11="",$J11=""),"",N($I11)*$J11)</f>
        <v/>
      </c>
      <c r="U11" s="10" t="str">
        <f aca="false">IF(OR($C11="",$T11=""),"",$L11-$T11)</f>
        <v/>
      </c>
      <c r="V11" s="11" t="str">
        <f aca="false">IF(OR($U11="",$L11=0),"",$U11/$L11)</f>
        <v/>
      </c>
      <c r="W11" s="8" t="s">
        <v>133</v>
      </c>
      <c r="X11" s="19" t="str">
        <f aca="false">IF($C11="","",IF(AND($H11="",N($I11)=0,N($K11)=0),"Dòng chỉ lưu thông tin khách (chưa có đơn); ",IF($B11="","Thiếu ngày đặt; ","")&amp;IF($H11="","Thiếu tên sản phẩm; ",IF($J11="","Sản phẩm chưa có trong BẢNG GIÁ GỐC; ",""))&amp;IF(N($I11)&lt;=0,"Thiếu số lượng; ","")&amp;IF(N($K11)&lt;=0,"Thiếu giá bán; ","")&amp;IF(AND($N11&gt;0,$F11=""),"Khách lấy VAT thiếu mã số thuế; ","")&amp;IF(N($Q11)&gt;$P11,"Đã thu vượt tổng phải thu; ","")&amp;IF(AND($L11&gt;0,$U11&lt;0),"CẢNH BÁO: ĐƠN NÀY ĐANG LỖ; ","")))</f>
        <v>Dòng chỉ lưu thông tin khách (chưa có đơn); </v>
      </c>
      <c r="Y11" s="16" t="str">
        <f aca="false">IF(AND($C11&lt;&gt;"",$R11&gt;0),COUNTIFS($C$6:$C11,"&lt;&gt;",$R$6:$R11,"&gt;0"),"")</f>
        <v/>
      </c>
      <c r="Z11" s="16" t="str">
        <f aca="false">IF(AND($H11&lt;&gt;"",N($N11)&gt;0),COUNTIFS($H$6:$H11,"&lt;&gt;",$N$6:$N11,"&gt;0"),"")</f>
        <v/>
      </c>
      <c r="AA11" s="16" t="str">
        <f aca="false">IF(AND($H11&lt;&gt;"",N($N11)=0),COUNTIFS($H$6:$H11,"&lt;&gt;",$N$6:$N11,"&lt;=0"),"")</f>
        <v/>
      </c>
      <c r="AB11" s="16" t="n">
        <f aca="false">IF($C11="","",IF(COUNTIF($C$6:$C11,$C11)&gt;1,"",MAX($AB$5:AB10)+1))</f>
        <v>6</v>
      </c>
      <c r="AC11" s="16" t="str">
        <f aca="false">IF($H11="","",IF(COUNTIF($H$6:$H11,$H11)&gt;1,"",MAX($AC$5:AC10)+1))</f>
        <v/>
      </c>
    </row>
    <row r="12" customFormat="false" ht="15" hidden="false" customHeight="false" outlineLevel="0" collapsed="false">
      <c r="A12" s="16" t="str">
        <f aca="false">IF($C12="","",COUNTA($C$6:$C12))</f>
        <v/>
      </c>
      <c r="B12" s="17"/>
      <c r="C12" s="8"/>
      <c r="D12" s="8"/>
      <c r="E12" s="8"/>
      <c r="F12" s="8"/>
      <c r="G12" s="8"/>
      <c r="H12" s="8"/>
      <c r="I12" s="9"/>
      <c r="J12" s="10" t="str">
        <f aca="false">IF($H12="","",IFERROR(VLOOKUP($H12,'BẢNG GIÁ GỐC'!$A$5:$D$204,3,FALSE()),""))</f>
        <v/>
      </c>
      <c r="K12" s="9"/>
      <c r="L12" s="10" t="str">
        <f aca="false">IF($C12="","",N($I12)*N($K12))</f>
        <v/>
      </c>
      <c r="M12" s="8"/>
      <c r="N12" s="11" t="str">
        <f aca="false">IF($C12="","",IF($M12="VAT 5%",0.05,IF($M12="VAT 8%",0.08,IF($M12="VAT 10%",0.1,0))))</f>
        <v/>
      </c>
      <c r="O12" s="10" t="str">
        <f aca="false">IF($C12="","",$L12*$N12)</f>
        <v/>
      </c>
      <c r="P12" s="10" t="str">
        <f aca="false">IF($C12="","",$L12+$O12)</f>
        <v/>
      </c>
      <c r="Q12" s="9"/>
      <c r="R12" s="10" t="str">
        <f aca="false">IF($C12="","",MAX(0,$P12-N($Q12)))</f>
        <v/>
      </c>
      <c r="S12" s="19" t="str">
        <f aca="false">IF(OR($C12="",$P12=0),"",IF(N($Q12)&lt;=0,"Chưa thanh toán",IF(N($Q12)&lt;$P12,"Thanh toán một phần","Đã thanh toán")))</f>
        <v/>
      </c>
      <c r="T12" s="10" t="str">
        <f aca="false">IF(OR($C12="",$J12=""),"",N($I12)*$J12)</f>
        <v/>
      </c>
      <c r="U12" s="10" t="str">
        <f aca="false">IF(OR($C12="",$T12=""),"",$L12-$T12)</f>
        <v/>
      </c>
      <c r="V12" s="11" t="str">
        <f aca="false">IF(OR($U12="",$L12=0),"",$U12/$L12)</f>
        <v/>
      </c>
      <c r="W12" s="8"/>
      <c r="X12" s="19" t="str">
        <f aca="false">IF($C12="","",IF(AND($H12="",N($I12)=0,N($K12)=0),"Dòng chỉ lưu thông tin khách (chưa có đơn); ",IF($B12="","Thiếu ngày đặt; ","")&amp;IF($H12="","Thiếu tên sản phẩm; ",IF($J12="","Sản phẩm chưa có trong BẢNG GIÁ GỐC; ",""))&amp;IF(N($I12)&lt;=0,"Thiếu số lượng; ","")&amp;IF(N($K12)&lt;=0,"Thiếu giá bán; ","")&amp;IF(AND($N12&gt;0,$F12=""),"Khách lấy VAT thiếu mã số thuế; ","")&amp;IF(N($Q12)&gt;$P12,"Đã thu vượt tổng phải thu; ","")&amp;IF(AND($L12&gt;0,$U12&lt;0),"CẢNH BÁO: ĐƠN NÀY ĐANG LỖ; ","")))</f>
        <v/>
      </c>
      <c r="Y12" s="16" t="str">
        <f aca="false">IF(AND($C12&lt;&gt;"",$R12&gt;0),COUNTIFS($C$6:$C12,"&lt;&gt;",$R$6:$R12,"&gt;0"),"")</f>
        <v/>
      </c>
      <c r="Z12" s="16" t="str">
        <f aca="false">IF(AND($H12&lt;&gt;"",N($N12)&gt;0),COUNTIFS($H$6:$H12,"&lt;&gt;",$N$6:$N12,"&gt;0"),"")</f>
        <v/>
      </c>
      <c r="AA12" s="16" t="str">
        <f aca="false">IF(AND($H12&lt;&gt;"",N($N12)=0),COUNTIFS($H$6:$H12,"&lt;&gt;",$N$6:$N12,"&lt;=0"),"")</f>
        <v/>
      </c>
      <c r="AB12" s="16" t="str">
        <f aca="false">IF($C12="","",IF(COUNTIF($C$6:$C12,$C12)&gt;1,"",MAX($AB$5:AB11)+1))</f>
        <v/>
      </c>
      <c r="AC12" s="16" t="str">
        <f aca="false">IF($H12="","",IF(COUNTIF($H$6:$H12,$H12)&gt;1,"",MAX($AC$5:AC11)+1))</f>
        <v/>
      </c>
    </row>
    <row r="13" customFormat="false" ht="15" hidden="false" customHeight="false" outlineLevel="0" collapsed="false">
      <c r="A13" s="16" t="str">
        <f aca="false">IF($C13="","",COUNTA($C$6:$C13))</f>
        <v/>
      </c>
      <c r="B13" s="17"/>
      <c r="C13" s="8"/>
      <c r="D13" s="8"/>
      <c r="E13" s="8"/>
      <c r="F13" s="8"/>
      <c r="G13" s="8"/>
      <c r="H13" s="8"/>
      <c r="I13" s="9"/>
      <c r="J13" s="10" t="str">
        <f aca="false">IF($H13="","",IFERROR(VLOOKUP($H13,'BẢNG GIÁ GỐC'!$A$5:$D$204,3,FALSE()),""))</f>
        <v/>
      </c>
      <c r="K13" s="9"/>
      <c r="L13" s="10" t="str">
        <f aca="false">IF($C13="","",N($I13)*N($K13))</f>
        <v/>
      </c>
      <c r="M13" s="8"/>
      <c r="N13" s="11" t="str">
        <f aca="false">IF($C13="","",IF($M13="VAT 5%",0.05,IF($M13="VAT 8%",0.08,IF($M13="VAT 10%",0.1,0))))</f>
        <v/>
      </c>
      <c r="O13" s="10" t="str">
        <f aca="false">IF($C13="","",$L13*$N13)</f>
        <v/>
      </c>
      <c r="P13" s="10" t="str">
        <f aca="false">IF($C13="","",$L13+$O13)</f>
        <v/>
      </c>
      <c r="Q13" s="9"/>
      <c r="R13" s="10" t="str">
        <f aca="false">IF($C13="","",MAX(0,$P13-N($Q13)))</f>
        <v/>
      </c>
      <c r="S13" s="19" t="str">
        <f aca="false">IF(OR($C13="",$P13=0),"",IF(N($Q13)&lt;=0,"Chưa thanh toán",IF(N($Q13)&lt;$P13,"Thanh toán một phần","Đã thanh toán")))</f>
        <v/>
      </c>
      <c r="T13" s="10" t="str">
        <f aca="false">IF(OR($C13="",$J13=""),"",N($I13)*$J13)</f>
        <v/>
      </c>
      <c r="U13" s="10" t="str">
        <f aca="false">IF(OR($C13="",$T13=""),"",$L13-$T13)</f>
        <v/>
      </c>
      <c r="V13" s="11" t="str">
        <f aca="false">IF(OR($U13="",$L13=0),"",$U13/$L13)</f>
        <v/>
      </c>
      <c r="W13" s="8"/>
      <c r="X13" s="19" t="str">
        <f aca="false">IF($C13="","",IF(AND($H13="",N($I13)=0,N($K13)=0),"Dòng chỉ lưu thông tin khách (chưa có đơn); ",IF($B13="","Thiếu ngày đặt; ","")&amp;IF($H13="","Thiếu tên sản phẩm; ",IF($J13="","Sản phẩm chưa có trong BẢNG GIÁ GỐC; ",""))&amp;IF(N($I13)&lt;=0,"Thiếu số lượng; ","")&amp;IF(N($K13)&lt;=0,"Thiếu giá bán; ","")&amp;IF(AND($N13&gt;0,$F13=""),"Khách lấy VAT thiếu mã số thuế; ","")&amp;IF(N($Q13)&gt;$P13,"Đã thu vượt tổng phải thu; ","")&amp;IF(AND($L13&gt;0,$U13&lt;0),"CẢNH BÁO: ĐƠN NÀY ĐANG LỖ; ","")))</f>
        <v/>
      </c>
      <c r="Y13" s="16" t="str">
        <f aca="false">IF(AND($C13&lt;&gt;"",$R13&gt;0),COUNTIFS($C$6:$C13,"&lt;&gt;",$R$6:$R13,"&gt;0"),"")</f>
        <v/>
      </c>
      <c r="Z13" s="16" t="str">
        <f aca="false">IF(AND($H13&lt;&gt;"",N($N13)&gt;0),COUNTIFS($H$6:$H13,"&lt;&gt;",$N$6:$N13,"&gt;0"),"")</f>
        <v/>
      </c>
      <c r="AA13" s="16" t="str">
        <f aca="false">IF(AND($H13&lt;&gt;"",N($N13)=0),COUNTIFS($H$6:$H13,"&lt;&gt;",$N$6:$N13,"&lt;=0"),"")</f>
        <v/>
      </c>
      <c r="AB13" s="16" t="str">
        <f aca="false">IF($C13="","",IF(COUNTIF($C$6:$C13,$C13)&gt;1,"",MAX($AB$5:AB12)+1))</f>
        <v/>
      </c>
      <c r="AC13" s="16" t="str">
        <f aca="false">IF($H13="","",IF(COUNTIF($H$6:$H13,$H13)&gt;1,"",MAX($AC$5:AC12)+1))</f>
        <v/>
      </c>
    </row>
    <row r="14" customFormat="false" ht="15" hidden="false" customHeight="false" outlineLevel="0" collapsed="false">
      <c r="A14" s="16" t="str">
        <f aca="false">IF($C14="","",COUNTA($C$6:$C14))</f>
        <v/>
      </c>
      <c r="B14" s="17"/>
      <c r="C14" s="8"/>
      <c r="D14" s="8"/>
      <c r="E14" s="8"/>
      <c r="F14" s="8"/>
      <c r="G14" s="8"/>
      <c r="H14" s="8"/>
      <c r="I14" s="9"/>
      <c r="J14" s="10" t="str">
        <f aca="false">IF($H14="","",IFERROR(VLOOKUP($H14,'BẢNG GIÁ GỐC'!$A$5:$D$204,3,FALSE()),""))</f>
        <v/>
      </c>
      <c r="K14" s="9"/>
      <c r="L14" s="10" t="str">
        <f aca="false">IF($C14="","",N($I14)*N($K14))</f>
        <v/>
      </c>
      <c r="M14" s="8"/>
      <c r="N14" s="11" t="str">
        <f aca="false">IF($C14="","",IF($M14="VAT 5%",0.05,IF($M14="VAT 8%",0.08,IF($M14="VAT 10%",0.1,0))))</f>
        <v/>
      </c>
      <c r="O14" s="10" t="str">
        <f aca="false">IF($C14="","",$L14*$N14)</f>
        <v/>
      </c>
      <c r="P14" s="10" t="str">
        <f aca="false">IF($C14="","",$L14+$O14)</f>
        <v/>
      </c>
      <c r="Q14" s="9"/>
      <c r="R14" s="10" t="str">
        <f aca="false">IF($C14="","",MAX(0,$P14-N($Q14)))</f>
        <v/>
      </c>
      <c r="S14" s="19" t="str">
        <f aca="false">IF(OR($C14="",$P14=0),"",IF(N($Q14)&lt;=0,"Chưa thanh toán",IF(N($Q14)&lt;$P14,"Thanh toán một phần","Đã thanh toán")))</f>
        <v/>
      </c>
      <c r="T14" s="10" t="str">
        <f aca="false">IF(OR($C14="",$J14=""),"",N($I14)*$J14)</f>
        <v/>
      </c>
      <c r="U14" s="10" t="str">
        <f aca="false">IF(OR($C14="",$T14=""),"",$L14-$T14)</f>
        <v/>
      </c>
      <c r="V14" s="11" t="str">
        <f aca="false">IF(OR($U14="",$L14=0),"",$U14/$L14)</f>
        <v/>
      </c>
      <c r="W14" s="8"/>
      <c r="X14" s="19" t="str">
        <f aca="false">IF($C14="","",IF(AND($H14="",N($I14)=0,N($K14)=0),"Dòng chỉ lưu thông tin khách (chưa có đơn); ",IF($B14="","Thiếu ngày đặt; ","")&amp;IF($H14="","Thiếu tên sản phẩm; ",IF($J14="","Sản phẩm chưa có trong BẢNG GIÁ GỐC; ",""))&amp;IF(N($I14)&lt;=0,"Thiếu số lượng; ","")&amp;IF(N($K14)&lt;=0,"Thiếu giá bán; ","")&amp;IF(AND($N14&gt;0,$F14=""),"Khách lấy VAT thiếu mã số thuế; ","")&amp;IF(N($Q14)&gt;$P14,"Đã thu vượt tổng phải thu; ","")&amp;IF(AND($L14&gt;0,$U14&lt;0),"CẢNH BÁO: ĐƠN NÀY ĐANG LỖ; ","")))</f>
        <v/>
      </c>
      <c r="Y14" s="16" t="str">
        <f aca="false">IF(AND($C14&lt;&gt;"",$R14&gt;0),COUNTIFS($C$6:$C14,"&lt;&gt;",$R$6:$R14,"&gt;0"),"")</f>
        <v/>
      </c>
      <c r="Z14" s="16" t="str">
        <f aca="false">IF(AND($H14&lt;&gt;"",N($N14)&gt;0),COUNTIFS($H$6:$H14,"&lt;&gt;",$N$6:$N14,"&gt;0"),"")</f>
        <v/>
      </c>
      <c r="AA14" s="16" t="str">
        <f aca="false">IF(AND($H14&lt;&gt;"",N($N14)=0),COUNTIFS($H$6:$H14,"&lt;&gt;",$N$6:$N14,"&lt;=0"),"")</f>
        <v/>
      </c>
      <c r="AB14" s="16" t="str">
        <f aca="false">IF($C14="","",IF(COUNTIF($C$6:$C14,$C14)&gt;1,"",MAX($AB$5:AB13)+1))</f>
        <v/>
      </c>
      <c r="AC14" s="16" t="str">
        <f aca="false">IF($H14="","",IF(COUNTIF($H$6:$H14,$H14)&gt;1,"",MAX($AC$5:AC13)+1))</f>
        <v/>
      </c>
    </row>
    <row r="15" customFormat="false" ht="15" hidden="false" customHeight="false" outlineLevel="0" collapsed="false">
      <c r="A15" s="16" t="str">
        <f aca="false">IF($C15="","",COUNTA($C$6:$C15))</f>
        <v/>
      </c>
      <c r="B15" s="17"/>
      <c r="C15" s="8"/>
      <c r="D15" s="8"/>
      <c r="E15" s="8"/>
      <c r="F15" s="8"/>
      <c r="G15" s="8"/>
      <c r="H15" s="8"/>
      <c r="I15" s="9"/>
      <c r="J15" s="10" t="str">
        <f aca="false">IF($H15="","",IFERROR(VLOOKUP($H15,'BẢNG GIÁ GỐC'!$A$5:$D$204,3,FALSE()),""))</f>
        <v/>
      </c>
      <c r="K15" s="9"/>
      <c r="L15" s="10" t="str">
        <f aca="false">IF($C15="","",N($I15)*N($K15))</f>
        <v/>
      </c>
      <c r="M15" s="8"/>
      <c r="N15" s="11" t="str">
        <f aca="false">IF($C15="","",IF($M15="VAT 5%",0.05,IF($M15="VAT 8%",0.08,IF($M15="VAT 10%",0.1,0))))</f>
        <v/>
      </c>
      <c r="O15" s="10" t="str">
        <f aca="false">IF($C15="","",$L15*$N15)</f>
        <v/>
      </c>
      <c r="P15" s="10" t="str">
        <f aca="false">IF($C15="","",$L15+$O15)</f>
        <v/>
      </c>
      <c r="Q15" s="9"/>
      <c r="R15" s="10" t="str">
        <f aca="false">IF($C15="","",MAX(0,$P15-N($Q15)))</f>
        <v/>
      </c>
      <c r="S15" s="19" t="str">
        <f aca="false">IF(OR($C15="",$P15=0),"",IF(N($Q15)&lt;=0,"Chưa thanh toán",IF(N($Q15)&lt;$P15,"Thanh toán một phần","Đã thanh toán")))</f>
        <v/>
      </c>
      <c r="T15" s="10" t="str">
        <f aca="false">IF(OR($C15="",$J15=""),"",N($I15)*$J15)</f>
        <v/>
      </c>
      <c r="U15" s="10" t="str">
        <f aca="false">IF(OR($C15="",$T15=""),"",$L15-$T15)</f>
        <v/>
      </c>
      <c r="V15" s="11" t="str">
        <f aca="false">IF(OR($U15="",$L15=0),"",$U15/$L15)</f>
        <v/>
      </c>
      <c r="W15" s="8"/>
      <c r="X15" s="19" t="str">
        <f aca="false">IF($C15="","",IF(AND($H15="",N($I15)=0,N($K15)=0),"Dòng chỉ lưu thông tin khách (chưa có đơn); ",IF($B15="","Thiếu ngày đặt; ","")&amp;IF($H15="","Thiếu tên sản phẩm; ",IF($J15="","Sản phẩm chưa có trong BẢNG GIÁ GỐC; ",""))&amp;IF(N($I15)&lt;=0,"Thiếu số lượng; ","")&amp;IF(N($K15)&lt;=0,"Thiếu giá bán; ","")&amp;IF(AND($N15&gt;0,$F15=""),"Khách lấy VAT thiếu mã số thuế; ","")&amp;IF(N($Q15)&gt;$P15,"Đã thu vượt tổng phải thu; ","")&amp;IF(AND($L15&gt;0,$U15&lt;0),"CẢNH BÁO: ĐƠN NÀY ĐANG LỖ; ","")))</f>
        <v/>
      </c>
      <c r="Y15" s="16" t="str">
        <f aca="false">IF(AND($C15&lt;&gt;"",$R15&gt;0),COUNTIFS($C$6:$C15,"&lt;&gt;",$R$6:$R15,"&gt;0"),"")</f>
        <v/>
      </c>
      <c r="Z15" s="16" t="str">
        <f aca="false">IF(AND($H15&lt;&gt;"",N($N15)&gt;0),COUNTIFS($H$6:$H15,"&lt;&gt;",$N$6:$N15,"&gt;0"),"")</f>
        <v/>
      </c>
      <c r="AA15" s="16" t="str">
        <f aca="false">IF(AND($H15&lt;&gt;"",N($N15)=0),COUNTIFS($H$6:$H15,"&lt;&gt;",$N$6:$N15,"&lt;=0"),"")</f>
        <v/>
      </c>
      <c r="AB15" s="16" t="str">
        <f aca="false">IF($C15="","",IF(COUNTIF($C$6:$C15,$C15)&gt;1,"",MAX($AB$5:AB14)+1))</f>
        <v/>
      </c>
      <c r="AC15" s="16" t="str">
        <f aca="false">IF($H15="","",IF(COUNTIF($H$6:$H15,$H15)&gt;1,"",MAX($AC$5:AC14)+1))</f>
        <v/>
      </c>
    </row>
    <row r="16" customFormat="false" ht="15" hidden="false" customHeight="false" outlineLevel="0" collapsed="false">
      <c r="A16" s="16" t="str">
        <f aca="false">IF($C16="","",COUNTA($C$6:$C16))</f>
        <v/>
      </c>
      <c r="B16" s="17"/>
      <c r="C16" s="8"/>
      <c r="D16" s="8"/>
      <c r="E16" s="8"/>
      <c r="F16" s="8"/>
      <c r="G16" s="8"/>
      <c r="H16" s="8"/>
      <c r="I16" s="9"/>
      <c r="J16" s="10" t="str">
        <f aca="false">IF($H16="","",IFERROR(VLOOKUP($H16,'BẢNG GIÁ GỐC'!$A$5:$D$204,3,FALSE()),""))</f>
        <v/>
      </c>
      <c r="K16" s="9"/>
      <c r="L16" s="10" t="str">
        <f aca="false">IF($C16="","",N($I16)*N($K16))</f>
        <v/>
      </c>
      <c r="M16" s="8"/>
      <c r="N16" s="11" t="str">
        <f aca="false">IF($C16="","",IF($M16="VAT 5%",0.05,IF($M16="VAT 8%",0.08,IF($M16="VAT 10%",0.1,0))))</f>
        <v/>
      </c>
      <c r="O16" s="10" t="str">
        <f aca="false">IF($C16="","",$L16*$N16)</f>
        <v/>
      </c>
      <c r="P16" s="10" t="str">
        <f aca="false">IF($C16="","",$L16+$O16)</f>
        <v/>
      </c>
      <c r="Q16" s="9"/>
      <c r="R16" s="10" t="str">
        <f aca="false">IF($C16="","",MAX(0,$P16-N($Q16)))</f>
        <v/>
      </c>
      <c r="S16" s="19" t="str">
        <f aca="false">IF(OR($C16="",$P16=0),"",IF(N($Q16)&lt;=0,"Chưa thanh toán",IF(N($Q16)&lt;$P16,"Thanh toán một phần","Đã thanh toán")))</f>
        <v/>
      </c>
      <c r="T16" s="10" t="str">
        <f aca="false">IF(OR($C16="",$J16=""),"",N($I16)*$J16)</f>
        <v/>
      </c>
      <c r="U16" s="10" t="str">
        <f aca="false">IF(OR($C16="",$T16=""),"",$L16-$T16)</f>
        <v/>
      </c>
      <c r="V16" s="11" t="str">
        <f aca="false">IF(OR($U16="",$L16=0),"",$U16/$L16)</f>
        <v/>
      </c>
      <c r="W16" s="8"/>
      <c r="X16" s="19" t="str">
        <f aca="false">IF($C16="","",IF(AND($H16="",N($I16)=0,N($K16)=0),"Dòng chỉ lưu thông tin khách (chưa có đơn); ",IF($B16="","Thiếu ngày đặt; ","")&amp;IF($H16="","Thiếu tên sản phẩm; ",IF($J16="","Sản phẩm chưa có trong BẢNG GIÁ GỐC; ",""))&amp;IF(N($I16)&lt;=0,"Thiếu số lượng; ","")&amp;IF(N($K16)&lt;=0,"Thiếu giá bán; ","")&amp;IF(AND($N16&gt;0,$F16=""),"Khách lấy VAT thiếu mã số thuế; ","")&amp;IF(N($Q16)&gt;$P16,"Đã thu vượt tổng phải thu; ","")&amp;IF(AND($L16&gt;0,$U16&lt;0),"CẢNH BÁO: ĐƠN NÀY ĐANG LỖ; ","")))</f>
        <v/>
      </c>
      <c r="Y16" s="16" t="str">
        <f aca="false">IF(AND($C16&lt;&gt;"",$R16&gt;0),COUNTIFS($C$6:$C16,"&lt;&gt;",$R$6:$R16,"&gt;0"),"")</f>
        <v/>
      </c>
      <c r="Z16" s="16" t="str">
        <f aca="false">IF(AND($H16&lt;&gt;"",N($N16)&gt;0),COUNTIFS($H$6:$H16,"&lt;&gt;",$N$6:$N16,"&gt;0"),"")</f>
        <v/>
      </c>
      <c r="AA16" s="16" t="str">
        <f aca="false">IF(AND($H16&lt;&gt;"",N($N16)=0),COUNTIFS($H$6:$H16,"&lt;&gt;",$N$6:$N16,"&lt;=0"),"")</f>
        <v/>
      </c>
      <c r="AB16" s="16" t="str">
        <f aca="false">IF($C16="","",IF(COUNTIF($C$6:$C16,$C16)&gt;1,"",MAX($AB$5:AB15)+1))</f>
        <v/>
      </c>
      <c r="AC16" s="16" t="str">
        <f aca="false">IF($H16="","",IF(COUNTIF($H$6:$H16,$H16)&gt;1,"",MAX($AC$5:AC15)+1))</f>
        <v/>
      </c>
    </row>
    <row r="17" customFormat="false" ht="15" hidden="false" customHeight="false" outlineLevel="0" collapsed="false">
      <c r="A17" s="16" t="str">
        <f aca="false">IF($C17="","",COUNTA($C$6:$C17))</f>
        <v/>
      </c>
      <c r="B17" s="17"/>
      <c r="C17" s="8"/>
      <c r="D17" s="8"/>
      <c r="E17" s="8"/>
      <c r="F17" s="8"/>
      <c r="G17" s="8"/>
      <c r="H17" s="8"/>
      <c r="I17" s="9"/>
      <c r="J17" s="10" t="str">
        <f aca="false">IF($H17="","",IFERROR(VLOOKUP($H17,'BẢNG GIÁ GỐC'!$A$5:$D$204,3,FALSE()),""))</f>
        <v/>
      </c>
      <c r="K17" s="9"/>
      <c r="L17" s="10" t="str">
        <f aca="false">IF($C17="","",N($I17)*N($K17))</f>
        <v/>
      </c>
      <c r="M17" s="8"/>
      <c r="N17" s="11" t="str">
        <f aca="false">IF($C17="","",IF($M17="VAT 5%",0.05,IF($M17="VAT 8%",0.08,IF($M17="VAT 10%",0.1,0))))</f>
        <v/>
      </c>
      <c r="O17" s="10" t="str">
        <f aca="false">IF($C17="","",$L17*$N17)</f>
        <v/>
      </c>
      <c r="P17" s="10" t="str">
        <f aca="false">IF($C17="","",$L17+$O17)</f>
        <v/>
      </c>
      <c r="Q17" s="9"/>
      <c r="R17" s="10" t="str">
        <f aca="false">IF($C17="","",MAX(0,$P17-N($Q17)))</f>
        <v/>
      </c>
      <c r="S17" s="19" t="str">
        <f aca="false">IF(OR($C17="",$P17=0),"",IF(N($Q17)&lt;=0,"Chưa thanh toán",IF(N($Q17)&lt;$P17,"Thanh toán một phần","Đã thanh toán")))</f>
        <v/>
      </c>
      <c r="T17" s="10" t="str">
        <f aca="false">IF(OR($C17="",$J17=""),"",N($I17)*$J17)</f>
        <v/>
      </c>
      <c r="U17" s="10" t="str">
        <f aca="false">IF(OR($C17="",$T17=""),"",$L17-$T17)</f>
        <v/>
      </c>
      <c r="V17" s="11" t="str">
        <f aca="false">IF(OR($U17="",$L17=0),"",$U17/$L17)</f>
        <v/>
      </c>
      <c r="W17" s="8"/>
      <c r="X17" s="19" t="str">
        <f aca="false">IF($C17="","",IF(AND($H17="",N($I17)=0,N($K17)=0),"Dòng chỉ lưu thông tin khách (chưa có đơn); ",IF($B17="","Thiếu ngày đặt; ","")&amp;IF($H17="","Thiếu tên sản phẩm; ",IF($J17="","Sản phẩm chưa có trong BẢNG GIÁ GỐC; ",""))&amp;IF(N($I17)&lt;=0,"Thiếu số lượng; ","")&amp;IF(N($K17)&lt;=0,"Thiếu giá bán; ","")&amp;IF(AND($N17&gt;0,$F17=""),"Khách lấy VAT thiếu mã số thuế; ","")&amp;IF(N($Q17)&gt;$P17,"Đã thu vượt tổng phải thu; ","")&amp;IF(AND($L17&gt;0,$U17&lt;0),"CẢNH BÁO: ĐƠN NÀY ĐANG LỖ; ","")))</f>
        <v/>
      </c>
      <c r="Y17" s="16" t="str">
        <f aca="false">IF(AND($C17&lt;&gt;"",$R17&gt;0),COUNTIFS($C$6:$C17,"&lt;&gt;",$R$6:$R17,"&gt;0"),"")</f>
        <v/>
      </c>
      <c r="Z17" s="16" t="str">
        <f aca="false">IF(AND($H17&lt;&gt;"",N($N17)&gt;0),COUNTIFS($H$6:$H17,"&lt;&gt;",$N$6:$N17,"&gt;0"),"")</f>
        <v/>
      </c>
      <c r="AA17" s="16" t="str">
        <f aca="false">IF(AND($H17&lt;&gt;"",N($N17)=0),COUNTIFS($H$6:$H17,"&lt;&gt;",$N$6:$N17,"&lt;=0"),"")</f>
        <v/>
      </c>
      <c r="AB17" s="16" t="str">
        <f aca="false">IF($C17="","",IF(COUNTIF($C$6:$C17,$C17)&gt;1,"",MAX($AB$5:AB16)+1))</f>
        <v/>
      </c>
      <c r="AC17" s="16" t="str">
        <f aca="false">IF($H17="","",IF(COUNTIF($H$6:$H17,$H17)&gt;1,"",MAX($AC$5:AC16)+1))</f>
        <v/>
      </c>
    </row>
    <row r="18" customFormat="false" ht="15" hidden="false" customHeight="false" outlineLevel="0" collapsed="false">
      <c r="A18" s="16" t="str">
        <f aca="false">IF($C18="","",COUNTA($C$6:$C18))</f>
        <v/>
      </c>
      <c r="B18" s="17"/>
      <c r="C18" s="8"/>
      <c r="D18" s="8"/>
      <c r="E18" s="8"/>
      <c r="F18" s="8"/>
      <c r="G18" s="8"/>
      <c r="H18" s="8"/>
      <c r="I18" s="9"/>
      <c r="J18" s="10" t="str">
        <f aca="false">IF($H18="","",IFERROR(VLOOKUP($H18,'BẢNG GIÁ GỐC'!$A$5:$D$204,3,FALSE()),""))</f>
        <v/>
      </c>
      <c r="K18" s="9"/>
      <c r="L18" s="10" t="str">
        <f aca="false">IF($C18="","",N($I18)*N($K18))</f>
        <v/>
      </c>
      <c r="M18" s="8"/>
      <c r="N18" s="11" t="str">
        <f aca="false">IF($C18="","",IF($M18="VAT 5%",0.05,IF($M18="VAT 8%",0.08,IF($M18="VAT 10%",0.1,0))))</f>
        <v/>
      </c>
      <c r="O18" s="10" t="str">
        <f aca="false">IF($C18="","",$L18*$N18)</f>
        <v/>
      </c>
      <c r="P18" s="10" t="str">
        <f aca="false">IF($C18="","",$L18+$O18)</f>
        <v/>
      </c>
      <c r="Q18" s="9"/>
      <c r="R18" s="10" t="str">
        <f aca="false">IF($C18="","",MAX(0,$P18-N($Q18)))</f>
        <v/>
      </c>
      <c r="S18" s="19" t="str">
        <f aca="false">IF(OR($C18="",$P18=0),"",IF(N($Q18)&lt;=0,"Chưa thanh toán",IF(N($Q18)&lt;$P18,"Thanh toán một phần","Đã thanh toán")))</f>
        <v/>
      </c>
      <c r="T18" s="10" t="str">
        <f aca="false">IF(OR($C18="",$J18=""),"",N($I18)*$J18)</f>
        <v/>
      </c>
      <c r="U18" s="10" t="str">
        <f aca="false">IF(OR($C18="",$T18=""),"",$L18-$T18)</f>
        <v/>
      </c>
      <c r="V18" s="11" t="str">
        <f aca="false">IF(OR($U18="",$L18=0),"",$U18/$L18)</f>
        <v/>
      </c>
      <c r="W18" s="8"/>
      <c r="X18" s="19" t="str">
        <f aca="false">IF($C18="","",IF(AND($H18="",N($I18)=0,N($K18)=0),"Dòng chỉ lưu thông tin khách (chưa có đơn); ",IF($B18="","Thiếu ngày đặt; ","")&amp;IF($H18="","Thiếu tên sản phẩm; ",IF($J18="","Sản phẩm chưa có trong BẢNG GIÁ GỐC; ",""))&amp;IF(N($I18)&lt;=0,"Thiếu số lượng; ","")&amp;IF(N($K18)&lt;=0,"Thiếu giá bán; ","")&amp;IF(AND($N18&gt;0,$F18=""),"Khách lấy VAT thiếu mã số thuế; ","")&amp;IF(N($Q18)&gt;$P18,"Đã thu vượt tổng phải thu; ","")&amp;IF(AND($L18&gt;0,$U18&lt;0),"CẢNH BÁO: ĐƠN NÀY ĐANG LỖ; ","")))</f>
        <v/>
      </c>
      <c r="Y18" s="16" t="str">
        <f aca="false">IF(AND($C18&lt;&gt;"",$R18&gt;0),COUNTIFS($C$6:$C18,"&lt;&gt;",$R$6:$R18,"&gt;0"),"")</f>
        <v/>
      </c>
      <c r="Z18" s="16" t="str">
        <f aca="false">IF(AND($H18&lt;&gt;"",N($N18)&gt;0),COUNTIFS($H$6:$H18,"&lt;&gt;",$N$6:$N18,"&gt;0"),"")</f>
        <v/>
      </c>
      <c r="AA18" s="16" t="str">
        <f aca="false">IF(AND($H18&lt;&gt;"",N($N18)=0),COUNTIFS($H$6:$H18,"&lt;&gt;",$N$6:$N18,"&lt;=0"),"")</f>
        <v/>
      </c>
      <c r="AB18" s="16" t="str">
        <f aca="false">IF($C18="","",IF(COUNTIF($C$6:$C18,$C18)&gt;1,"",MAX($AB$5:AB17)+1))</f>
        <v/>
      </c>
      <c r="AC18" s="16" t="str">
        <f aca="false">IF($H18="","",IF(COUNTIF($H$6:$H18,$H18)&gt;1,"",MAX($AC$5:AC17)+1))</f>
        <v/>
      </c>
    </row>
    <row r="19" customFormat="false" ht="15" hidden="false" customHeight="false" outlineLevel="0" collapsed="false">
      <c r="A19" s="16" t="str">
        <f aca="false">IF($C19="","",COUNTA($C$6:$C19))</f>
        <v/>
      </c>
      <c r="B19" s="17"/>
      <c r="C19" s="8"/>
      <c r="D19" s="8"/>
      <c r="E19" s="8"/>
      <c r="F19" s="8"/>
      <c r="G19" s="8"/>
      <c r="H19" s="8"/>
      <c r="I19" s="9"/>
      <c r="J19" s="10" t="str">
        <f aca="false">IF($H19="","",IFERROR(VLOOKUP($H19,'BẢNG GIÁ GỐC'!$A$5:$D$204,3,FALSE()),""))</f>
        <v/>
      </c>
      <c r="K19" s="9"/>
      <c r="L19" s="10" t="str">
        <f aca="false">IF($C19="","",N($I19)*N($K19))</f>
        <v/>
      </c>
      <c r="M19" s="8"/>
      <c r="N19" s="11" t="str">
        <f aca="false">IF($C19="","",IF($M19="VAT 5%",0.05,IF($M19="VAT 8%",0.08,IF($M19="VAT 10%",0.1,0))))</f>
        <v/>
      </c>
      <c r="O19" s="10" t="str">
        <f aca="false">IF($C19="","",$L19*$N19)</f>
        <v/>
      </c>
      <c r="P19" s="10" t="str">
        <f aca="false">IF($C19="","",$L19+$O19)</f>
        <v/>
      </c>
      <c r="Q19" s="9"/>
      <c r="R19" s="10" t="str">
        <f aca="false">IF($C19="","",MAX(0,$P19-N($Q19)))</f>
        <v/>
      </c>
      <c r="S19" s="19" t="str">
        <f aca="false">IF(OR($C19="",$P19=0),"",IF(N($Q19)&lt;=0,"Chưa thanh toán",IF(N($Q19)&lt;$P19,"Thanh toán một phần","Đã thanh toán")))</f>
        <v/>
      </c>
      <c r="T19" s="10" t="str">
        <f aca="false">IF(OR($C19="",$J19=""),"",N($I19)*$J19)</f>
        <v/>
      </c>
      <c r="U19" s="10" t="str">
        <f aca="false">IF(OR($C19="",$T19=""),"",$L19-$T19)</f>
        <v/>
      </c>
      <c r="V19" s="11" t="str">
        <f aca="false">IF(OR($U19="",$L19=0),"",$U19/$L19)</f>
        <v/>
      </c>
      <c r="W19" s="8"/>
      <c r="X19" s="19" t="str">
        <f aca="false">IF($C19="","",IF(AND($H19="",N($I19)=0,N($K19)=0),"Dòng chỉ lưu thông tin khách (chưa có đơn); ",IF($B19="","Thiếu ngày đặt; ","")&amp;IF($H19="","Thiếu tên sản phẩm; ",IF($J19="","Sản phẩm chưa có trong BẢNG GIÁ GỐC; ",""))&amp;IF(N($I19)&lt;=0,"Thiếu số lượng; ","")&amp;IF(N($K19)&lt;=0,"Thiếu giá bán; ","")&amp;IF(AND($N19&gt;0,$F19=""),"Khách lấy VAT thiếu mã số thuế; ","")&amp;IF(N($Q19)&gt;$P19,"Đã thu vượt tổng phải thu; ","")&amp;IF(AND($L19&gt;0,$U19&lt;0),"CẢNH BÁO: ĐƠN NÀY ĐANG LỖ; ","")))</f>
        <v/>
      </c>
      <c r="Y19" s="16" t="str">
        <f aca="false">IF(AND($C19&lt;&gt;"",$R19&gt;0),COUNTIFS($C$6:$C19,"&lt;&gt;",$R$6:$R19,"&gt;0"),"")</f>
        <v/>
      </c>
      <c r="Z19" s="16" t="str">
        <f aca="false">IF(AND($H19&lt;&gt;"",N($N19)&gt;0),COUNTIFS($H$6:$H19,"&lt;&gt;",$N$6:$N19,"&gt;0"),"")</f>
        <v/>
      </c>
      <c r="AA19" s="16" t="str">
        <f aca="false">IF(AND($H19&lt;&gt;"",N($N19)=0),COUNTIFS($H$6:$H19,"&lt;&gt;",$N$6:$N19,"&lt;=0"),"")</f>
        <v/>
      </c>
      <c r="AB19" s="16" t="str">
        <f aca="false">IF($C19="","",IF(COUNTIF($C$6:$C19,$C19)&gt;1,"",MAX($AB$5:AB18)+1))</f>
        <v/>
      </c>
      <c r="AC19" s="16" t="str">
        <f aca="false">IF($H19="","",IF(COUNTIF($H$6:$H19,$H19)&gt;1,"",MAX($AC$5:AC18)+1))</f>
        <v/>
      </c>
    </row>
    <row r="20" customFormat="false" ht="15" hidden="false" customHeight="false" outlineLevel="0" collapsed="false">
      <c r="A20" s="16" t="str">
        <f aca="false">IF($C20="","",COUNTA($C$6:$C20))</f>
        <v/>
      </c>
      <c r="B20" s="17"/>
      <c r="C20" s="8"/>
      <c r="D20" s="8"/>
      <c r="E20" s="8"/>
      <c r="F20" s="8"/>
      <c r="G20" s="8"/>
      <c r="H20" s="8"/>
      <c r="I20" s="9"/>
      <c r="J20" s="10" t="str">
        <f aca="false">IF($H20="","",IFERROR(VLOOKUP($H20,'BẢNG GIÁ GỐC'!$A$5:$D$204,3,FALSE()),""))</f>
        <v/>
      </c>
      <c r="K20" s="9"/>
      <c r="L20" s="10" t="str">
        <f aca="false">IF($C20="","",N($I20)*N($K20))</f>
        <v/>
      </c>
      <c r="M20" s="8"/>
      <c r="N20" s="11" t="str">
        <f aca="false">IF($C20="","",IF($M20="VAT 5%",0.05,IF($M20="VAT 8%",0.08,IF($M20="VAT 10%",0.1,0))))</f>
        <v/>
      </c>
      <c r="O20" s="10" t="str">
        <f aca="false">IF($C20="","",$L20*$N20)</f>
        <v/>
      </c>
      <c r="P20" s="10" t="str">
        <f aca="false">IF($C20="","",$L20+$O20)</f>
        <v/>
      </c>
      <c r="Q20" s="9"/>
      <c r="R20" s="10" t="str">
        <f aca="false">IF($C20="","",MAX(0,$P20-N($Q20)))</f>
        <v/>
      </c>
      <c r="S20" s="19" t="str">
        <f aca="false">IF(OR($C20="",$P20=0),"",IF(N($Q20)&lt;=0,"Chưa thanh toán",IF(N($Q20)&lt;$P20,"Thanh toán một phần","Đã thanh toán")))</f>
        <v/>
      </c>
      <c r="T20" s="10" t="str">
        <f aca="false">IF(OR($C20="",$J20=""),"",N($I20)*$J20)</f>
        <v/>
      </c>
      <c r="U20" s="10" t="str">
        <f aca="false">IF(OR($C20="",$T20=""),"",$L20-$T20)</f>
        <v/>
      </c>
      <c r="V20" s="11" t="str">
        <f aca="false">IF(OR($U20="",$L20=0),"",$U20/$L20)</f>
        <v/>
      </c>
      <c r="W20" s="8"/>
      <c r="X20" s="19" t="str">
        <f aca="false">IF($C20="","",IF(AND($H20="",N($I20)=0,N($K20)=0),"Dòng chỉ lưu thông tin khách (chưa có đơn); ",IF($B20="","Thiếu ngày đặt; ","")&amp;IF($H20="","Thiếu tên sản phẩm; ",IF($J20="","Sản phẩm chưa có trong BẢNG GIÁ GỐC; ",""))&amp;IF(N($I20)&lt;=0,"Thiếu số lượng; ","")&amp;IF(N($K20)&lt;=0,"Thiếu giá bán; ","")&amp;IF(AND($N20&gt;0,$F20=""),"Khách lấy VAT thiếu mã số thuế; ","")&amp;IF(N($Q20)&gt;$P20,"Đã thu vượt tổng phải thu; ","")&amp;IF(AND($L20&gt;0,$U20&lt;0),"CẢNH BÁO: ĐƠN NÀY ĐANG LỖ; ","")))</f>
        <v/>
      </c>
      <c r="Y20" s="16" t="str">
        <f aca="false">IF(AND($C20&lt;&gt;"",$R20&gt;0),COUNTIFS($C$6:$C20,"&lt;&gt;",$R$6:$R20,"&gt;0"),"")</f>
        <v/>
      </c>
      <c r="Z20" s="16" t="str">
        <f aca="false">IF(AND($H20&lt;&gt;"",N($N20)&gt;0),COUNTIFS($H$6:$H20,"&lt;&gt;",$N$6:$N20,"&gt;0"),"")</f>
        <v/>
      </c>
      <c r="AA20" s="16" t="str">
        <f aca="false">IF(AND($H20&lt;&gt;"",N($N20)=0),COUNTIFS($H$6:$H20,"&lt;&gt;",$N$6:$N20,"&lt;=0"),"")</f>
        <v/>
      </c>
      <c r="AB20" s="16" t="str">
        <f aca="false">IF($C20="","",IF(COUNTIF($C$6:$C20,$C20)&gt;1,"",MAX($AB$5:AB19)+1))</f>
        <v/>
      </c>
      <c r="AC20" s="16" t="str">
        <f aca="false">IF($H20="","",IF(COUNTIF($H$6:$H20,$H20)&gt;1,"",MAX($AC$5:AC19)+1))</f>
        <v/>
      </c>
    </row>
    <row r="21" customFormat="false" ht="15" hidden="false" customHeight="false" outlineLevel="0" collapsed="false">
      <c r="A21" s="16" t="str">
        <f aca="false">IF($C21="","",COUNTA($C$6:$C21))</f>
        <v/>
      </c>
      <c r="B21" s="17"/>
      <c r="C21" s="8"/>
      <c r="D21" s="8"/>
      <c r="E21" s="8"/>
      <c r="F21" s="8"/>
      <c r="G21" s="8"/>
      <c r="H21" s="8"/>
      <c r="I21" s="9"/>
      <c r="J21" s="10" t="str">
        <f aca="false">IF($H21="","",IFERROR(VLOOKUP($H21,'BẢNG GIÁ GỐC'!$A$5:$D$204,3,FALSE()),""))</f>
        <v/>
      </c>
      <c r="K21" s="9"/>
      <c r="L21" s="10" t="str">
        <f aca="false">IF($C21="","",N($I21)*N($K21))</f>
        <v/>
      </c>
      <c r="M21" s="8"/>
      <c r="N21" s="11" t="str">
        <f aca="false">IF($C21="","",IF($M21="VAT 5%",0.05,IF($M21="VAT 8%",0.08,IF($M21="VAT 10%",0.1,0))))</f>
        <v/>
      </c>
      <c r="O21" s="10" t="str">
        <f aca="false">IF($C21="","",$L21*$N21)</f>
        <v/>
      </c>
      <c r="P21" s="10" t="str">
        <f aca="false">IF($C21="","",$L21+$O21)</f>
        <v/>
      </c>
      <c r="Q21" s="9"/>
      <c r="R21" s="10" t="str">
        <f aca="false">IF($C21="","",MAX(0,$P21-N($Q21)))</f>
        <v/>
      </c>
      <c r="S21" s="19" t="str">
        <f aca="false">IF(OR($C21="",$P21=0),"",IF(N($Q21)&lt;=0,"Chưa thanh toán",IF(N($Q21)&lt;$P21,"Thanh toán một phần","Đã thanh toán")))</f>
        <v/>
      </c>
      <c r="T21" s="10" t="str">
        <f aca="false">IF(OR($C21="",$J21=""),"",N($I21)*$J21)</f>
        <v/>
      </c>
      <c r="U21" s="10" t="str">
        <f aca="false">IF(OR($C21="",$T21=""),"",$L21-$T21)</f>
        <v/>
      </c>
      <c r="V21" s="11" t="str">
        <f aca="false">IF(OR($U21="",$L21=0),"",$U21/$L21)</f>
        <v/>
      </c>
      <c r="W21" s="8"/>
      <c r="X21" s="19" t="str">
        <f aca="false">IF($C21="","",IF(AND($H21="",N($I21)=0,N($K21)=0),"Dòng chỉ lưu thông tin khách (chưa có đơn); ",IF($B21="","Thiếu ngày đặt; ","")&amp;IF($H21="","Thiếu tên sản phẩm; ",IF($J21="","Sản phẩm chưa có trong BẢNG GIÁ GỐC; ",""))&amp;IF(N($I21)&lt;=0,"Thiếu số lượng; ","")&amp;IF(N($K21)&lt;=0,"Thiếu giá bán; ","")&amp;IF(AND($N21&gt;0,$F21=""),"Khách lấy VAT thiếu mã số thuế; ","")&amp;IF(N($Q21)&gt;$P21,"Đã thu vượt tổng phải thu; ","")&amp;IF(AND($L21&gt;0,$U21&lt;0),"CẢNH BÁO: ĐƠN NÀY ĐANG LỖ; ","")))</f>
        <v/>
      </c>
      <c r="Y21" s="16" t="str">
        <f aca="false">IF(AND($C21&lt;&gt;"",$R21&gt;0),COUNTIFS($C$6:$C21,"&lt;&gt;",$R$6:$R21,"&gt;0"),"")</f>
        <v/>
      </c>
      <c r="Z21" s="16" t="str">
        <f aca="false">IF(AND($H21&lt;&gt;"",N($N21)&gt;0),COUNTIFS($H$6:$H21,"&lt;&gt;",$N$6:$N21,"&gt;0"),"")</f>
        <v/>
      </c>
      <c r="AA21" s="16" t="str">
        <f aca="false">IF(AND($H21&lt;&gt;"",N($N21)=0),COUNTIFS($H$6:$H21,"&lt;&gt;",$N$6:$N21,"&lt;=0"),"")</f>
        <v/>
      </c>
      <c r="AB21" s="16" t="str">
        <f aca="false">IF($C21="","",IF(COUNTIF($C$6:$C21,$C21)&gt;1,"",MAX($AB$5:AB20)+1))</f>
        <v/>
      </c>
      <c r="AC21" s="16" t="str">
        <f aca="false">IF($H21="","",IF(COUNTIF($H$6:$H21,$H21)&gt;1,"",MAX($AC$5:AC20)+1))</f>
        <v/>
      </c>
    </row>
    <row r="22" customFormat="false" ht="15" hidden="false" customHeight="false" outlineLevel="0" collapsed="false">
      <c r="A22" s="16" t="str">
        <f aca="false">IF($C22="","",COUNTA($C$6:$C22))</f>
        <v/>
      </c>
      <c r="B22" s="17"/>
      <c r="C22" s="8"/>
      <c r="D22" s="8"/>
      <c r="E22" s="8"/>
      <c r="F22" s="8"/>
      <c r="G22" s="8"/>
      <c r="H22" s="8"/>
      <c r="I22" s="9"/>
      <c r="J22" s="10" t="str">
        <f aca="false">IF($H22="","",IFERROR(VLOOKUP($H22,'BẢNG GIÁ GỐC'!$A$5:$D$204,3,FALSE()),""))</f>
        <v/>
      </c>
      <c r="K22" s="9"/>
      <c r="L22" s="10" t="str">
        <f aca="false">IF($C22="","",N($I22)*N($K22))</f>
        <v/>
      </c>
      <c r="M22" s="8"/>
      <c r="N22" s="11" t="str">
        <f aca="false">IF($C22="","",IF($M22="VAT 5%",0.05,IF($M22="VAT 8%",0.08,IF($M22="VAT 10%",0.1,0))))</f>
        <v/>
      </c>
      <c r="O22" s="10" t="str">
        <f aca="false">IF($C22="","",$L22*$N22)</f>
        <v/>
      </c>
      <c r="P22" s="10" t="str">
        <f aca="false">IF($C22="","",$L22+$O22)</f>
        <v/>
      </c>
      <c r="Q22" s="9"/>
      <c r="R22" s="10" t="str">
        <f aca="false">IF($C22="","",MAX(0,$P22-N($Q22)))</f>
        <v/>
      </c>
      <c r="S22" s="19" t="str">
        <f aca="false">IF(OR($C22="",$P22=0),"",IF(N($Q22)&lt;=0,"Chưa thanh toán",IF(N($Q22)&lt;$P22,"Thanh toán một phần","Đã thanh toán")))</f>
        <v/>
      </c>
      <c r="T22" s="10" t="str">
        <f aca="false">IF(OR($C22="",$J22=""),"",N($I22)*$J22)</f>
        <v/>
      </c>
      <c r="U22" s="10" t="str">
        <f aca="false">IF(OR($C22="",$T22=""),"",$L22-$T22)</f>
        <v/>
      </c>
      <c r="V22" s="11" t="str">
        <f aca="false">IF(OR($U22="",$L22=0),"",$U22/$L22)</f>
        <v/>
      </c>
      <c r="W22" s="8"/>
      <c r="X22" s="19" t="str">
        <f aca="false">IF($C22="","",IF(AND($H22="",N($I22)=0,N($K22)=0),"Dòng chỉ lưu thông tin khách (chưa có đơn); ",IF($B22="","Thiếu ngày đặt; ","")&amp;IF($H22="","Thiếu tên sản phẩm; ",IF($J22="","Sản phẩm chưa có trong BẢNG GIÁ GỐC; ",""))&amp;IF(N($I22)&lt;=0,"Thiếu số lượng; ","")&amp;IF(N($K22)&lt;=0,"Thiếu giá bán; ","")&amp;IF(AND($N22&gt;0,$F22=""),"Khách lấy VAT thiếu mã số thuế; ","")&amp;IF(N($Q22)&gt;$P22,"Đã thu vượt tổng phải thu; ","")&amp;IF(AND($L22&gt;0,$U22&lt;0),"CẢNH BÁO: ĐƠN NÀY ĐANG LỖ; ","")))</f>
        <v/>
      </c>
      <c r="Y22" s="16" t="str">
        <f aca="false">IF(AND($C22&lt;&gt;"",$R22&gt;0),COUNTIFS($C$6:$C22,"&lt;&gt;",$R$6:$R22,"&gt;0"),"")</f>
        <v/>
      </c>
      <c r="Z22" s="16" t="str">
        <f aca="false">IF(AND($H22&lt;&gt;"",N($N22)&gt;0),COUNTIFS($H$6:$H22,"&lt;&gt;",$N$6:$N22,"&gt;0"),"")</f>
        <v/>
      </c>
      <c r="AA22" s="16" t="str">
        <f aca="false">IF(AND($H22&lt;&gt;"",N($N22)=0),COUNTIFS($H$6:$H22,"&lt;&gt;",$N$6:$N22,"&lt;=0"),"")</f>
        <v/>
      </c>
      <c r="AB22" s="16" t="str">
        <f aca="false">IF($C22="","",IF(COUNTIF($C$6:$C22,$C22)&gt;1,"",MAX($AB$5:AB21)+1))</f>
        <v/>
      </c>
      <c r="AC22" s="16" t="str">
        <f aca="false">IF($H22="","",IF(COUNTIF($H$6:$H22,$H22)&gt;1,"",MAX($AC$5:AC21)+1))</f>
        <v/>
      </c>
    </row>
    <row r="23" customFormat="false" ht="15" hidden="false" customHeight="false" outlineLevel="0" collapsed="false">
      <c r="A23" s="16" t="str">
        <f aca="false">IF($C23="","",COUNTA($C$6:$C23))</f>
        <v/>
      </c>
      <c r="B23" s="17"/>
      <c r="C23" s="8"/>
      <c r="D23" s="8"/>
      <c r="E23" s="8"/>
      <c r="F23" s="8"/>
      <c r="G23" s="8"/>
      <c r="H23" s="8"/>
      <c r="I23" s="9"/>
      <c r="J23" s="10" t="str">
        <f aca="false">IF($H23="","",IFERROR(VLOOKUP($H23,'BẢNG GIÁ GỐC'!$A$5:$D$204,3,FALSE()),""))</f>
        <v/>
      </c>
      <c r="K23" s="9"/>
      <c r="L23" s="10" t="str">
        <f aca="false">IF($C23="","",N($I23)*N($K23))</f>
        <v/>
      </c>
      <c r="M23" s="8"/>
      <c r="N23" s="11" t="str">
        <f aca="false">IF($C23="","",IF($M23="VAT 5%",0.05,IF($M23="VAT 8%",0.08,IF($M23="VAT 10%",0.1,0))))</f>
        <v/>
      </c>
      <c r="O23" s="10" t="str">
        <f aca="false">IF($C23="","",$L23*$N23)</f>
        <v/>
      </c>
      <c r="P23" s="10" t="str">
        <f aca="false">IF($C23="","",$L23+$O23)</f>
        <v/>
      </c>
      <c r="Q23" s="9"/>
      <c r="R23" s="10" t="str">
        <f aca="false">IF($C23="","",MAX(0,$P23-N($Q23)))</f>
        <v/>
      </c>
      <c r="S23" s="19" t="str">
        <f aca="false">IF(OR($C23="",$P23=0),"",IF(N($Q23)&lt;=0,"Chưa thanh toán",IF(N($Q23)&lt;$P23,"Thanh toán một phần","Đã thanh toán")))</f>
        <v/>
      </c>
      <c r="T23" s="10" t="str">
        <f aca="false">IF(OR($C23="",$J23=""),"",N($I23)*$J23)</f>
        <v/>
      </c>
      <c r="U23" s="10" t="str">
        <f aca="false">IF(OR($C23="",$T23=""),"",$L23-$T23)</f>
        <v/>
      </c>
      <c r="V23" s="11" t="str">
        <f aca="false">IF(OR($U23="",$L23=0),"",$U23/$L23)</f>
        <v/>
      </c>
      <c r="W23" s="8"/>
      <c r="X23" s="19" t="str">
        <f aca="false">IF($C23="","",IF(AND($H23="",N($I23)=0,N($K23)=0),"Dòng chỉ lưu thông tin khách (chưa có đơn); ",IF($B23="","Thiếu ngày đặt; ","")&amp;IF($H23="","Thiếu tên sản phẩm; ",IF($J23="","Sản phẩm chưa có trong BẢNG GIÁ GỐC; ",""))&amp;IF(N($I23)&lt;=0,"Thiếu số lượng; ","")&amp;IF(N($K23)&lt;=0,"Thiếu giá bán; ","")&amp;IF(AND($N23&gt;0,$F23=""),"Khách lấy VAT thiếu mã số thuế; ","")&amp;IF(N($Q23)&gt;$P23,"Đã thu vượt tổng phải thu; ","")&amp;IF(AND($L23&gt;0,$U23&lt;0),"CẢNH BÁO: ĐƠN NÀY ĐANG LỖ; ","")))</f>
        <v/>
      </c>
      <c r="Y23" s="16" t="str">
        <f aca="false">IF(AND($C23&lt;&gt;"",$R23&gt;0),COUNTIFS($C$6:$C23,"&lt;&gt;",$R$6:$R23,"&gt;0"),"")</f>
        <v/>
      </c>
      <c r="Z23" s="16" t="str">
        <f aca="false">IF(AND($H23&lt;&gt;"",N($N23)&gt;0),COUNTIFS($H$6:$H23,"&lt;&gt;",$N$6:$N23,"&gt;0"),"")</f>
        <v/>
      </c>
      <c r="AA23" s="16" t="str">
        <f aca="false">IF(AND($H23&lt;&gt;"",N($N23)=0),COUNTIFS($H$6:$H23,"&lt;&gt;",$N$6:$N23,"&lt;=0"),"")</f>
        <v/>
      </c>
      <c r="AB23" s="16" t="str">
        <f aca="false">IF($C23="","",IF(COUNTIF($C$6:$C23,$C23)&gt;1,"",MAX($AB$5:AB22)+1))</f>
        <v/>
      </c>
      <c r="AC23" s="16" t="str">
        <f aca="false">IF($H23="","",IF(COUNTIF($H$6:$H23,$H23)&gt;1,"",MAX($AC$5:AC22)+1))</f>
        <v/>
      </c>
    </row>
    <row r="24" customFormat="false" ht="15" hidden="false" customHeight="false" outlineLevel="0" collapsed="false">
      <c r="A24" s="16" t="str">
        <f aca="false">IF($C24="","",COUNTA($C$6:$C24))</f>
        <v/>
      </c>
      <c r="B24" s="17"/>
      <c r="C24" s="8"/>
      <c r="D24" s="8"/>
      <c r="E24" s="8"/>
      <c r="F24" s="8"/>
      <c r="G24" s="8"/>
      <c r="H24" s="8"/>
      <c r="I24" s="9"/>
      <c r="J24" s="10" t="str">
        <f aca="false">IF($H24="","",IFERROR(VLOOKUP($H24,'BẢNG GIÁ GỐC'!$A$5:$D$204,3,FALSE()),""))</f>
        <v/>
      </c>
      <c r="K24" s="9"/>
      <c r="L24" s="10" t="str">
        <f aca="false">IF($C24="","",N($I24)*N($K24))</f>
        <v/>
      </c>
      <c r="M24" s="8"/>
      <c r="N24" s="11" t="str">
        <f aca="false">IF($C24="","",IF($M24="VAT 5%",0.05,IF($M24="VAT 8%",0.08,IF($M24="VAT 10%",0.1,0))))</f>
        <v/>
      </c>
      <c r="O24" s="10" t="str">
        <f aca="false">IF($C24="","",$L24*$N24)</f>
        <v/>
      </c>
      <c r="P24" s="10" t="str">
        <f aca="false">IF($C24="","",$L24+$O24)</f>
        <v/>
      </c>
      <c r="Q24" s="9"/>
      <c r="R24" s="10" t="str">
        <f aca="false">IF($C24="","",MAX(0,$P24-N($Q24)))</f>
        <v/>
      </c>
      <c r="S24" s="19" t="str">
        <f aca="false">IF(OR($C24="",$P24=0),"",IF(N($Q24)&lt;=0,"Chưa thanh toán",IF(N($Q24)&lt;$P24,"Thanh toán một phần","Đã thanh toán")))</f>
        <v/>
      </c>
      <c r="T24" s="10" t="str">
        <f aca="false">IF(OR($C24="",$J24=""),"",N($I24)*$J24)</f>
        <v/>
      </c>
      <c r="U24" s="10" t="str">
        <f aca="false">IF(OR($C24="",$T24=""),"",$L24-$T24)</f>
        <v/>
      </c>
      <c r="V24" s="11" t="str">
        <f aca="false">IF(OR($U24="",$L24=0),"",$U24/$L24)</f>
        <v/>
      </c>
      <c r="W24" s="8"/>
      <c r="X24" s="19" t="str">
        <f aca="false">IF($C24="","",IF(AND($H24="",N($I24)=0,N($K24)=0),"Dòng chỉ lưu thông tin khách (chưa có đơn); ",IF($B24="","Thiếu ngày đặt; ","")&amp;IF($H24="","Thiếu tên sản phẩm; ",IF($J24="","Sản phẩm chưa có trong BẢNG GIÁ GỐC; ",""))&amp;IF(N($I24)&lt;=0,"Thiếu số lượng; ","")&amp;IF(N($K24)&lt;=0,"Thiếu giá bán; ","")&amp;IF(AND($N24&gt;0,$F24=""),"Khách lấy VAT thiếu mã số thuế; ","")&amp;IF(N($Q24)&gt;$P24,"Đã thu vượt tổng phải thu; ","")&amp;IF(AND($L24&gt;0,$U24&lt;0),"CẢNH BÁO: ĐƠN NÀY ĐANG LỖ; ","")))</f>
        <v/>
      </c>
      <c r="Y24" s="16" t="str">
        <f aca="false">IF(AND($C24&lt;&gt;"",$R24&gt;0),COUNTIFS($C$6:$C24,"&lt;&gt;",$R$6:$R24,"&gt;0"),"")</f>
        <v/>
      </c>
      <c r="Z24" s="16" t="str">
        <f aca="false">IF(AND($H24&lt;&gt;"",N($N24)&gt;0),COUNTIFS($H$6:$H24,"&lt;&gt;",$N$6:$N24,"&gt;0"),"")</f>
        <v/>
      </c>
      <c r="AA24" s="16" t="str">
        <f aca="false">IF(AND($H24&lt;&gt;"",N($N24)=0),COUNTIFS($H$6:$H24,"&lt;&gt;",$N$6:$N24,"&lt;=0"),"")</f>
        <v/>
      </c>
      <c r="AB24" s="16" t="str">
        <f aca="false">IF($C24="","",IF(COUNTIF($C$6:$C24,$C24)&gt;1,"",MAX($AB$5:AB23)+1))</f>
        <v/>
      </c>
      <c r="AC24" s="16" t="str">
        <f aca="false">IF($H24="","",IF(COUNTIF($H$6:$H24,$H24)&gt;1,"",MAX($AC$5:AC23)+1))</f>
        <v/>
      </c>
    </row>
    <row r="25" customFormat="false" ht="15" hidden="false" customHeight="false" outlineLevel="0" collapsed="false">
      <c r="A25" s="16" t="str">
        <f aca="false">IF($C25="","",COUNTA($C$6:$C25))</f>
        <v/>
      </c>
      <c r="B25" s="17"/>
      <c r="C25" s="8"/>
      <c r="D25" s="8"/>
      <c r="E25" s="8"/>
      <c r="F25" s="8"/>
      <c r="G25" s="8"/>
      <c r="H25" s="8"/>
      <c r="I25" s="9"/>
      <c r="J25" s="10" t="str">
        <f aca="false">IF($H25="","",IFERROR(VLOOKUP($H25,'BẢNG GIÁ GỐC'!$A$5:$D$204,3,FALSE()),""))</f>
        <v/>
      </c>
      <c r="K25" s="9"/>
      <c r="L25" s="10" t="str">
        <f aca="false">IF($C25="","",N($I25)*N($K25))</f>
        <v/>
      </c>
      <c r="M25" s="8"/>
      <c r="N25" s="11" t="str">
        <f aca="false">IF($C25="","",IF($M25="VAT 5%",0.05,IF($M25="VAT 8%",0.08,IF($M25="VAT 10%",0.1,0))))</f>
        <v/>
      </c>
      <c r="O25" s="10" t="str">
        <f aca="false">IF($C25="","",$L25*$N25)</f>
        <v/>
      </c>
      <c r="P25" s="10" t="str">
        <f aca="false">IF($C25="","",$L25+$O25)</f>
        <v/>
      </c>
      <c r="Q25" s="9"/>
      <c r="R25" s="10" t="str">
        <f aca="false">IF($C25="","",MAX(0,$P25-N($Q25)))</f>
        <v/>
      </c>
      <c r="S25" s="19" t="str">
        <f aca="false">IF(OR($C25="",$P25=0),"",IF(N($Q25)&lt;=0,"Chưa thanh toán",IF(N($Q25)&lt;$P25,"Thanh toán một phần","Đã thanh toán")))</f>
        <v/>
      </c>
      <c r="T25" s="10" t="str">
        <f aca="false">IF(OR($C25="",$J25=""),"",N($I25)*$J25)</f>
        <v/>
      </c>
      <c r="U25" s="10" t="str">
        <f aca="false">IF(OR($C25="",$T25=""),"",$L25-$T25)</f>
        <v/>
      </c>
      <c r="V25" s="11" t="str">
        <f aca="false">IF(OR($U25="",$L25=0),"",$U25/$L25)</f>
        <v/>
      </c>
      <c r="W25" s="8"/>
      <c r="X25" s="19" t="str">
        <f aca="false">IF($C25="","",IF(AND($H25="",N($I25)=0,N($K25)=0),"Dòng chỉ lưu thông tin khách (chưa có đơn); ",IF($B25="","Thiếu ngày đặt; ","")&amp;IF($H25="","Thiếu tên sản phẩm; ",IF($J25="","Sản phẩm chưa có trong BẢNG GIÁ GỐC; ",""))&amp;IF(N($I25)&lt;=0,"Thiếu số lượng; ","")&amp;IF(N($K25)&lt;=0,"Thiếu giá bán; ","")&amp;IF(AND($N25&gt;0,$F25=""),"Khách lấy VAT thiếu mã số thuế; ","")&amp;IF(N($Q25)&gt;$P25,"Đã thu vượt tổng phải thu; ","")&amp;IF(AND($L25&gt;0,$U25&lt;0),"CẢNH BÁO: ĐƠN NÀY ĐANG LỖ; ","")))</f>
        <v/>
      </c>
      <c r="Y25" s="16" t="str">
        <f aca="false">IF(AND($C25&lt;&gt;"",$R25&gt;0),COUNTIFS($C$6:$C25,"&lt;&gt;",$R$6:$R25,"&gt;0"),"")</f>
        <v/>
      </c>
      <c r="Z25" s="16" t="str">
        <f aca="false">IF(AND($H25&lt;&gt;"",N($N25)&gt;0),COUNTIFS($H$6:$H25,"&lt;&gt;",$N$6:$N25,"&gt;0"),"")</f>
        <v/>
      </c>
      <c r="AA25" s="16" t="str">
        <f aca="false">IF(AND($H25&lt;&gt;"",N($N25)=0),COUNTIFS($H$6:$H25,"&lt;&gt;",$N$6:$N25,"&lt;=0"),"")</f>
        <v/>
      </c>
      <c r="AB25" s="16" t="str">
        <f aca="false">IF($C25="","",IF(COUNTIF($C$6:$C25,$C25)&gt;1,"",MAX($AB$5:AB24)+1))</f>
        <v/>
      </c>
      <c r="AC25" s="16" t="str">
        <f aca="false">IF($H25="","",IF(COUNTIF($H$6:$H25,$H25)&gt;1,"",MAX($AC$5:AC24)+1))</f>
        <v/>
      </c>
    </row>
    <row r="26" customFormat="false" ht="15" hidden="false" customHeight="false" outlineLevel="0" collapsed="false">
      <c r="A26" s="16" t="str">
        <f aca="false">IF($C26="","",COUNTA($C$6:$C26))</f>
        <v/>
      </c>
      <c r="B26" s="17"/>
      <c r="C26" s="8"/>
      <c r="D26" s="8"/>
      <c r="E26" s="8"/>
      <c r="F26" s="8"/>
      <c r="G26" s="8"/>
      <c r="H26" s="8"/>
      <c r="I26" s="9"/>
      <c r="J26" s="10" t="str">
        <f aca="false">IF($H26="","",IFERROR(VLOOKUP($H26,'BẢNG GIÁ GỐC'!$A$5:$D$204,3,FALSE()),""))</f>
        <v/>
      </c>
      <c r="K26" s="9"/>
      <c r="L26" s="10" t="str">
        <f aca="false">IF($C26="","",N($I26)*N($K26))</f>
        <v/>
      </c>
      <c r="M26" s="8"/>
      <c r="N26" s="11" t="str">
        <f aca="false">IF($C26="","",IF($M26="VAT 5%",0.05,IF($M26="VAT 8%",0.08,IF($M26="VAT 10%",0.1,0))))</f>
        <v/>
      </c>
      <c r="O26" s="10" t="str">
        <f aca="false">IF($C26="","",$L26*$N26)</f>
        <v/>
      </c>
      <c r="P26" s="10" t="str">
        <f aca="false">IF($C26="","",$L26+$O26)</f>
        <v/>
      </c>
      <c r="Q26" s="9"/>
      <c r="R26" s="10" t="str">
        <f aca="false">IF($C26="","",MAX(0,$P26-N($Q26)))</f>
        <v/>
      </c>
      <c r="S26" s="19" t="str">
        <f aca="false">IF(OR($C26="",$P26=0),"",IF(N($Q26)&lt;=0,"Chưa thanh toán",IF(N($Q26)&lt;$P26,"Thanh toán một phần","Đã thanh toán")))</f>
        <v/>
      </c>
      <c r="T26" s="10" t="str">
        <f aca="false">IF(OR($C26="",$J26=""),"",N($I26)*$J26)</f>
        <v/>
      </c>
      <c r="U26" s="10" t="str">
        <f aca="false">IF(OR($C26="",$T26=""),"",$L26-$T26)</f>
        <v/>
      </c>
      <c r="V26" s="11" t="str">
        <f aca="false">IF(OR($U26="",$L26=0),"",$U26/$L26)</f>
        <v/>
      </c>
      <c r="W26" s="8"/>
      <c r="X26" s="19" t="str">
        <f aca="false">IF($C26="","",IF(AND($H26="",N($I26)=0,N($K26)=0),"Dòng chỉ lưu thông tin khách (chưa có đơn); ",IF($B26="","Thiếu ngày đặt; ","")&amp;IF($H26="","Thiếu tên sản phẩm; ",IF($J26="","Sản phẩm chưa có trong BẢNG GIÁ GỐC; ",""))&amp;IF(N($I26)&lt;=0,"Thiếu số lượng; ","")&amp;IF(N($K26)&lt;=0,"Thiếu giá bán; ","")&amp;IF(AND($N26&gt;0,$F26=""),"Khách lấy VAT thiếu mã số thuế; ","")&amp;IF(N($Q26)&gt;$P26,"Đã thu vượt tổng phải thu; ","")&amp;IF(AND($L26&gt;0,$U26&lt;0),"CẢNH BÁO: ĐƠN NÀY ĐANG LỖ; ","")))</f>
        <v/>
      </c>
      <c r="Y26" s="16" t="str">
        <f aca="false">IF(AND($C26&lt;&gt;"",$R26&gt;0),COUNTIFS($C$6:$C26,"&lt;&gt;",$R$6:$R26,"&gt;0"),"")</f>
        <v/>
      </c>
      <c r="Z26" s="16" t="str">
        <f aca="false">IF(AND($H26&lt;&gt;"",N($N26)&gt;0),COUNTIFS($H$6:$H26,"&lt;&gt;",$N$6:$N26,"&gt;0"),"")</f>
        <v/>
      </c>
      <c r="AA26" s="16" t="str">
        <f aca="false">IF(AND($H26&lt;&gt;"",N($N26)=0),COUNTIFS($H$6:$H26,"&lt;&gt;",$N$6:$N26,"&lt;=0"),"")</f>
        <v/>
      </c>
      <c r="AB26" s="16" t="str">
        <f aca="false">IF($C26="","",IF(COUNTIF($C$6:$C26,$C26)&gt;1,"",MAX($AB$5:AB25)+1))</f>
        <v/>
      </c>
      <c r="AC26" s="16" t="str">
        <f aca="false">IF($H26="","",IF(COUNTIF($H$6:$H26,$H26)&gt;1,"",MAX($AC$5:AC25)+1))</f>
        <v/>
      </c>
    </row>
    <row r="27" customFormat="false" ht="15" hidden="false" customHeight="false" outlineLevel="0" collapsed="false">
      <c r="A27" s="16" t="str">
        <f aca="false">IF($C27="","",COUNTA($C$6:$C27))</f>
        <v/>
      </c>
      <c r="B27" s="17"/>
      <c r="C27" s="8"/>
      <c r="D27" s="8"/>
      <c r="E27" s="8"/>
      <c r="F27" s="8"/>
      <c r="G27" s="8"/>
      <c r="H27" s="8"/>
      <c r="I27" s="9"/>
      <c r="J27" s="10" t="str">
        <f aca="false">IF($H27="","",IFERROR(VLOOKUP($H27,'BẢNG GIÁ GỐC'!$A$5:$D$204,3,FALSE()),""))</f>
        <v/>
      </c>
      <c r="K27" s="9"/>
      <c r="L27" s="10" t="str">
        <f aca="false">IF($C27="","",N($I27)*N($K27))</f>
        <v/>
      </c>
      <c r="M27" s="8"/>
      <c r="N27" s="11" t="str">
        <f aca="false">IF($C27="","",IF($M27="VAT 5%",0.05,IF($M27="VAT 8%",0.08,IF($M27="VAT 10%",0.1,0))))</f>
        <v/>
      </c>
      <c r="O27" s="10" t="str">
        <f aca="false">IF($C27="","",$L27*$N27)</f>
        <v/>
      </c>
      <c r="P27" s="10" t="str">
        <f aca="false">IF($C27="","",$L27+$O27)</f>
        <v/>
      </c>
      <c r="Q27" s="9"/>
      <c r="R27" s="10" t="str">
        <f aca="false">IF($C27="","",MAX(0,$P27-N($Q27)))</f>
        <v/>
      </c>
      <c r="S27" s="19" t="str">
        <f aca="false">IF(OR($C27="",$P27=0),"",IF(N($Q27)&lt;=0,"Chưa thanh toán",IF(N($Q27)&lt;$P27,"Thanh toán một phần","Đã thanh toán")))</f>
        <v/>
      </c>
      <c r="T27" s="10" t="str">
        <f aca="false">IF(OR($C27="",$J27=""),"",N($I27)*$J27)</f>
        <v/>
      </c>
      <c r="U27" s="10" t="str">
        <f aca="false">IF(OR($C27="",$T27=""),"",$L27-$T27)</f>
        <v/>
      </c>
      <c r="V27" s="11" t="str">
        <f aca="false">IF(OR($U27="",$L27=0),"",$U27/$L27)</f>
        <v/>
      </c>
      <c r="W27" s="8"/>
      <c r="X27" s="19" t="str">
        <f aca="false">IF($C27="","",IF(AND($H27="",N($I27)=0,N($K27)=0),"Dòng chỉ lưu thông tin khách (chưa có đơn); ",IF($B27="","Thiếu ngày đặt; ","")&amp;IF($H27="","Thiếu tên sản phẩm; ",IF($J27="","Sản phẩm chưa có trong BẢNG GIÁ GỐC; ",""))&amp;IF(N($I27)&lt;=0,"Thiếu số lượng; ","")&amp;IF(N($K27)&lt;=0,"Thiếu giá bán; ","")&amp;IF(AND($N27&gt;0,$F27=""),"Khách lấy VAT thiếu mã số thuế; ","")&amp;IF(N($Q27)&gt;$P27,"Đã thu vượt tổng phải thu; ","")&amp;IF(AND($L27&gt;0,$U27&lt;0),"CẢNH BÁO: ĐƠN NÀY ĐANG LỖ; ","")))</f>
        <v/>
      </c>
      <c r="Y27" s="16" t="str">
        <f aca="false">IF(AND($C27&lt;&gt;"",$R27&gt;0),COUNTIFS($C$6:$C27,"&lt;&gt;",$R$6:$R27,"&gt;0"),"")</f>
        <v/>
      </c>
      <c r="Z27" s="16" t="str">
        <f aca="false">IF(AND($H27&lt;&gt;"",N($N27)&gt;0),COUNTIFS($H$6:$H27,"&lt;&gt;",$N$6:$N27,"&gt;0"),"")</f>
        <v/>
      </c>
      <c r="AA27" s="16" t="str">
        <f aca="false">IF(AND($H27&lt;&gt;"",N($N27)=0),COUNTIFS($H$6:$H27,"&lt;&gt;",$N$6:$N27,"&lt;=0"),"")</f>
        <v/>
      </c>
      <c r="AB27" s="16" t="str">
        <f aca="false">IF($C27="","",IF(COUNTIF($C$6:$C27,$C27)&gt;1,"",MAX($AB$5:AB26)+1))</f>
        <v/>
      </c>
      <c r="AC27" s="16" t="str">
        <f aca="false">IF($H27="","",IF(COUNTIF($H$6:$H27,$H27)&gt;1,"",MAX($AC$5:AC26)+1))</f>
        <v/>
      </c>
    </row>
    <row r="28" customFormat="false" ht="15" hidden="false" customHeight="false" outlineLevel="0" collapsed="false">
      <c r="A28" s="16" t="str">
        <f aca="false">IF($C28="","",COUNTA($C$6:$C28))</f>
        <v/>
      </c>
      <c r="B28" s="17"/>
      <c r="C28" s="8"/>
      <c r="D28" s="8"/>
      <c r="E28" s="8"/>
      <c r="F28" s="8"/>
      <c r="G28" s="8"/>
      <c r="H28" s="8"/>
      <c r="I28" s="9"/>
      <c r="J28" s="10" t="str">
        <f aca="false">IF($H28="","",IFERROR(VLOOKUP($H28,'BẢNG GIÁ GỐC'!$A$5:$D$204,3,FALSE()),""))</f>
        <v/>
      </c>
      <c r="K28" s="9"/>
      <c r="L28" s="10" t="str">
        <f aca="false">IF($C28="","",N($I28)*N($K28))</f>
        <v/>
      </c>
      <c r="M28" s="8"/>
      <c r="N28" s="11" t="str">
        <f aca="false">IF($C28="","",IF($M28="VAT 5%",0.05,IF($M28="VAT 8%",0.08,IF($M28="VAT 10%",0.1,0))))</f>
        <v/>
      </c>
      <c r="O28" s="10" t="str">
        <f aca="false">IF($C28="","",$L28*$N28)</f>
        <v/>
      </c>
      <c r="P28" s="10" t="str">
        <f aca="false">IF($C28="","",$L28+$O28)</f>
        <v/>
      </c>
      <c r="Q28" s="9"/>
      <c r="R28" s="10" t="str">
        <f aca="false">IF($C28="","",MAX(0,$P28-N($Q28)))</f>
        <v/>
      </c>
      <c r="S28" s="19" t="str">
        <f aca="false">IF(OR($C28="",$P28=0),"",IF(N($Q28)&lt;=0,"Chưa thanh toán",IF(N($Q28)&lt;$P28,"Thanh toán một phần","Đã thanh toán")))</f>
        <v/>
      </c>
      <c r="T28" s="10" t="str">
        <f aca="false">IF(OR($C28="",$J28=""),"",N($I28)*$J28)</f>
        <v/>
      </c>
      <c r="U28" s="10" t="str">
        <f aca="false">IF(OR($C28="",$T28=""),"",$L28-$T28)</f>
        <v/>
      </c>
      <c r="V28" s="11" t="str">
        <f aca="false">IF(OR($U28="",$L28=0),"",$U28/$L28)</f>
        <v/>
      </c>
      <c r="W28" s="8"/>
      <c r="X28" s="19" t="str">
        <f aca="false">IF($C28="","",IF(AND($H28="",N($I28)=0,N($K28)=0),"Dòng chỉ lưu thông tin khách (chưa có đơn); ",IF($B28="","Thiếu ngày đặt; ","")&amp;IF($H28="","Thiếu tên sản phẩm; ",IF($J28="","Sản phẩm chưa có trong BẢNG GIÁ GỐC; ",""))&amp;IF(N($I28)&lt;=0,"Thiếu số lượng; ","")&amp;IF(N($K28)&lt;=0,"Thiếu giá bán; ","")&amp;IF(AND($N28&gt;0,$F28=""),"Khách lấy VAT thiếu mã số thuế; ","")&amp;IF(N($Q28)&gt;$P28,"Đã thu vượt tổng phải thu; ","")&amp;IF(AND($L28&gt;0,$U28&lt;0),"CẢNH BÁO: ĐƠN NÀY ĐANG LỖ; ","")))</f>
        <v/>
      </c>
      <c r="Y28" s="16" t="str">
        <f aca="false">IF(AND($C28&lt;&gt;"",$R28&gt;0),COUNTIFS($C$6:$C28,"&lt;&gt;",$R$6:$R28,"&gt;0"),"")</f>
        <v/>
      </c>
      <c r="Z28" s="16" t="str">
        <f aca="false">IF(AND($H28&lt;&gt;"",N($N28)&gt;0),COUNTIFS($H$6:$H28,"&lt;&gt;",$N$6:$N28,"&gt;0"),"")</f>
        <v/>
      </c>
      <c r="AA28" s="16" t="str">
        <f aca="false">IF(AND($H28&lt;&gt;"",N($N28)=0),COUNTIFS($H$6:$H28,"&lt;&gt;",$N$6:$N28,"&lt;=0"),"")</f>
        <v/>
      </c>
      <c r="AB28" s="16" t="str">
        <f aca="false">IF($C28="","",IF(COUNTIF($C$6:$C28,$C28)&gt;1,"",MAX($AB$5:AB27)+1))</f>
        <v/>
      </c>
      <c r="AC28" s="16" t="str">
        <f aca="false">IF($H28="","",IF(COUNTIF($H$6:$H28,$H28)&gt;1,"",MAX($AC$5:AC27)+1))</f>
        <v/>
      </c>
    </row>
    <row r="29" customFormat="false" ht="15" hidden="false" customHeight="false" outlineLevel="0" collapsed="false">
      <c r="A29" s="16" t="str">
        <f aca="false">IF($C29="","",COUNTA($C$6:$C29))</f>
        <v/>
      </c>
      <c r="B29" s="17"/>
      <c r="C29" s="8"/>
      <c r="D29" s="8"/>
      <c r="E29" s="8"/>
      <c r="F29" s="8"/>
      <c r="G29" s="8"/>
      <c r="H29" s="8"/>
      <c r="I29" s="9"/>
      <c r="J29" s="10" t="str">
        <f aca="false">IF($H29="","",IFERROR(VLOOKUP($H29,'BẢNG GIÁ GỐC'!$A$5:$D$204,3,FALSE()),""))</f>
        <v/>
      </c>
      <c r="K29" s="9"/>
      <c r="L29" s="10" t="str">
        <f aca="false">IF($C29="","",N($I29)*N($K29))</f>
        <v/>
      </c>
      <c r="M29" s="8"/>
      <c r="N29" s="11" t="str">
        <f aca="false">IF($C29="","",IF($M29="VAT 5%",0.05,IF($M29="VAT 8%",0.08,IF($M29="VAT 10%",0.1,0))))</f>
        <v/>
      </c>
      <c r="O29" s="10" t="str">
        <f aca="false">IF($C29="","",$L29*$N29)</f>
        <v/>
      </c>
      <c r="P29" s="10" t="str">
        <f aca="false">IF($C29="","",$L29+$O29)</f>
        <v/>
      </c>
      <c r="Q29" s="9"/>
      <c r="R29" s="10" t="str">
        <f aca="false">IF($C29="","",MAX(0,$P29-N($Q29)))</f>
        <v/>
      </c>
      <c r="S29" s="19" t="str">
        <f aca="false">IF(OR($C29="",$P29=0),"",IF(N($Q29)&lt;=0,"Chưa thanh toán",IF(N($Q29)&lt;$P29,"Thanh toán một phần","Đã thanh toán")))</f>
        <v/>
      </c>
      <c r="T29" s="10" t="str">
        <f aca="false">IF(OR($C29="",$J29=""),"",N($I29)*$J29)</f>
        <v/>
      </c>
      <c r="U29" s="10" t="str">
        <f aca="false">IF(OR($C29="",$T29=""),"",$L29-$T29)</f>
        <v/>
      </c>
      <c r="V29" s="11" t="str">
        <f aca="false">IF(OR($U29="",$L29=0),"",$U29/$L29)</f>
        <v/>
      </c>
      <c r="W29" s="8"/>
      <c r="X29" s="19" t="str">
        <f aca="false">IF($C29="","",IF(AND($H29="",N($I29)=0,N($K29)=0),"Dòng chỉ lưu thông tin khách (chưa có đơn); ",IF($B29="","Thiếu ngày đặt; ","")&amp;IF($H29="","Thiếu tên sản phẩm; ",IF($J29="","Sản phẩm chưa có trong BẢNG GIÁ GỐC; ",""))&amp;IF(N($I29)&lt;=0,"Thiếu số lượng; ","")&amp;IF(N($K29)&lt;=0,"Thiếu giá bán; ","")&amp;IF(AND($N29&gt;0,$F29=""),"Khách lấy VAT thiếu mã số thuế; ","")&amp;IF(N($Q29)&gt;$P29,"Đã thu vượt tổng phải thu; ","")&amp;IF(AND($L29&gt;0,$U29&lt;0),"CẢNH BÁO: ĐƠN NÀY ĐANG LỖ; ","")))</f>
        <v/>
      </c>
      <c r="Y29" s="16" t="str">
        <f aca="false">IF(AND($C29&lt;&gt;"",$R29&gt;0),COUNTIFS($C$6:$C29,"&lt;&gt;",$R$6:$R29,"&gt;0"),"")</f>
        <v/>
      </c>
      <c r="Z29" s="16" t="str">
        <f aca="false">IF(AND($H29&lt;&gt;"",N($N29)&gt;0),COUNTIFS($H$6:$H29,"&lt;&gt;",$N$6:$N29,"&gt;0"),"")</f>
        <v/>
      </c>
      <c r="AA29" s="16" t="str">
        <f aca="false">IF(AND($H29&lt;&gt;"",N($N29)=0),COUNTIFS($H$6:$H29,"&lt;&gt;",$N$6:$N29,"&lt;=0"),"")</f>
        <v/>
      </c>
      <c r="AB29" s="16" t="str">
        <f aca="false">IF($C29="","",IF(COUNTIF($C$6:$C29,$C29)&gt;1,"",MAX($AB$5:AB28)+1))</f>
        <v/>
      </c>
      <c r="AC29" s="16" t="str">
        <f aca="false">IF($H29="","",IF(COUNTIF($H$6:$H29,$H29)&gt;1,"",MAX($AC$5:AC28)+1))</f>
        <v/>
      </c>
    </row>
    <row r="30" customFormat="false" ht="15" hidden="false" customHeight="false" outlineLevel="0" collapsed="false">
      <c r="A30" s="16" t="str">
        <f aca="false">IF($C30="","",COUNTA($C$6:$C30))</f>
        <v/>
      </c>
      <c r="B30" s="17"/>
      <c r="C30" s="8"/>
      <c r="D30" s="8"/>
      <c r="E30" s="8"/>
      <c r="F30" s="8"/>
      <c r="G30" s="8"/>
      <c r="H30" s="8"/>
      <c r="I30" s="9"/>
      <c r="J30" s="10" t="str">
        <f aca="false">IF($H30="","",IFERROR(VLOOKUP($H30,'BẢNG GIÁ GỐC'!$A$5:$D$204,3,FALSE()),""))</f>
        <v/>
      </c>
      <c r="K30" s="9"/>
      <c r="L30" s="10" t="str">
        <f aca="false">IF($C30="","",N($I30)*N($K30))</f>
        <v/>
      </c>
      <c r="M30" s="8"/>
      <c r="N30" s="11" t="str">
        <f aca="false">IF($C30="","",IF($M30="VAT 5%",0.05,IF($M30="VAT 8%",0.08,IF($M30="VAT 10%",0.1,0))))</f>
        <v/>
      </c>
      <c r="O30" s="10" t="str">
        <f aca="false">IF($C30="","",$L30*$N30)</f>
        <v/>
      </c>
      <c r="P30" s="10" t="str">
        <f aca="false">IF($C30="","",$L30+$O30)</f>
        <v/>
      </c>
      <c r="Q30" s="9"/>
      <c r="R30" s="10" t="str">
        <f aca="false">IF($C30="","",MAX(0,$P30-N($Q30)))</f>
        <v/>
      </c>
      <c r="S30" s="19" t="str">
        <f aca="false">IF(OR($C30="",$P30=0),"",IF(N($Q30)&lt;=0,"Chưa thanh toán",IF(N($Q30)&lt;$P30,"Thanh toán một phần","Đã thanh toán")))</f>
        <v/>
      </c>
      <c r="T30" s="10" t="str">
        <f aca="false">IF(OR($C30="",$J30=""),"",N($I30)*$J30)</f>
        <v/>
      </c>
      <c r="U30" s="10" t="str">
        <f aca="false">IF(OR($C30="",$T30=""),"",$L30-$T30)</f>
        <v/>
      </c>
      <c r="V30" s="11" t="str">
        <f aca="false">IF(OR($U30="",$L30=0),"",$U30/$L30)</f>
        <v/>
      </c>
      <c r="W30" s="8"/>
      <c r="X30" s="19" t="str">
        <f aca="false">IF($C30="","",IF(AND($H30="",N($I30)=0,N($K30)=0),"Dòng chỉ lưu thông tin khách (chưa có đơn); ",IF($B30="","Thiếu ngày đặt; ","")&amp;IF($H30="","Thiếu tên sản phẩm; ",IF($J30="","Sản phẩm chưa có trong BẢNG GIÁ GỐC; ",""))&amp;IF(N($I30)&lt;=0,"Thiếu số lượng; ","")&amp;IF(N($K30)&lt;=0,"Thiếu giá bán; ","")&amp;IF(AND($N30&gt;0,$F30=""),"Khách lấy VAT thiếu mã số thuế; ","")&amp;IF(N($Q30)&gt;$P30,"Đã thu vượt tổng phải thu; ","")&amp;IF(AND($L30&gt;0,$U30&lt;0),"CẢNH BÁO: ĐƠN NÀY ĐANG LỖ; ","")))</f>
        <v/>
      </c>
      <c r="Y30" s="16" t="str">
        <f aca="false">IF(AND($C30&lt;&gt;"",$R30&gt;0),COUNTIFS($C$6:$C30,"&lt;&gt;",$R$6:$R30,"&gt;0"),"")</f>
        <v/>
      </c>
      <c r="Z30" s="16" t="str">
        <f aca="false">IF(AND($H30&lt;&gt;"",N($N30)&gt;0),COUNTIFS($H$6:$H30,"&lt;&gt;",$N$6:$N30,"&gt;0"),"")</f>
        <v/>
      </c>
      <c r="AA30" s="16" t="str">
        <f aca="false">IF(AND($H30&lt;&gt;"",N($N30)=0),COUNTIFS($H$6:$H30,"&lt;&gt;",$N$6:$N30,"&lt;=0"),"")</f>
        <v/>
      </c>
      <c r="AB30" s="16" t="str">
        <f aca="false">IF($C30="","",IF(COUNTIF($C$6:$C30,$C30)&gt;1,"",MAX($AB$5:AB29)+1))</f>
        <v/>
      </c>
      <c r="AC30" s="16" t="str">
        <f aca="false">IF($H30="","",IF(COUNTIF($H$6:$H30,$H30)&gt;1,"",MAX($AC$5:AC29)+1))</f>
        <v/>
      </c>
    </row>
    <row r="31" customFormat="false" ht="15" hidden="false" customHeight="false" outlineLevel="0" collapsed="false">
      <c r="A31" s="16" t="str">
        <f aca="false">IF($C31="","",COUNTA($C$6:$C31))</f>
        <v/>
      </c>
      <c r="B31" s="17"/>
      <c r="C31" s="8"/>
      <c r="D31" s="8"/>
      <c r="E31" s="8"/>
      <c r="F31" s="8"/>
      <c r="G31" s="8"/>
      <c r="H31" s="8"/>
      <c r="I31" s="9"/>
      <c r="J31" s="10" t="str">
        <f aca="false">IF($H31="","",IFERROR(VLOOKUP($H31,'BẢNG GIÁ GỐC'!$A$5:$D$204,3,FALSE()),""))</f>
        <v/>
      </c>
      <c r="K31" s="9"/>
      <c r="L31" s="10" t="str">
        <f aca="false">IF($C31="","",N($I31)*N($K31))</f>
        <v/>
      </c>
      <c r="M31" s="8"/>
      <c r="N31" s="11" t="str">
        <f aca="false">IF($C31="","",IF($M31="VAT 5%",0.05,IF($M31="VAT 8%",0.08,IF($M31="VAT 10%",0.1,0))))</f>
        <v/>
      </c>
      <c r="O31" s="10" t="str">
        <f aca="false">IF($C31="","",$L31*$N31)</f>
        <v/>
      </c>
      <c r="P31" s="10" t="str">
        <f aca="false">IF($C31="","",$L31+$O31)</f>
        <v/>
      </c>
      <c r="Q31" s="9"/>
      <c r="R31" s="10" t="str">
        <f aca="false">IF($C31="","",MAX(0,$P31-N($Q31)))</f>
        <v/>
      </c>
      <c r="S31" s="19" t="str">
        <f aca="false">IF(OR($C31="",$P31=0),"",IF(N($Q31)&lt;=0,"Chưa thanh toán",IF(N($Q31)&lt;$P31,"Thanh toán một phần","Đã thanh toán")))</f>
        <v/>
      </c>
      <c r="T31" s="10" t="str">
        <f aca="false">IF(OR($C31="",$J31=""),"",N($I31)*$J31)</f>
        <v/>
      </c>
      <c r="U31" s="10" t="str">
        <f aca="false">IF(OR($C31="",$T31=""),"",$L31-$T31)</f>
        <v/>
      </c>
      <c r="V31" s="11" t="str">
        <f aca="false">IF(OR($U31="",$L31=0),"",$U31/$L31)</f>
        <v/>
      </c>
      <c r="W31" s="8"/>
      <c r="X31" s="19" t="str">
        <f aca="false">IF($C31="","",IF(AND($H31="",N($I31)=0,N($K31)=0),"Dòng chỉ lưu thông tin khách (chưa có đơn); ",IF($B31="","Thiếu ngày đặt; ","")&amp;IF($H31="","Thiếu tên sản phẩm; ",IF($J31="","Sản phẩm chưa có trong BẢNG GIÁ GỐC; ",""))&amp;IF(N($I31)&lt;=0,"Thiếu số lượng; ","")&amp;IF(N($K31)&lt;=0,"Thiếu giá bán; ","")&amp;IF(AND($N31&gt;0,$F31=""),"Khách lấy VAT thiếu mã số thuế; ","")&amp;IF(N($Q31)&gt;$P31,"Đã thu vượt tổng phải thu; ","")&amp;IF(AND($L31&gt;0,$U31&lt;0),"CẢNH BÁO: ĐƠN NÀY ĐANG LỖ; ","")))</f>
        <v/>
      </c>
      <c r="Y31" s="16" t="str">
        <f aca="false">IF(AND($C31&lt;&gt;"",$R31&gt;0),COUNTIFS($C$6:$C31,"&lt;&gt;",$R$6:$R31,"&gt;0"),"")</f>
        <v/>
      </c>
      <c r="Z31" s="16" t="str">
        <f aca="false">IF(AND($H31&lt;&gt;"",N($N31)&gt;0),COUNTIFS($H$6:$H31,"&lt;&gt;",$N$6:$N31,"&gt;0"),"")</f>
        <v/>
      </c>
      <c r="AA31" s="16" t="str">
        <f aca="false">IF(AND($H31&lt;&gt;"",N($N31)=0),COUNTIFS($H$6:$H31,"&lt;&gt;",$N$6:$N31,"&lt;=0"),"")</f>
        <v/>
      </c>
      <c r="AB31" s="16" t="str">
        <f aca="false">IF($C31="","",IF(COUNTIF($C$6:$C31,$C31)&gt;1,"",MAX($AB$5:AB30)+1))</f>
        <v/>
      </c>
      <c r="AC31" s="16" t="str">
        <f aca="false">IF($H31="","",IF(COUNTIF($H$6:$H31,$H31)&gt;1,"",MAX($AC$5:AC30)+1))</f>
        <v/>
      </c>
    </row>
    <row r="32" customFormat="false" ht="15" hidden="false" customHeight="false" outlineLevel="0" collapsed="false">
      <c r="A32" s="16" t="str">
        <f aca="false">IF($C32="","",COUNTA($C$6:$C32))</f>
        <v/>
      </c>
      <c r="B32" s="17"/>
      <c r="C32" s="8"/>
      <c r="D32" s="8"/>
      <c r="E32" s="8"/>
      <c r="F32" s="8"/>
      <c r="G32" s="8"/>
      <c r="H32" s="8"/>
      <c r="I32" s="9"/>
      <c r="J32" s="10" t="str">
        <f aca="false">IF($H32="","",IFERROR(VLOOKUP($H32,'BẢNG GIÁ GỐC'!$A$5:$D$204,3,FALSE()),""))</f>
        <v/>
      </c>
      <c r="K32" s="9"/>
      <c r="L32" s="10" t="str">
        <f aca="false">IF($C32="","",N($I32)*N($K32))</f>
        <v/>
      </c>
      <c r="M32" s="8"/>
      <c r="N32" s="11" t="str">
        <f aca="false">IF($C32="","",IF($M32="VAT 5%",0.05,IF($M32="VAT 8%",0.08,IF($M32="VAT 10%",0.1,0))))</f>
        <v/>
      </c>
      <c r="O32" s="10" t="str">
        <f aca="false">IF($C32="","",$L32*$N32)</f>
        <v/>
      </c>
      <c r="P32" s="10" t="str">
        <f aca="false">IF($C32="","",$L32+$O32)</f>
        <v/>
      </c>
      <c r="Q32" s="9"/>
      <c r="R32" s="10" t="str">
        <f aca="false">IF($C32="","",MAX(0,$P32-N($Q32)))</f>
        <v/>
      </c>
      <c r="S32" s="19" t="str">
        <f aca="false">IF(OR($C32="",$P32=0),"",IF(N($Q32)&lt;=0,"Chưa thanh toán",IF(N($Q32)&lt;$P32,"Thanh toán một phần","Đã thanh toán")))</f>
        <v/>
      </c>
      <c r="T32" s="10" t="str">
        <f aca="false">IF(OR($C32="",$J32=""),"",N($I32)*$J32)</f>
        <v/>
      </c>
      <c r="U32" s="10" t="str">
        <f aca="false">IF(OR($C32="",$T32=""),"",$L32-$T32)</f>
        <v/>
      </c>
      <c r="V32" s="11" t="str">
        <f aca="false">IF(OR($U32="",$L32=0),"",$U32/$L32)</f>
        <v/>
      </c>
      <c r="W32" s="8"/>
      <c r="X32" s="19" t="str">
        <f aca="false">IF($C32="","",IF(AND($H32="",N($I32)=0,N($K32)=0),"Dòng chỉ lưu thông tin khách (chưa có đơn); ",IF($B32="","Thiếu ngày đặt; ","")&amp;IF($H32="","Thiếu tên sản phẩm; ",IF($J32="","Sản phẩm chưa có trong BẢNG GIÁ GỐC; ",""))&amp;IF(N($I32)&lt;=0,"Thiếu số lượng; ","")&amp;IF(N($K32)&lt;=0,"Thiếu giá bán; ","")&amp;IF(AND($N32&gt;0,$F32=""),"Khách lấy VAT thiếu mã số thuế; ","")&amp;IF(N($Q32)&gt;$P32,"Đã thu vượt tổng phải thu; ","")&amp;IF(AND($L32&gt;0,$U32&lt;0),"CẢNH BÁO: ĐƠN NÀY ĐANG LỖ; ","")))</f>
        <v/>
      </c>
      <c r="Y32" s="16" t="str">
        <f aca="false">IF(AND($C32&lt;&gt;"",$R32&gt;0),COUNTIFS($C$6:$C32,"&lt;&gt;",$R$6:$R32,"&gt;0"),"")</f>
        <v/>
      </c>
      <c r="Z32" s="16" t="str">
        <f aca="false">IF(AND($H32&lt;&gt;"",N($N32)&gt;0),COUNTIFS($H$6:$H32,"&lt;&gt;",$N$6:$N32,"&gt;0"),"")</f>
        <v/>
      </c>
      <c r="AA32" s="16" t="str">
        <f aca="false">IF(AND($H32&lt;&gt;"",N($N32)=0),COUNTIFS($H$6:$H32,"&lt;&gt;",$N$6:$N32,"&lt;=0"),"")</f>
        <v/>
      </c>
      <c r="AB32" s="16" t="str">
        <f aca="false">IF($C32="","",IF(COUNTIF($C$6:$C32,$C32)&gt;1,"",MAX($AB$5:AB31)+1))</f>
        <v/>
      </c>
      <c r="AC32" s="16" t="str">
        <f aca="false">IF($H32="","",IF(COUNTIF($H$6:$H32,$H32)&gt;1,"",MAX($AC$5:AC31)+1))</f>
        <v/>
      </c>
    </row>
    <row r="33" customFormat="false" ht="15" hidden="false" customHeight="false" outlineLevel="0" collapsed="false">
      <c r="A33" s="16" t="str">
        <f aca="false">IF($C33="","",COUNTA($C$6:$C33))</f>
        <v/>
      </c>
      <c r="B33" s="17"/>
      <c r="C33" s="8"/>
      <c r="D33" s="8"/>
      <c r="E33" s="8"/>
      <c r="F33" s="8"/>
      <c r="G33" s="8"/>
      <c r="H33" s="8"/>
      <c r="I33" s="9"/>
      <c r="J33" s="10" t="str">
        <f aca="false">IF($H33="","",IFERROR(VLOOKUP($H33,'BẢNG GIÁ GỐC'!$A$5:$D$204,3,FALSE()),""))</f>
        <v/>
      </c>
      <c r="K33" s="9"/>
      <c r="L33" s="10" t="str">
        <f aca="false">IF($C33="","",N($I33)*N($K33))</f>
        <v/>
      </c>
      <c r="M33" s="8"/>
      <c r="N33" s="11" t="str">
        <f aca="false">IF($C33="","",IF($M33="VAT 5%",0.05,IF($M33="VAT 8%",0.08,IF($M33="VAT 10%",0.1,0))))</f>
        <v/>
      </c>
      <c r="O33" s="10" t="str">
        <f aca="false">IF($C33="","",$L33*$N33)</f>
        <v/>
      </c>
      <c r="P33" s="10" t="str">
        <f aca="false">IF($C33="","",$L33+$O33)</f>
        <v/>
      </c>
      <c r="Q33" s="9"/>
      <c r="R33" s="10" t="str">
        <f aca="false">IF($C33="","",MAX(0,$P33-N($Q33)))</f>
        <v/>
      </c>
      <c r="S33" s="19" t="str">
        <f aca="false">IF(OR($C33="",$P33=0),"",IF(N($Q33)&lt;=0,"Chưa thanh toán",IF(N($Q33)&lt;$P33,"Thanh toán một phần","Đã thanh toán")))</f>
        <v/>
      </c>
      <c r="T33" s="10" t="str">
        <f aca="false">IF(OR($C33="",$J33=""),"",N($I33)*$J33)</f>
        <v/>
      </c>
      <c r="U33" s="10" t="str">
        <f aca="false">IF(OR($C33="",$T33=""),"",$L33-$T33)</f>
        <v/>
      </c>
      <c r="V33" s="11" t="str">
        <f aca="false">IF(OR($U33="",$L33=0),"",$U33/$L33)</f>
        <v/>
      </c>
      <c r="W33" s="8"/>
      <c r="X33" s="19" t="str">
        <f aca="false">IF($C33="","",IF(AND($H33="",N($I33)=0,N($K33)=0),"Dòng chỉ lưu thông tin khách (chưa có đơn); ",IF($B33="","Thiếu ngày đặt; ","")&amp;IF($H33="","Thiếu tên sản phẩm; ",IF($J33="","Sản phẩm chưa có trong BẢNG GIÁ GỐC; ",""))&amp;IF(N($I33)&lt;=0,"Thiếu số lượng; ","")&amp;IF(N($K33)&lt;=0,"Thiếu giá bán; ","")&amp;IF(AND($N33&gt;0,$F33=""),"Khách lấy VAT thiếu mã số thuế; ","")&amp;IF(N($Q33)&gt;$P33,"Đã thu vượt tổng phải thu; ","")&amp;IF(AND($L33&gt;0,$U33&lt;0),"CẢNH BÁO: ĐƠN NÀY ĐANG LỖ; ","")))</f>
        <v/>
      </c>
      <c r="Y33" s="16" t="str">
        <f aca="false">IF(AND($C33&lt;&gt;"",$R33&gt;0),COUNTIFS($C$6:$C33,"&lt;&gt;",$R$6:$R33,"&gt;0"),"")</f>
        <v/>
      </c>
      <c r="Z33" s="16" t="str">
        <f aca="false">IF(AND($H33&lt;&gt;"",N($N33)&gt;0),COUNTIFS($H$6:$H33,"&lt;&gt;",$N$6:$N33,"&gt;0"),"")</f>
        <v/>
      </c>
      <c r="AA33" s="16" t="str">
        <f aca="false">IF(AND($H33&lt;&gt;"",N($N33)=0),COUNTIFS($H$6:$H33,"&lt;&gt;",$N$6:$N33,"&lt;=0"),"")</f>
        <v/>
      </c>
      <c r="AB33" s="16" t="str">
        <f aca="false">IF($C33="","",IF(COUNTIF($C$6:$C33,$C33)&gt;1,"",MAX($AB$5:AB32)+1))</f>
        <v/>
      </c>
      <c r="AC33" s="16" t="str">
        <f aca="false">IF($H33="","",IF(COUNTIF($H$6:$H33,$H33)&gt;1,"",MAX($AC$5:AC32)+1))</f>
        <v/>
      </c>
    </row>
    <row r="34" customFormat="false" ht="15" hidden="false" customHeight="false" outlineLevel="0" collapsed="false">
      <c r="A34" s="16" t="str">
        <f aca="false">IF($C34="","",COUNTA($C$6:$C34))</f>
        <v/>
      </c>
      <c r="B34" s="17"/>
      <c r="C34" s="8"/>
      <c r="D34" s="8"/>
      <c r="E34" s="8"/>
      <c r="F34" s="8"/>
      <c r="G34" s="8"/>
      <c r="H34" s="8"/>
      <c r="I34" s="9"/>
      <c r="J34" s="10" t="str">
        <f aca="false">IF($H34="","",IFERROR(VLOOKUP($H34,'BẢNG GIÁ GỐC'!$A$5:$D$204,3,FALSE()),""))</f>
        <v/>
      </c>
      <c r="K34" s="9"/>
      <c r="L34" s="10" t="str">
        <f aca="false">IF($C34="","",N($I34)*N($K34))</f>
        <v/>
      </c>
      <c r="M34" s="8"/>
      <c r="N34" s="11" t="str">
        <f aca="false">IF($C34="","",IF($M34="VAT 5%",0.05,IF($M34="VAT 8%",0.08,IF($M34="VAT 10%",0.1,0))))</f>
        <v/>
      </c>
      <c r="O34" s="10" t="str">
        <f aca="false">IF($C34="","",$L34*$N34)</f>
        <v/>
      </c>
      <c r="P34" s="10" t="str">
        <f aca="false">IF($C34="","",$L34+$O34)</f>
        <v/>
      </c>
      <c r="Q34" s="9"/>
      <c r="R34" s="10" t="str">
        <f aca="false">IF($C34="","",MAX(0,$P34-N($Q34)))</f>
        <v/>
      </c>
      <c r="S34" s="19" t="str">
        <f aca="false">IF(OR($C34="",$P34=0),"",IF(N($Q34)&lt;=0,"Chưa thanh toán",IF(N($Q34)&lt;$P34,"Thanh toán một phần","Đã thanh toán")))</f>
        <v/>
      </c>
      <c r="T34" s="10" t="str">
        <f aca="false">IF(OR($C34="",$J34=""),"",N($I34)*$J34)</f>
        <v/>
      </c>
      <c r="U34" s="10" t="str">
        <f aca="false">IF(OR($C34="",$T34=""),"",$L34-$T34)</f>
        <v/>
      </c>
      <c r="V34" s="11" t="str">
        <f aca="false">IF(OR($U34="",$L34=0),"",$U34/$L34)</f>
        <v/>
      </c>
      <c r="W34" s="8"/>
      <c r="X34" s="19" t="str">
        <f aca="false">IF($C34="","",IF(AND($H34="",N($I34)=0,N($K34)=0),"Dòng chỉ lưu thông tin khách (chưa có đơn); ",IF($B34="","Thiếu ngày đặt; ","")&amp;IF($H34="","Thiếu tên sản phẩm; ",IF($J34="","Sản phẩm chưa có trong BẢNG GIÁ GỐC; ",""))&amp;IF(N($I34)&lt;=0,"Thiếu số lượng; ","")&amp;IF(N($K34)&lt;=0,"Thiếu giá bán; ","")&amp;IF(AND($N34&gt;0,$F34=""),"Khách lấy VAT thiếu mã số thuế; ","")&amp;IF(N($Q34)&gt;$P34,"Đã thu vượt tổng phải thu; ","")&amp;IF(AND($L34&gt;0,$U34&lt;0),"CẢNH BÁO: ĐƠN NÀY ĐANG LỖ; ","")))</f>
        <v/>
      </c>
      <c r="Y34" s="16" t="str">
        <f aca="false">IF(AND($C34&lt;&gt;"",$R34&gt;0),COUNTIFS($C$6:$C34,"&lt;&gt;",$R$6:$R34,"&gt;0"),"")</f>
        <v/>
      </c>
      <c r="Z34" s="16" t="str">
        <f aca="false">IF(AND($H34&lt;&gt;"",N($N34)&gt;0),COUNTIFS($H$6:$H34,"&lt;&gt;",$N$6:$N34,"&gt;0"),"")</f>
        <v/>
      </c>
      <c r="AA34" s="16" t="str">
        <f aca="false">IF(AND($H34&lt;&gt;"",N($N34)=0),COUNTIFS($H$6:$H34,"&lt;&gt;",$N$6:$N34,"&lt;=0"),"")</f>
        <v/>
      </c>
      <c r="AB34" s="16" t="str">
        <f aca="false">IF($C34="","",IF(COUNTIF($C$6:$C34,$C34)&gt;1,"",MAX($AB$5:AB33)+1))</f>
        <v/>
      </c>
      <c r="AC34" s="16" t="str">
        <f aca="false">IF($H34="","",IF(COUNTIF($H$6:$H34,$H34)&gt;1,"",MAX($AC$5:AC33)+1))</f>
        <v/>
      </c>
    </row>
    <row r="35" customFormat="false" ht="15" hidden="false" customHeight="false" outlineLevel="0" collapsed="false">
      <c r="A35" s="16" t="str">
        <f aca="false">IF($C35="","",COUNTA($C$6:$C35))</f>
        <v/>
      </c>
      <c r="B35" s="17"/>
      <c r="C35" s="8"/>
      <c r="D35" s="8"/>
      <c r="E35" s="8"/>
      <c r="F35" s="8"/>
      <c r="G35" s="8"/>
      <c r="H35" s="8"/>
      <c r="I35" s="9"/>
      <c r="J35" s="10" t="str">
        <f aca="false">IF($H35="","",IFERROR(VLOOKUP($H35,'BẢNG GIÁ GỐC'!$A$5:$D$204,3,FALSE()),""))</f>
        <v/>
      </c>
      <c r="K35" s="9"/>
      <c r="L35" s="10" t="str">
        <f aca="false">IF($C35="","",N($I35)*N($K35))</f>
        <v/>
      </c>
      <c r="M35" s="8"/>
      <c r="N35" s="11" t="str">
        <f aca="false">IF($C35="","",IF($M35="VAT 5%",0.05,IF($M35="VAT 8%",0.08,IF($M35="VAT 10%",0.1,0))))</f>
        <v/>
      </c>
      <c r="O35" s="10" t="str">
        <f aca="false">IF($C35="","",$L35*$N35)</f>
        <v/>
      </c>
      <c r="P35" s="10" t="str">
        <f aca="false">IF($C35="","",$L35+$O35)</f>
        <v/>
      </c>
      <c r="Q35" s="9"/>
      <c r="R35" s="10" t="str">
        <f aca="false">IF($C35="","",MAX(0,$P35-N($Q35)))</f>
        <v/>
      </c>
      <c r="S35" s="19" t="str">
        <f aca="false">IF(OR($C35="",$P35=0),"",IF(N($Q35)&lt;=0,"Chưa thanh toán",IF(N($Q35)&lt;$P35,"Thanh toán một phần","Đã thanh toán")))</f>
        <v/>
      </c>
      <c r="T35" s="10" t="str">
        <f aca="false">IF(OR($C35="",$J35=""),"",N($I35)*$J35)</f>
        <v/>
      </c>
      <c r="U35" s="10" t="str">
        <f aca="false">IF(OR($C35="",$T35=""),"",$L35-$T35)</f>
        <v/>
      </c>
      <c r="V35" s="11" t="str">
        <f aca="false">IF(OR($U35="",$L35=0),"",$U35/$L35)</f>
        <v/>
      </c>
      <c r="W35" s="8"/>
      <c r="X35" s="19" t="str">
        <f aca="false">IF($C35="","",IF(AND($H35="",N($I35)=0,N($K35)=0),"Dòng chỉ lưu thông tin khách (chưa có đơn); ",IF($B35="","Thiếu ngày đặt; ","")&amp;IF($H35="","Thiếu tên sản phẩm; ",IF($J35="","Sản phẩm chưa có trong BẢNG GIÁ GỐC; ",""))&amp;IF(N($I35)&lt;=0,"Thiếu số lượng; ","")&amp;IF(N($K35)&lt;=0,"Thiếu giá bán; ","")&amp;IF(AND($N35&gt;0,$F35=""),"Khách lấy VAT thiếu mã số thuế; ","")&amp;IF(N($Q35)&gt;$P35,"Đã thu vượt tổng phải thu; ","")&amp;IF(AND($L35&gt;0,$U35&lt;0),"CẢNH BÁO: ĐƠN NÀY ĐANG LỖ; ","")))</f>
        <v/>
      </c>
      <c r="Y35" s="16" t="str">
        <f aca="false">IF(AND($C35&lt;&gt;"",$R35&gt;0),COUNTIFS($C$6:$C35,"&lt;&gt;",$R$6:$R35,"&gt;0"),"")</f>
        <v/>
      </c>
      <c r="Z35" s="16" t="str">
        <f aca="false">IF(AND($H35&lt;&gt;"",N($N35)&gt;0),COUNTIFS($H$6:$H35,"&lt;&gt;",$N$6:$N35,"&gt;0"),"")</f>
        <v/>
      </c>
      <c r="AA35" s="16" t="str">
        <f aca="false">IF(AND($H35&lt;&gt;"",N($N35)=0),COUNTIFS($H$6:$H35,"&lt;&gt;",$N$6:$N35,"&lt;=0"),"")</f>
        <v/>
      </c>
      <c r="AB35" s="16" t="str">
        <f aca="false">IF($C35="","",IF(COUNTIF($C$6:$C35,$C35)&gt;1,"",MAX($AB$5:AB34)+1))</f>
        <v/>
      </c>
      <c r="AC35" s="16" t="str">
        <f aca="false">IF($H35="","",IF(COUNTIF($H$6:$H35,$H35)&gt;1,"",MAX($AC$5:AC34)+1))</f>
        <v/>
      </c>
    </row>
    <row r="36" customFormat="false" ht="15" hidden="false" customHeight="false" outlineLevel="0" collapsed="false">
      <c r="A36" s="16" t="str">
        <f aca="false">IF($C36="","",COUNTA($C$6:$C36))</f>
        <v/>
      </c>
      <c r="B36" s="17"/>
      <c r="C36" s="8"/>
      <c r="D36" s="8"/>
      <c r="E36" s="8"/>
      <c r="F36" s="8"/>
      <c r="G36" s="8"/>
      <c r="H36" s="8"/>
      <c r="I36" s="9"/>
      <c r="J36" s="10" t="str">
        <f aca="false">IF($H36="","",IFERROR(VLOOKUP($H36,'BẢNG GIÁ GỐC'!$A$5:$D$204,3,FALSE()),""))</f>
        <v/>
      </c>
      <c r="K36" s="9"/>
      <c r="L36" s="10" t="str">
        <f aca="false">IF($C36="","",N($I36)*N($K36))</f>
        <v/>
      </c>
      <c r="M36" s="8"/>
      <c r="N36" s="11" t="str">
        <f aca="false">IF($C36="","",IF($M36="VAT 5%",0.05,IF($M36="VAT 8%",0.08,IF($M36="VAT 10%",0.1,0))))</f>
        <v/>
      </c>
      <c r="O36" s="10" t="str">
        <f aca="false">IF($C36="","",$L36*$N36)</f>
        <v/>
      </c>
      <c r="P36" s="10" t="str">
        <f aca="false">IF($C36="","",$L36+$O36)</f>
        <v/>
      </c>
      <c r="Q36" s="9"/>
      <c r="R36" s="10" t="str">
        <f aca="false">IF($C36="","",MAX(0,$P36-N($Q36)))</f>
        <v/>
      </c>
      <c r="S36" s="19" t="str">
        <f aca="false">IF(OR($C36="",$P36=0),"",IF(N($Q36)&lt;=0,"Chưa thanh toán",IF(N($Q36)&lt;$P36,"Thanh toán một phần","Đã thanh toán")))</f>
        <v/>
      </c>
      <c r="T36" s="10" t="str">
        <f aca="false">IF(OR($C36="",$J36=""),"",N($I36)*$J36)</f>
        <v/>
      </c>
      <c r="U36" s="10" t="str">
        <f aca="false">IF(OR($C36="",$T36=""),"",$L36-$T36)</f>
        <v/>
      </c>
      <c r="V36" s="11" t="str">
        <f aca="false">IF(OR($U36="",$L36=0),"",$U36/$L36)</f>
        <v/>
      </c>
      <c r="W36" s="8"/>
      <c r="X36" s="19" t="str">
        <f aca="false">IF($C36="","",IF(AND($H36="",N($I36)=0,N($K36)=0),"Dòng chỉ lưu thông tin khách (chưa có đơn); ",IF($B36="","Thiếu ngày đặt; ","")&amp;IF($H36="","Thiếu tên sản phẩm; ",IF($J36="","Sản phẩm chưa có trong BẢNG GIÁ GỐC; ",""))&amp;IF(N($I36)&lt;=0,"Thiếu số lượng; ","")&amp;IF(N($K36)&lt;=0,"Thiếu giá bán; ","")&amp;IF(AND($N36&gt;0,$F36=""),"Khách lấy VAT thiếu mã số thuế; ","")&amp;IF(N($Q36)&gt;$P36,"Đã thu vượt tổng phải thu; ","")&amp;IF(AND($L36&gt;0,$U36&lt;0),"CẢNH BÁO: ĐƠN NÀY ĐANG LỖ; ","")))</f>
        <v/>
      </c>
      <c r="Y36" s="16" t="str">
        <f aca="false">IF(AND($C36&lt;&gt;"",$R36&gt;0),COUNTIFS($C$6:$C36,"&lt;&gt;",$R$6:$R36,"&gt;0"),"")</f>
        <v/>
      </c>
      <c r="Z36" s="16" t="str">
        <f aca="false">IF(AND($H36&lt;&gt;"",N($N36)&gt;0),COUNTIFS($H$6:$H36,"&lt;&gt;",$N$6:$N36,"&gt;0"),"")</f>
        <v/>
      </c>
      <c r="AA36" s="16" t="str">
        <f aca="false">IF(AND($H36&lt;&gt;"",N($N36)=0),COUNTIFS($H$6:$H36,"&lt;&gt;",$N$6:$N36,"&lt;=0"),"")</f>
        <v/>
      </c>
      <c r="AB36" s="16" t="str">
        <f aca="false">IF($C36="","",IF(COUNTIF($C$6:$C36,$C36)&gt;1,"",MAX($AB$5:AB35)+1))</f>
        <v/>
      </c>
      <c r="AC36" s="16" t="str">
        <f aca="false">IF($H36="","",IF(COUNTIF($H$6:$H36,$H36)&gt;1,"",MAX($AC$5:AC35)+1))</f>
        <v/>
      </c>
    </row>
    <row r="37" customFormat="false" ht="15" hidden="false" customHeight="false" outlineLevel="0" collapsed="false">
      <c r="A37" s="16" t="str">
        <f aca="false">IF($C37="","",COUNTA($C$6:$C37))</f>
        <v/>
      </c>
      <c r="B37" s="17"/>
      <c r="C37" s="8"/>
      <c r="D37" s="8"/>
      <c r="E37" s="8"/>
      <c r="F37" s="8"/>
      <c r="G37" s="8"/>
      <c r="H37" s="8"/>
      <c r="I37" s="9"/>
      <c r="J37" s="10" t="str">
        <f aca="false">IF($H37="","",IFERROR(VLOOKUP($H37,'BẢNG GIÁ GỐC'!$A$5:$D$204,3,FALSE()),""))</f>
        <v/>
      </c>
      <c r="K37" s="9"/>
      <c r="L37" s="10" t="str">
        <f aca="false">IF($C37="","",N($I37)*N($K37))</f>
        <v/>
      </c>
      <c r="M37" s="8"/>
      <c r="N37" s="11" t="str">
        <f aca="false">IF($C37="","",IF($M37="VAT 5%",0.05,IF($M37="VAT 8%",0.08,IF($M37="VAT 10%",0.1,0))))</f>
        <v/>
      </c>
      <c r="O37" s="10" t="str">
        <f aca="false">IF($C37="","",$L37*$N37)</f>
        <v/>
      </c>
      <c r="P37" s="10" t="str">
        <f aca="false">IF($C37="","",$L37+$O37)</f>
        <v/>
      </c>
      <c r="Q37" s="9"/>
      <c r="R37" s="10" t="str">
        <f aca="false">IF($C37="","",MAX(0,$P37-N($Q37)))</f>
        <v/>
      </c>
      <c r="S37" s="19" t="str">
        <f aca="false">IF(OR($C37="",$P37=0),"",IF(N($Q37)&lt;=0,"Chưa thanh toán",IF(N($Q37)&lt;$P37,"Thanh toán một phần","Đã thanh toán")))</f>
        <v/>
      </c>
      <c r="T37" s="10" t="str">
        <f aca="false">IF(OR($C37="",$J37=""),"",N($I37)*$J37)</f>
        <v/>
      </c>
      <c r="U37" s="10" t="str">
        <f aca="false">IF(OR($C37="",$T37=""),"",$L37-$T37)</f>
        <v/>
      </c>
      <c r="V37" s="11" t="str">
        <f aca="false">IF(OR($U37="",$L37=0),"",$U37/$L37)</f>
        <v/>
      </c>
      <c r="W37" s="8"/>
      <c r="X37" s="19" t="str">
        <f aca="false">IF($C37="","",IF(AND($H37="",N($I37)=0,N($K37)=0),"Dòng chỉ lưu thông tin khách (chưa có đơn); ",IF($B37="","Thiếu ngày đặt; ","")&amp;IF($H37="","Thiếu tên sản phẩm; ",IF($J37="","Sản phẩm chưa có trong BẢNG GIÁ GỐC; ",""))&amp;IF(N($I37)&lt;=0,"Thiếu số lượng; ","")&amp;IF(N($K37)&lt;=0,"Thiếu giá bán; ","")&amp;IF(AND($N37&gt;0,$F37=""),"Khách lấy VAT thiếu mã số thuế; ","")&amp;IF(N($Q37)&gt;$P37,"Đã thu vượt tổng phải thu; ","")&amp;IF(AND($L37&gt;0,$U37&lt;0),"CẢNH BÁO: ĐƠN NÀY ĐANG LỖ; ","")))</f>
        <v/>
      </c>
      <c r="Y37" s="16" t="str">
        <f aca="false">IF(AND($C37&lt;&gt;"",$R37&gt;0),COUNTIFS($C$6:$C37,"&lt;&gt;",$R$6:$R37,"&gt;0"),"")</f>
        <v/>
      </c>
      <c r="Z37" s="16" t="str">
        <f aca="false">IF(AND($H37&lt;&gt;"",N($N37)&gt;0),COUNTIFS($H$6:$H37,"&lt;&gt;",$N$6:$N37,"&gt;0"),"")</f>
        <v/>
      </c>
      <c r="AA37" s="16" t="str">
        <f aca="false">IF(AND($H37&lt;&gt;"",N($N37)=0),COUNTIFS($H$6:$H37,"&lt;&gt;",$N$6:$N37,"&lt;=0"),"")</f>
        <v/>
      </c>
      <c r="AB37" s="16" t="str">
        <f aca="false">IF($C37="","",IF(COUNTIF($C$6:$C37,$C37)&gt;1,"",MAX($AB$5:AB36)+1))</f>
        <v/>
      </c>
      <c r="AC37" s="16" t="str">
        <f aca="false">IF($H37="","",IF(COUNTIF($H$6:$H37,$H37)&gt;1,"",MAX($AC$5:AC36)+1))</f>
        <v/>
      </c>
    </row>
    <row r="38" customFormat="false" ht="15" hidden="false" customHeight="false" outlineLevel="0" collapsed="false">
      <c r="A38" s="16" t="str">
        <f aca="false">IF($C38="","",COUNTA($C$6:$C38))</f>
        <v/>
      </c>
      <c r="B38" s="17"/>
      <c r="C38" s="8"/>
      <c r="D38" s="8"/>
      <c r="E38" s="8"/>
      <c r="F38" s="8"/>
      <c r="G38" s="8"/>
      <c r="H38" s="8"/>
      <c r="I38" s="9"/>
      <c r="J38" s="10" t="str">
        <f aca="false">IF($H38="","",IFERROR(VLOOKUP($H38,'BẢNG GIÁ GỐC'!$A$5:$D$204,3,FALSE()),""))</f>
        <v/>
      </c>
      <c r="K38" s="9"/>
      <c r="L38" s="10" t="str">
        <f aca="false">IF($C38="","",N($I38)*N($K38))</f>
        <v/>
      </c>
      <c r="M38" s="8"/>
      <c r="N38" s="11" t="str">
        <f aca="false">IF($C38="","",IF($M38="VAT 5%",0.05,IF($M38="VAT 8%",0.08,IF($M38="VAT 10%",0.1,0))))</f>
        <v/>
      </c>
      <c r="O38" s="10" t="str">
        <f aca="false">IF($C38="","",$L38*$N38)</f>
        <v/>
      </c>
      <c r="P38" s="10" t="str">
        <f aca="false">IF($C38="","",$L38+$O38)</f>
        <v/>
      </c>
      <c r="Q38" s="9"/>
      <c r="R38" s="10" t="str">
        <f aca="false">IF($C38="","",MAX(0,$P38-N($Q38)))</f>
        <v/>
      </c>
      <c r="S38" s="19" t="str">
        <f aca="false">IF(OR($C38="",$P38=0),"",IF(N($Q38)&lt;=0,"Chưa thanh toán",IF(N($Q38)&lt;$P38,"Thanh toán một phần","Đã thanh toán")))</f>
        <v/>
      </c>
      <c r="T38" s="10" t="str">
        <f aca="false">IF(OR($C38="",$J38=""),"",N($I38)*$J38)</f>
        <v/>
      </c>
      <c r="U38" s="10" t="str">
        <f aca="false">IF(OR($C38="",$T38=""),"",$L38-$T38)</f>
        <v/>
      </c>
      <c r="V38" s="11" t="str">
        <f aca="false">IF(OR($U38="",$L38=0),"",$U38/$L38)</f>
        <v/>
      </c>
      <c r="W38" s="8"/>
      <c r="X38" s="19" t="str">
        <f aca="false">IF($C38="","",IF(AND($H38="",N($I38)=0,N($K38)=0),"Dòng chỉ lưu thông tin khách (chưa có đơn); ",IF($B38="","Thiếu ngày đặt; ","")&amp;IF($H38="","Thiếu tên sản phẩm; ",IF($J38="","Sản phẩm chưa có trong BẢNG GIÁ GỐC; ",""))&amp;IF(N($I38)&lt;=0,"Thiếu số lượng; ","")&amp;IF(N($K38)&lt;=0,"Thiếu giá bán; ","")&amp;IF(AND($N38&gt;0,$F38=""),"Khách lấy VAT thiếu mã số thuế; ","")&amp;IF(N($Q38)&gt;$P38,"Đã thu vượt tổng phải thu; ","")&amp;IF(AND($L38&gt;0,$U38&lt;0),"CẢNH BÁO: ĐƠN NÀY ĐANG LỖ; ","")))</f>
        <v/>
      </c>
      <c r="Y38" s="16" t="str">
        <f aca="false">IF(AND($C38&lt;&gt;"",$R38&gt;0),COUNTIFS($C$6:$C38,"&lt;&gt;",$R$6:$R38,"&gt;0"),"")</f>
        <v/>
      </c>
      <c r="Z38" s="16" t="str">
        <f aca="false">IF(AND($H38&lt;&gt;"",N($N38)&gt;0),COUNTIFS($H$6:$H38,"&lt;&gt;",$N$6:$N38,"&gt;0"),"")</f>
        <v/>
      </c>
      <c r="AA38" s="16" t="str">
        <f aca="false">IF(AND($H38&lt;&gt;"",N($N38)=0),COUNTIFS($H$6:$H38,"&lt;&gt;",$N$6:$N38,"&lt;=0"),"")</f>
        <v/>
      </c>
      <c r="AB38" s="16" t="str">
        <f aca="false">IF($C38="","",IF(COUNTIF($C$6:$C38,$C38)&gt;1,"",MAX($AB$5:AB37)+1))</f>
        <v/>
      </c>
      <c r="AC38" s="16" t="str">
        <f aca="false">IF($H38="","",IF(COUNTIF($H$6:$H38,$H38)&gt;1,"",MAX($AC$5:AC37)+1))</f>
        <v/>
      </c>
    </row>
    <row r="39" customFormat="false" ht="15" hidden="false" customHeight="false" outlineLevel="0" collapsed="false">
      <c r="A39" s="16" t="str">
        <f aca="false">IF($C39="","",COUNTA($C$6:$C39))</f>
        <v/>
      </c>
      <c r="B39" s="17"/>
      <c r="C39" s="8"/>
      <c r="D39" s="8"/>
      <c r="E39" s="8"/>
      <c r="F39" s="8"/>
      <c r="G39" s="8"/>
      <c r="H39" s="8"/>
      <c r="I39" s="9"/>
      <c r="J39" s="10" t="str">
        <f aca="false">IF($H39="","",IFERROR(VLOOKUP($H39,'BẢNG GIÁ GỐC'!$A$5:$D$204,3,FALSE()),""))</f>
        <v/>
      </c>
      <c r="K39" s="9"/>
      <c r="L39" s="10" t="str">
        <f aca="false">IF($C39="","",N($I39)*N($K39))</f>
        <v/>
      </c>
      <c r="M39" s="8"/>
      <c r="N39" s="11" t="str">
        <f aca="false">IF($C39="","",IF($M39="VAT 5%",0.05,IF($M39="VAT 8%",0.08,IF($M39="VAT 10%",0.1,0))))</f>
        <v/>
      </c>
      <c r="O39" s="10" t="str">
        <f aca="false">IF($C39="","",$L39*$N39)</f>
        <v/>
      </c>
      <c r="P39" s="10" t="str">
        <f aca="false">IF($C39="","",$L39+$O39)</f>
        <v/>
      </c>
      <c r="Q39" s="9"/>
      <c r="R39" s="10" t="str">
        <f aca="false">IF($C39="","",MAX(0,$P39-N($Q39)))</f>
        <v/>
      </c>
      <c r="S39" s="19" t="str">
        <f aca="false">IF(OR($C39="",$P39=0),"",IF(N($Q39)&lt;=0,"Chưa thanh toán",IF(N($Q39)&lt;$P39,"Thanh toán một phần","Đã thanh toán")))</f>
        <v/>
      </c>
      <c r="T39" s="10" t="str">
        <f aca="false">IF(OR($C39="",$J39=""),"",N($I39)*$J39)</f>
        <v/>
      </c>
      <c r="U39" s="10" t="str">
        <f aca="false">IF(OR($C39="",$T39=""),"",$L39-$T39)</f>
        <v/>
      </c>
      <c r="V39" s="11" t="str">
        <f aca="false">IF(OR($U39="",$L39=0),"",$U39/$L39)</f>
        <v/>
      </c>
      <c r="W39" s="8"/>
      <c r="X39" s="19" t="str">
        <f aca="false">IF($C39="","",IF(AND($H39="",N($I39)=0,N($K39)=0),"Dòng chỉ lưu thông tin khách (chưa có đơn); ",IF($B39="","Thiếu ngày đặt; ","")&amp;IF($H39="","Thiếu tên sản phẩm; ",IF($J39="","Sản phẩm chưa có trong BẢNG GIÁ GỐC; ",""))&amp;IF(N($I39)&lt;=0,"Thiếu số lượng; ","")&amp;IF(N($K39)&lt;=0,"Thiếu giá bán; ","")&amp;IF(AND($N39&gt;0,$F39=""),"Khách lấy VAT thiếu mã số thuế; ","")&amp;IF(N($Q39)&gt;$P39,"Đã thu vượt tổng phải thu; ","")&amp;IF(AND($L39&gt;0,$U39&lt;0),"CẢNH BÁO: ĐƠN NÀY ĐANG LỖ; ","")))</f>
        <v/>
      </c>
      <c r="Y39" s="16" t="str">
        <f aca="false">IF(AND($C39&lt;&gt;"",$R39&gt;0),COUNTIFS($C$6:$C39,"&lt;&gt;",$R$6:$R39,"&gt;0"),"")</f>
        <v/>
      </c>
      <c r="Z39" s="16" t="str">
        <f aca="false">IF(AND($H39&lt;&gt;"",N($N39)&gt;0),COUNTIFS($H$6:$H39,"&lt;&gt;",$N$6:$N39,"&gt;0"),"")</f>
        <v/>
      </c>
      <c r="AA39" s="16" t="str">
        <f aca="false">IF(AND($H39&lt;&gt;"",N($N39)=0),COUNTIFS($H$6:$H39,"&lt;&gt;",$N$6:$N39,"&lt;=0"),"")</f>
        <v/>
      </c>
      <c r="AB39" s="16" t="str">
        <f aca="false">IF($C39="","",IF(COUNTIF($C$6:$C39,$C39)&gt;1,"",MAX($AB$5:AB38)+1))</f>
        <v/>
      </c>
      <c r="AC39" s="16" t="str">
        <f aca="false">IF($H39="","",IF(COUNTIF($H$6:$H39,$H39)&gt;1,"",MAX($AC$5:AC38)+1))</f>
        <v/>
      </c>
    </row>
    <row r="40" customFormat="false" ht="15" hidden="false" customHeight="false" outlineLevel="0" collapsed="false">
      <c r="A40" s="16" t="str">
        <f aca="false">IF($C40="","",COUNTA($C$6:$C40))</f>
        <v/>
      </c>
      <c r="B40" s="17"/>
      <c r="C40" s="8"/>
      <c r="D40" s="8"/>
      <c r="E40" s="8"/>
      <c r="F40" s="8"/>
      <c r="G40" s="8"/>
      <c r="H40" s="8"/>
      <c r="I40" s="9"/>
      <c r="J40" s="10" t="str">
        <f aca="false">IF($H40="","",IFERROR(VLOOKUP($H40,'BẢNG GIÁ GỐC'!$A$5:$D$204,3,FALSE()),""))</f>
        <v/>
      </c>
      <c r="K40" s="9"/>
      <c r="L40" s="10" t="str">
        <f aca="false">IF($C40="","",N($I40)*N($K40))</f>
        <v/>
      </c>
      <c r="M40" s="8"/>
      <c r="N40" s="11" t="str">
        <f aca="false">IF($C40="","",IF($M40="VAT 5%",0.05,IF($M40="VAT 8%",0.08,IF($M40="VAT 10%",0.1,0))))</f>
        <v/>
      </c>
      <c r="O40" s="10" t="str">
        <f aca="false">IF($C40="","",$L40*$N40)</f>
        <v/>
      </c>
      <c r="P40" s="10" t="str">
        <f aca="false">IF($C40="","",$L40+$O40)</f>
        <v/>
      </c>
      <c r="Q40" s="9"/>
      <c r="R40" s="10" t="str">
        <f aca="false">IF($C40="","",MAX(0,$P40-N($Q40)))</f>
        <v/>
      </c>
      <c r="S40" s="19" t="str">
        <f aca="false">IF(OR($C40="",$P40=0),"",IF(N($Q40)&lt;=0,"Chưa thanh toán",IF(N($Q40)&lt;$P40,"Thanh toán một phần","Đã thanh toán")))</f>
        <v/>
      </c>
      <c r="T40" s="10" t="str">
        <f aca="false">IF(OR($C40="",$J40=""),"",N($I40)*$J40)</f>
        <v/>
      </c>
      <c r="U40" s="10" t="str">
        <f aca="false">IF(OR($C40="",$T40=""),"",$L40-$T40)</f>
        <v/>
      </c>
      <c r="V40" s="11" t="str">
        <f aca="false">IF(OR($U40="",$L40=0),"",$U40/$L40)</f>
        <v/>
      </c>
      <c r="W40" s="8"/>
      <c r="X40" s="19" t="str">
        <f aca="false">IF($C40="","",IF(AND($H40="",N($I40)=0,N($K40)=0),"Dòng chỉ lưu thông tin khách (chưa có đơn); ",IF($B40="","Thiếu ngày đặt; ","")&amp;IF($H40="","Thiếu tên sản phẩm; ",IF($J40="","Sản phẩm chưa có trong BẢNG GIÁ GỐC; ",""))&amp;IF(N($I40)&lt;=0,"Thiếu số lượng; ","")&amp;IF(N($K40)&lt;=0,"Thiếu giá bán; ","")&amp;IF(AND($N40&gt;0,$F40=""),"Khách lấy VAT thiếu mã số thuế; ","")&amp;IF(N($Q40)&gt;$P40,"Đã thu vượt tổng phải thu; ","")&amp;IF(AND($L40&gt;0,$U40&lt;0),"CẢNH BÁO: ĐƠN NÀY ĐANG LỖ; ","")))</f>
        <v/>
      </c>
      <c r="Y40" s="16" t="str">
        <f aca="false">IF(AND($C40&lt;&gt;"",$R40&gt;0),COUNTIFS($C$6:$C40,"&lt;&gt;",$R$6:$R40,"&gt;0"),"")</f>
        <v/>
      </c>
      <c r="Z40" s="16" t="str">
        <f aca="false">IF(AND($H40&lt;&gt;"",N($N40)&gt;0),COUNTIFS($H$6:$H40,"&lt;&gt;",$N$6:$N40,"&gt;0"),"")</f>
        <v/>
      </c>
      <c r="AA40" s="16" t="str">
        <f aca="false">IF(AND($H40&lt;&gt;"",N($N40)=0),COUNTIFS($H$6:$H40,"&lt;&gt;",$N$6:$N40,"&lt;=0"),"")</f>
        <v/>
      </c>
      <c r="AB40" s="16" t="str">
        <f aca="false">IF($C40="","",IF(COUNTIF($C$6:$C40,$C40)&gt;1,"",MAX($AB$5:AB39)+1))</f>
        <v/>
      </c>
      <c r="AC40" s="16" t="str">
        <f aca="false">IF($H40="","",IF(COUNTIF($H$6:$H40,$H40)&gt;1,"",MAX($AC$5:AC39)+1))</f>
        <v/>
      </c>
    </row>
    <row r="41" customFormat="false" ht="15" hidden="false" customHeight="false" outlineLevel="0" collapsed="false">
      <c r="A41" s="16" t="str">
        <f aca="false">IF($C41="","",COUNTA($C$6:$C41))</f>
        <v/>
      </c>
      <c r="B41" s="17"/>
      <c r="C41" s="8"/>
      <c r="D41" s="8"/>
      <c r="E41" s="8"/>
      <c r="F41" s="8"/>
      <c r="G41" s="8"/>
      <c r="H41" s="8"/>
      <c r="I41" s="9"/>
      <c r="J41" s="10" t="str">
        <f aca="false">IF($H41="","",IFERROR(VLOOKUP($H41,'BẢNG GIÁ GỐC'!$A$5:$D$204,3,FALSE()),""))</f>
        <v/>
      </c>
      <c r="K41" s="9"/>
      <c r="L41" s="10" t="str">
        <f aca="false">IF($C41="","",N($I41)*N($K41))</f>
        <v/>
      </c>
      <c r="M41" s="8"/>
      <c r="N41" s="11" t="str">
        <f aca="false">IF($C41="","",IF($M41="VAT 5%",0.05,IF($M41="VAT 8%",0.08,IF($M41="VAT 10%",0.1,0))))</f>
        <v/>
      </c>
      <c r="O41" s="10" t="str">
        <f aca="false">IF($C41="","",$L41*$N41)</f>
        <v/>
      </c>
      <c r="P41" s="10" t="str">
        <f aca="false">IF($C41="","",$L41+$O41)</f>
        <v/>
      </c>
      <c r="Q41" s="9"/>
      <c r="R41" s="10" t="str">
        <f aca="false">IF($C41="","",MAX(0,$P41-N($Q41)))</f>
        <v/>
      </c>
      <c r="S41" s="19" t="str">
        <f aca="false">IF(OR($C41="",$P41=0),"",IF(N($Q41)&lt;=0,"Chưa thanh toán",IF(N($Q41)&lt;$P41,"Thanh toán một phần","Đã thanh toán")))</f>
        <v/>
      </c>
      <c r="T41" s="10" t="str">
        <f aca="false">IF(OR($C41="",$J41=""),"",N($I41)*$J41)</f>
        <v/>
      </c>
      <c r="U41" s="10" t="str">
        <f aca="false">IF(OR($C41="",$T41=""),"",$L41-$T41)</f>
        <v/>
      </c>
      <c r="V41" s="11" t="str">
        <f aca="false">IF(OR($U41="",$L41=0),"",$U41/$L41)</f>
        <v/>
      </c>
      <c r="W41" s="8"/>
      <c r="X41" s="19" t="str">
        <f aca="false">IF($C41="","",IF(AND($H41="",N($I41)=0,N($K41)=0),"Dòng chỉ lưu thông tin khách (chưa có đơn); ",IF($B41="","Thiếu ngày đặt; ","")&amp;IF($H41="","Thiếu tên sản phẩm; ",IF($J41="","Sản phẩm chưa có trong BẢNG GIÁ GỐC; ",""))&amp;IF(N($I41)&lt;=0,"Thiếu số lượng; ","")&amp;IF(N($K41)&lt;=0,"Thiếu giá bán; ","")&amp;IF(AND($N41&gt;0,$F41=""),"Khách lấy VAT thiếu mã số thuế; ","")&amp;IF(N($Q41)&gt;$P41,"Đã thu vượt tổng phải thu; ","")&amp;IF(AND($L41&gt;0,$U41&lt;0),"CẢNH BÁO: ĐƠN NÀY ĐANG LỖ; ","")))</f>
        <v/>
      </c>
      <c r="Y41" s="16" t="str">
        <f aca="false">IF(AND($C41&lt;&gt;"",$R41&gt;0),COUNTIFS($C$6:$C41,"&lt;&gt;",$R$6:$R41,"&gt;0"),"")</f>
        <v/>
      </c>
      <c r="Z41" s="16" t="str">
        <f aca="false">IF(AND($H41&lt;&gt;"",N($N41)&gt;0),COUNTIFS($H$6:$H41,"&lt;&gt;",$N$6:$N41,"&gt;0"),"")</f>
        <v/>
      </c>
      <c r="AA41" s="16" t="str">
        <f aca="false">IF(AND($H41&lt;&gt;"",N($N41)=0),COUNTIFS($H$6:$H41,"&lt;&gt;",$N$6:$N41,"&lt;=0"),"")</f>
        <v/>
      </c>
      <c r="AB41" s="16" t="str">
        <f aca="false">IF($C41="","",IF(COUNTIF($C$6:$C41,$C41)&gt;1,"",MAX($AB$5:AB40)+1))</f>
        <v/>
      </c>
      <c r="AC41" s="16" t="str">
        <f aca="false">IF($H41="","",IF(COUNTIF($H$6:$H41,$H41)&gt;1,"",MAX($AC$5:AC40)+1))</f>
        <v/>
      </c>
    </row>
    <row r="42" customFormat="false" ht="15" hidden="false" customHeight="false" outlineLevel="0" collapsed="false">
      <c r="A42" s="16" t="str">
        <f aca="false">IF($C42="","",COUNTA($C$6:$C42))</f>
        <v/>
      </c>
      <c r="B42" s="17"/>
      <c r="C42" s="8"/>
      <c r="D42" s="8"/>
      <c r="E42" s="8"/>
      <c r="F42" s="8"/>
      <c r="G42" s="8"/>
      <c r="H42" s="8"/>
      <c r="I42" s="9"/>
      <c r="J42" s="10" t="str">
        <f aca="false">IF($H42="","",IFERROR(VLOOKUP($H42,'BẢNG GIÁ GỐC'!$A$5:$D$204,3,FALSE()),""))</f>
        <v/>
      </c>
      <c r="K42" s="9"/>
      <c r="L42" s="10" t="str">
        <f aca="false">IF($C42="","",N($I42)*N($K42))</f>
        <v/>
      </c>
      <c r="M42" s="8"/>
      <c r="N42" s="11" t="str">
        <f aca="false">IF($C42="","",IF($M42="VAT 5%",0.05,IF($M42="VAT 8%",0.08,IF($M42="VAT 10%",0.1,0))))</f>
        <v/>
      </c>
      <c r="O42" s="10" t="str">
        <f aca="false">IF($C42="","",$L42*$N42)</f>
        <v/>
      </c>
      <c r="P42" s="10" t="str">
        <f aca="false">IF($C42="","",$L42+$O42)</f>
        <v/>
      </c>
      <c r="Q42" s="9"/>
      <c r="R42" s="10" t="str">
        <f aca="false">IF($C42="","",MAX(0,$P42-N($Q42)))</f>
        <v/>
      </c>
      <c r="S42" s="19" t="str">
        <f aca="false">IF(OR($C42="",$P42=0),"",IF(N($Q42)&lt;=0,"Chưa thanh toán",IF(N($Q42)&lt;$P42,"Thanh toán một phần","Đã thanh toán")))</f>
        <v/>
      </c>
      <c r="T42" s="10" t="str">
        <f aca="false">IF(OR($C42="",$J42=""),"",N($I42)*$J42)</f>
        <v/>
      </c>
      <c r="U42" s="10" t="str">
        <f aca="false">IF(OR($C42="",$T42=""),"",$L42-$T42)</f>
        <v/>
      </c>
      <c r="V42" s="11" t="str">
        <f aca="false">IF(OR($U42="",$L42=0),"",$U42/$L42)</f>
        <v/>
      </c>
      <c r="W42" s="8"/>
      <c r="X42" s="19" t="str">
        <f aca="false">IF($C42="","",IF(AND($H42="",N($I42)=0,N($K42)=0),"Dòng chỉ lưu thông tin khách (chưa có đơn); ",IF($B42="","Thiếu ngày đặt; ","")&amp;IF($H42="","Thiếu tên sản phẩm; ",IF($J42="","Sản phẩm chưa có trong BẢNG GIÁ GỐC; ",""))&amp;IF(N($I42)&lt;=0,"Thiếu số lượng; ","")&amp;IF(N($K42)&lt;=0,"Thiếu giá bán; ","")&amp;IF(AND($N42&gt;0,$F42=""),"Khách lấy VAT thiếu mã số thuế; ","")&amp;IF(N($Q42)&gt;$P42,"Đã thu vượt tổng phải thu; ","")&amp;IF(AND($L42&gt;0,$U42&lt;0),"CẢNH BÁO: ĐƠN NÀY ĐANG LỖ; ","")))</f>
        <v/>
      </c>
      <c r="Y42" s="16" t="str">
        <f aca="false">IF(AND($C42&lt;&gt;"",$R42&gt;0),COUNTIFS($C$6:$C42,"&lt;&gt;",$R$6:$R42,"&gt;0"),"")</f>
        <v/>
      </c>
      <c r="Z42" s="16" t="str">
        <f aca="false">IF(AND($H42&lt;&gt;"",N($N42)&gt;0),COUNTIFS($H$6:$H42,"&lt;&gt;",$N$6:$N42,"&gt;0"),"")</f>
        <v/>
      </c>
      <c r="AA42" s="16" t="str">
        <f aca="false">IF(AND($H42&lt;&gt;"",N($N42)=0),COUNTIFS($H$6:$H42,"&lt;&gt;",$N$6:$N42,"&lt;=0"),"")</f>
        <v/>
      </c>
      <c r="AB42" s="16" t="str">
        <f aca="false">IF($C42="","",IF(COUNTIF($C$6:$C42,$C42)&gt;1,"",MAX($AB$5:AB41)+1))</f>
        <v/>
      </c>
      <c r="AC42" s="16" t="str">
        <f aca="false">IF($H42="","",IF(COUNTIF($H$6:$H42,$H42)&gt;1,"",MAX($AC$5:AC41)+1))</f>
        <v/>
      </c>
    </row>
    <row r="43" customFormat="false" ht="15" hidden="false" customHeight="false" outlineLevel="0" collapsed="false">
      <c r="A43" s="16" t="str">
        <f aca="false">IF($C43="","",COUNTA($C$6:$C43))</f>
        <v/>
      </c>
      <c r="B43" s="17"/>
      <c r="C43" s="8"/>
      <c r="D43" s="8"/>
      <c r="E43" s="8"/>
      <c r="F43" s="8"/>
      <c r="G43" s="8"/>
      <c r="H43" s="8"/>
      <c r="I43" s="9"/>
      <c r="J43" s="10" t="str">
        <f aca="false">IF($H43="","",IFERROR(VLOOKUP($H43,'BẢNG GIÁ GỐC'!$A$5:$D$204,3,FALSE()),""))</f>
        <v/>
      </c>
      <c r="K43" s="9"/>
      <c r="L43" s="10" t="str">
        <f aca="false">IF($C43="","",N($I43)*N($K43))</f>
        <v/>
      </c>
      <c r="M43" s="8"/>
      <c r="N43" s="11" t="str">
        <f aca="false">IF($C43="","",IF($M43="VAT 5%",0.05,IF($M43="VAT 8%",0.08,IF($M43="VAT 10%",0.1,0))))</f>
        <v/>
      </c>
      <c r="O43" s="10" t="str">
        <f aca="false">IF($C43="","",$L43*$N43)</f>
        <v/>
      </c>
      <c r="P43" s="10" t="str">
        <f aca="false">IF($C43="","",$L43+$O43)</f>
        <v/>
      </c>
      <c r="Q43" s="9"/>
      <c r="R43" s="10" t="str">
        <f aca="false">IF($C43="","",MAX(0,$P43-N($Q43)))</f>
        <v/>
      </c>
      <c r="S43" s="19" t="str">
        <f aca="false">IF(OR($C43="",$P43=0),"",IF(N($Q43)&lt;=0,"Chưa thanh toán",IF(N($Q43)&lt;$P43,"Thanh toán một phần","Đã thanh toán")))</f>
        <v/>
      </c>
      <c r="T43" s="10" t="str">
        <f aca="false">IF(OR($C43="",$J43=""),"",N($I43)*$J43)</f>
        <v/>
      </c>
      <c r="U43" s="10" t="str">
        <f aca="false">IF(OR($C43="",$T43=""),"",$L43-$T43)</f>
        <v/>
      </c>
      <c r="V43" s="11" t="str">
        <f aca="false">IF(OR($U43="",$L43=0),"",$U43/$L43)</f>
        <v/>
      </c>
      <c r="W43" s="8"/>
      <c r="X43" s="19" t="str">
        <f aca="false">IF($C43="","",IF(AND($H43="",N($I43)=0,N($K43)=0),"Dòng chỉ lưu thông tin khách (chưa có đơn); ",IF($B43="","Thiếu ngày đặt; ","")&amp;IF($H43="","Thiếu tên sản phẩm; ",IF($J43="","Sản phẩm chưa có trong BẢNG GIÁ GỐC; ",""))&amp;IF(N($I43)&lt;=0,"Thiếu số lượng; ","")&amp;IF(N($K43)&lt;=0,"Thiếu giá bán; ","")&amp;IF(AND($N43&gt;0,$F43=""),"Khách lấy VAT thiếu mã số thuế; ","")&amp;IF(N($Q43)&gt;$P43,"Đã thu vượt tổng phải thu; ","")&amp;IF(AND($L43&gt;0,$U43&lt;0),"CẢNH BÁO: ĐƠN NÀY ĐANG LỖ; ","")))</f>
        <v/>
      </c>
      <c r="Y43" s="16" t="str">
        <f aca="false">IF(AND($C43&lt;&gt;"",$R43&gt;0),COUNTIFS($C$6:$C43,"&lt;&gt;",$R$6:$R43,"&gt;0"),"")</f>
        <v/>
      </c>
      <c r="Z43" s="16" t="str">
        <f aca="false">IF(AND($H43&lt;&gt;"",N($N43)&gt;0),COUNTIFS($H$6:$H43,"&lt;&gt;",$N$6:$N43,"&gt;0"),"")</f>
        <v/>
      </c>
      <c r="AA43" s="16" t="str">
        <f aca="false">IF(AND($H43&lt;&gt;"",N($N43)=0),COUNTIFS($H$6:$H43,"&lt;&gt;",$N$6:$N43,"&lt;=0"),"")</f>
        <v/>
      </c>
      <c r="AB43" s="16" t="str">
        <f aca="false">IF($C43="","",IF(COUNTIF($C$6:$C43,$C43)&gt;1,"",MAX($AB$5:AB42)+1))</f>
        <v/>
      </c>
      <c r="AC43" s="16" t="str">
        <f aca="false">IF($H43="","",IF(COUNTIF($H$6:$H43,$H43)&gt;1,"",MAX($AC$5:AC42)+1))</f>
        <v/>
      </c>
    </row>
    <row r="44" customFormat="false" ht="15" hidden="false" customHeight="false" outlineLevel="0" collapsed="false">
      <c r="A44" s="16" t="str">
        <f aca="false">IF($C44="","",COUNTA($C$6:$C44))</f>
        <v/>
      </c>
      <c r="B44" s="17"/>
      <c r="C44" s="8"/>
      <c r="D44" s="8"/>
      <c r="E44" s="8"/>
      <c r="F44" s="8"/>
      <c r="G44" s="8"/>
      <c r="H44" s="8"/>
      <c r="I44" s="9"/>
      <c r="J44" s="10" t="str">
        <f aca="false">IF($H44="","",IFERROR(VLOOKUP($H44,'BẢNG GIÁ GỐC'!$A$5:$D$204,3,FALSE()),""))</f>
        <v/>
      </c>
      <c r="K44" s="9"/>
      <c r="L44" s="10" t="str">
        <f aca="false">IF($C44="","",N($I44)*N($K44))</f>
        <v/>
      </c>
      <c r="M44" s="8"/>
      <c r="N44" s="11" t="str">
        <f aca="false">IF($C44="","",IF($M44="VAT 5%",0.05,IF($M44="VAT 8%",0.08,IF($M44="VAT 10%",0.1,0))))</f>
        <v/>
      </c>
      <c r="O44" s="10" t="str">
        <f aca="false">IF($C44="","",$L44*$N44)</f>
        <v/>
      </c>
      <c r="P44" s="10" t="str">
        <f aca="false">IF($C44="","",$L44+$O44)</f>
        <v/>
      </c>
      <c r="Q44" s="9"/>
      <c r="R44" s="10" t="str">
        <f aca="false">IF($C44="","",MAX(0,$P44-N($Q44)))</f>
        <v/>
      </c>
      <c r="S44" s="19" t="str">
        <f aca="false">IF(OR($C44="",$P44=0),"",IF(N($Q44)&lt;=0,"Chưa thanh toán",IF(N($Q44)&lt;$P44,"Thanh toán một phần","Đã thanh toán")))</f>
        <v/>
      </c>
      <c r="T44" s="10" t="str">
        <f aca="false">IF(OR($C44="",$J44=""),"",N($I44)*$J44)</f>
        <v/>
      </c>
      <c r="U44" s="10" t="str">
        <f aca="false">IF(OR($C44="",$T44=""),"",$L44-$T44)</f>
        <v/>
      </c>
      <c r="V44" s="11" t="str">
        <f aca="false">IF(OR($U44="",$L44=0),"",$U44/$L44)</f>
        <v/>
      </c>
      <c r="W44" s="8"/>
      <c r="X44" s="19" t="str">
        <f aca="false">IF($C44="","",IF(AND($H44="",N($I44)=0,N($K44)=0),"Dòng chỉ lưu thông tin khách (chưa có đơn); ",IF($B44="","Thiếu ngày đặt; ","")&amp;IF($H44="","Thiếu tên sản phẩm; ",IF($J44="","Sản phẩm chưa có trong BẢNG GIÁ GỐC; ",""))&amp;IF(N($I44)&lt;=0,"Thiếu số lượng; ","")&amp;IF(N($K44)&lt;=0,"Thiếu giá bán; ","")&amp;IF(AND($N44&gt;0,$F44=""),"Khách lấy VAT thiếu mã số thuế; ","")&amp;IF(N($Q44)&gt;$P44,"Đã thu vượt tổng phải thu; ","")&amp;IF(AND($L44&gt;0,$U44&lt;0),"CẢNH BÁO: ĐƠN NÀY ĐANG LỖ; ","")))</f>
        <v/>
      </c>
      <c r="Y44" s="16" t="str">
        <f aca="false">IF(AND($C44&lt;&gt;"",$R44&gt;0),COUNTIFS($C$6:$C44,"&lt;&gt;",$R$6:$R44,"&gt;0"),"")</f>
        <v/>
      </c>
      <c r="Z44" s="16" t="str">
        <f aca="false">IF(AND($H44&lt;&gt;"",N($N44)&gt;0),COUNTIFS($H$6:$H44,"&lt;&gt;",$N$6:$N44,"&gt;0"),"")</f>
        <v/>
      </c>
      <c r="AA44" s="16" t="str">
        <f aca="false">IF(AND($H44&lt;&gt;"",N($N44)=0),COUNTIFS($H$6:$H44,"&lt;&gt;",$N$6:$N44,"&lt;=0"),"")</f>
        <v/>
      </c>
      <c r="AB44" s="16" t="str">
        <f aca="false">IF($C44="","",IF(COUNTIF($C$6:$C44,$C44)&gt;1,"",MAX($AB$5:AB43)+1))</f>
        <v/>
      </c>
      <c r="AC44" s="16" t="str">
        <f aca="false">IF($H44="","",IF(COUNTIF($H$6:$H44,$H44)&gt;1,"",MAX($AC$5:AC43)+1))</f>
        <v/>
      </c>
    </row>
    <row r="45" customFormat="false" ht="15" hidden="false" customHeight="false" outlineLevel="0" collapsed="false">
      <c r="A45" s="16" t="str">
        <f aca="false">IF($C45="","",COUNTA($C$6:$C45))</f>
        <v/>
      </c>
      <c r="B45" s="17"/>
      <c r="C45" s="8"/>
      <c r="D45" s="8"/>
      <c r="E45" s="8"/>
      <c r="F45" s="8"/>
      <c r="G45" s="8"/>
      <c r="H45" s="8"/>
      <c r="I45" s="9"/>
      <c r="J45" s="10" t="str">
        <f aca="false">IF($H45="","",IFERROR(VLOOKUP($H45,'BẢNG GIÁ GỐC'!$A$5:$D$204,3,FALSE()),""))</f>
        <v/>
      </c>
      <c r="K45" s="9"/>
      <c r="L45" s="10" t="str">
        <f aca="false">IF($C45="","",N($I45)*N($K45))</f>
        <v/>
      </c>
      <c r="M45" s="8"/>
      <c r="N45" s="11" t="str">
        <f aca="false">IF($C45="","",IF($M45="VAT 5%",0.05,IF($M45="VAT 8%",0.08,IF($M45="VAT 10%",0.1,0))))</f>
        <v/>
      </c>
      <c r="O45" s="10" t="str">
        <f aca="false">IF($C45="","",$L45*$N45)</f>
        <v/>
      </c>
      <c r="P45" s="10" t="str">
        <f aca="false">IF($C45="","",$L45+$O45)</f>
        <v/>
      </c>
      <c r="Q45" s="9"/>
      <c r="R45" s="10" t="str">
        <f aca="false">IF($C45="","",MAX(0,$P45-N($Q45)))</f>
        <v/>
      </c>
      <c r="S45" s="19" t="str">
        <f aca="false">IF(OR($C45="",$P45=0),"",IF(N($Q45)&lt;=0,"Chưa thanh toán",IF(N($Q45)&lt;$P45,"Thanh toán một phần","Đã thanh toán")))</f>
        <v/>
      </c>
      <c r="T45" s="10" t="str">
        <f aca="false">IF(OR($C45="",$J45=""),"",N($I45)*$J45)</f>
        <v/>
      </c>
      <c r="U45" s="10" t="str">
        <f aca="false">IF(OR($C45="",$T45=""),"",$L45-$T45)</f>
        <v/>
      </c>
      <c r="V45" s="11" t="str">
        <f aca="false">IF(OR($U45="",$L45=0),"",$U45/$L45)</f>
        <v/>
      </c>
      <c r="W45" s="8"/>
      <c r="X45" s="19" t="str">
        <f aca="false">IF($C45="","",IF(AND($H45="",N($I45)=0,N($K45)=0),"Dòng chỉ lưu thông tin khách (chưa có đơn); ",IF($B45="","Thiếu ngày đặt; ","")&amp;IF($H45="","Thiếu tên sản phẩm; ",IF($J45="","Sản phẩm chưa có trong BẢNG GIÁ GỐC; ",""))&amp;IF(N($I45)&lt;=0,"Thiếu số lượng; ","")&amp;IF(N($K45)&lt;=0,"Thiếu giá bán; ","")&amp;IF(AND($N45&gt;0,$F45=""),"Khách lấy VAT thiếu mã số thuế; ","")&amp;IF(N($Q45)&gt;$P45,"Đã thu vượt tổng phải thu; ","")&amp;IF(AND($L45&gt;0,$U45&lt;0),"CẢNH BÁO: ĐƠN NÀY ĐANG LỖ; ","")))</f>
        <v/>
      </c>
      <c r="Y45" s="16" t="str">
        <f aca="false">IF(AND($C45&lt;&gt;"",$R45&gt;0),COUNTIFS($C$6:$C45,"&lt;&gt;",$R$6:$R45,"&gt;0"),"")</f>
        <v/>
      </c>
      <c r="Z45" s="16" t="str">
        <f aca="false">IF(AND($H45&lt;&gt;"",N($N45)&gt;0),COUNTIFS($H$6:$H45,"&lt;&gt;",$N$6:$N45,"&gt;0"),"")</f>
        <v/>
      </c>
      <c r="AA45" s="16" t="str">
        <f aca="false">IF(AND($H45&lt;&gt;"",N($N45)=0),COUNTIFS($H$6:$H45,"&lt;&gt;",$N$6:$N45,"&lt;=0"),"")</f>
        <v/>
      </c>
      <c r="AB45" s="16" t="str">
        <f aca="false">IF($C45="","",IF(COUNTIF($C$6:$C45,$C45)&gt;1,"",MAX($AB$5:AB44)+1))</f>
        <v/>
      </c>
      <c r="AC45" s="16" t="str">
        <f aca="false">IF($H45="","",IF(COUNTIF($H$6:$H45,$H45)&gt;1,"",MAX($AC$5:AC44)+1))</f>
        <v/>
      </c>
    </row>
    <row r="46" customFormat="false" ht="15" hidden="false" customHeight="false" outlineLevel="0" collapsed="false">
      <c r="A46" s="16" t="str">
        <f aca="false">IF($C46="","",COUNTA($C$6:$C46))</f>
        <v/>
      </c>
      <c r="B46" s="17"/>
      <c r="C46" s="8"/>
      <c r="D46" s="8"/>
      <c r="E46" s="8"/>
      <c r="F46" s="8"/>
      <c r="G46" s="8"/>
      <c r="H46" s="8"/>
      <c r="I46" s="9"/>
      <c r="J46" s="10" t="str">
        <f aca="false">IF($H46="","",IFERROR(VLOOKUP($H46,'BẢNG GIÁ GỐC'!$A$5:$D$204,3,FALSE()),""))</f>
        <v/>
      </c>
      <c r="K46" s="9"/>
      <c r="L46" s="10" t="str">
        <f aca="false">IF($C46="","",N($I46)*N($K46))</f>
        <v/>
      </c>
      <c r="M46" s="8"/>
      <c r="N46" s="11" t="str">
        <f aca="false">IF($C46="","",IF($M46="VAT 5%",0.05,IF($M46="VAT 8%",0.08,IF($M46="VAT 10%",0.1,0))))</f>
        <v/>
      </c>
      <c r="O46" s="10" t="str">
        <f aca="false">IF($C46="","",$L46*$N46)</f>
        <v/>
      </c>
      <c r="P46" s="10" t="str">
        <f aca="false">IF($C46="","",$L46+$O46)</f>
        <v/>
      </c>
      <c r="Q46" s="9"/>
      <c r="R46" s="10" t="str">
        <f aca="false">IF($C46="","",MAX(0,$P46-N($Q46)))</f>
        <v/>
      </c>
      <c r="S46" s="19" t="str">
        <f aca="false">IF(OR($C46="",$P46=0),"",IF(N($Q46)&lt;=0,"Chưa thanh toán",IF(N($Q46)&lt;$P46,"Thanh toán một phần","Đã thanh toán")))</f>
        <v/>
      </c>
      <c r="T46" s="10" t="str">
        <f aca="false">IF(OR($C46="",$J46=""),"",N($I46)*$J46)</f>
        <v/>
      </c>
      <c r="U46" s="10" t="str">
        <f aca="false">IF(OR($C46="",$T46=""),"",$L46-$T46)</f>
        <v/>
      </c>
      <c r="V46" s="11" t="str">
        <f aca="false">IF(OR($U46="",$L46=0),"",$U46/$L46)</f>
        <v/>
      </c>
      <c r="W46" s="8"/>
      <c r="X46" s="19" t="str">
        <f aca="false">IF($C46="","",IF(AND($H46="",N($I46)=0,N($K46)=0),"Dòng chỉ lưu thông tin khách (chưa có đơn); ",IF($B46="","Thiếu ngày đặt; ","")&amp;IF($H46="","Thiếu tên sản phẩm; ",IF($J46="","Sản phẩm chưa có trong BẢNG GIÁ GỐC; ",""))&amp;IF(N($I46)&lt;=0,"Thiếu số lượng; ","")&amp;IF(N($K46)&lt;=0,"Thiếu giá bán; ","")&amp;IF(AND($N46&gt;0,$F46=""),"Khách lấy VAT thiếu mã số thuế; ","")&amp;IF(N($Q46)&gt;$P46,"Đã thu vượt tổng phải thu; ","")&amp;IF(AND($L46&gt;0,$U46&lt;0),"CẢNH BÁO: ĐƠN NÀY ĐANG LỖ; ","")))</f>
        <v/>
      </c>
      <c r="Y46" s="16" t="str">
        <f aca="false">IF(AND($C46&lt;&gt;"",$R46&gt;0),COUNTIFS($C$6:$C46,"&lt;&gt;",$R$6:$R46,"&gt;0"),"")</f>
        <v/>
      </c>
      <c r="Z46" s="16" t="str">
        <f aca="false">IF(AND($H46&lt;&gt;"",N($N46)&gt;0),COUNTIFS($H$6:$H46,"&lt;&gt;",$N$6:$N46,"&gt;0"),"")</f>
        <v/>
      </c>
      <c r="AA46" s="16" t="str">
        <f aca="false">IF(AND($H46&lt;&gt;"",N($N46)=0),COUNTIFS($H$6:$H46,"&lt;&gt;",$N$6:$N46,"&lt;=0"),"")</f>
        <v/>
      </c>
      <c r="AB46" s="16" t="str">
        <f aca="false">IF($C46="","",IF(COUNTIF($C$6:$C46,$C46)&gt;1,"",MAX($AB$5:AB45)+1))</f>
        <v/>
      </c>
      <c r="AC46" s="16" t="str">
        <f aca="false">IF($H46="","",IF(COUNTIF($H$6:$H46,$H46)&gt;1,"",MAX($AC$5:AC45)+1))</f>
        <v/>
      </c>
    </row>
    <row r="47" customFormat="false" ht="15" hidden="false" customHeight="false" outlineLevel="0" collapsed="false">
      <c r="A47" s="16" t="str">
        <f aca="false">IF($C47="","",COUNTA($C$6:$C47))</f>
        <v/>
      </c>
      <c r="B47" s="17"/>
      <c r="C47" s="8"/>
      <c r="D47" s="8"/>
      <c r="E47" s="8"/>
      <c r="F47" s="8"/>
      <c r="G47" s="8"/>
      <c r="H47" s="8"/>
      <c r="I47" s="9"/>
      <c r="J47" s="10" t="str">
        <f aca="false">IF($H47="","",IFERROR(VLOOKUP($H47,'BẢNG GIÁ GỐC'!$A$5:$D$204,3,FALSE()),""))</f>
        <v/>
      </c>
      <c r="K47" s="9"/>
      <c r="L47" s="10" t="str">
        <f aca="false">IF($C47="","",N($I47)*N($K47))</f>
        <v/>
      </c>
      <c r="M47" s="8"/>
      <c r="N47" s="11" t="str">
        <f aca="false">IF($C47="","",IF($M47="VAT 5%",0.05,IF($M47="VAT 8%",0.08,IF($M47="VAT 10%",0.1,0))))</f>
        <v/>
      </c>
      <c r="O47" s="10" t="str">
        <f aca="false">IF($C47="","",$L47*$N47)</f>
        <v/>
      </c>
      <c r="P47" s="10" t="str">
        <f aca="false">IF($C47="","",$L47+$O47)</f>
        <v/>
      </c>
      <c r="Q47" s="9"/>
      <c r="R47" s="10" t="str">
        <f aca="false">IF($C47="","",MAX(0,$P47-N($Q47)))</f>
        <v/>
      </c>
      <c r="S47" s="19" t="str">
        <f aca="false">IF(OR($C47="",$P47=0),"",IF(N($Q47)&lt;=0,"Chưa thanh toán",IF(N($Q47)&lt;$P47,"Thanh toán một phần","Đã thanh toán")))</f>
        <v/>
      </c>
      <c r="T47" s="10" t="str">
        <f aca="false">IF(OR($C47="",$J47=""),"",N($I47)*$J47)</f>
        <v/>
      </c>
      <c r="U47" s="10" t="str">
        <f aca="false">IF(OR($C47="",$T47=""),"",$L47-$T47)</f>
        <v/>
      </c>
      <c r="V47" s="11" t="str">
        <f aca="false">IF(OR($U47="",$L47=0),"",$U47/$L47)</f>
        <v/>
      </c>
      <c r="W47" s="8"/>
      <c r="X47" s="19" t="str">
        <f aca="false">IF($C47="","",IF(AND($H47="",N($I47)=0,N($K47)=0),"Dòng chỉ lưu thông tin khách (chưa có đơn); ",IF($B47="","Thiếu ngày đặt; ","")&amp;IF($H47="","Thiếu tên sản phẩm; ",IF($J47="","Sản phẩm chưa có trong BẢNG GIÁ GỐC; ",""))&amp;IF(N($I47)&lt;=0,"Thiếu số lượng; ","")&amp;IF(N($K47)&lt;=0,"Thiếu giá bán; ","")&amp;IF(AND($N47&gt;0,$F47=""),"Khách lấy VAT thiếu mã số thuế; ","")&amp;IF(N($Q47)&gt;$P47,"Đã thu vượt tổng phải thu; ","")&amp;IF(AND($L47&gt;0,$U47&lt;0),"CẢNH BÁO: ĐƠN NÀY ĐANG LỖ; ","")))</f>
        <v/>
      </c>
      <c r="Y47" s="16" t="str">
        <f aca="false">IF(AND($C47&lt;&gt;"",$R47&gt;0),COUNTIFS($C$6:$C47,"&lt;&gt;",$R$6:$R47,"&gt;0"),"")</f>
        <v/>
      </c>
      <c r="Z47" s="16" t="str">
        <f aca="false">IF(AND($H47&lt;&gt;"",N($N47)&gt;0),COUNTIFS($H$6:$H47,"&lt;&gt;",$N$6:$N47,"&gt;0"),"")</f>
        <v/>
      </c>
      <c r="AA47" s="16" t="str">
        <f aca="false">IF(AND($H47&lt;&gt;"",N($N47)=0),COUNTIFS($H$6:$H47,"&lt;&gt;",$N$6:$N47,"&lt;=0"),"")</f>
        <v/>
      </c>
      <c r="AB47" s="16" t="str">
        <f aca="false">IF($C47="","",IF(COUNTIF($C$6:$C47,$C47)&gt;1,"",MAX($AB$5:AB46)+1))</f>
        <v/>
      </c>
      <c r="AC47" s="16" t="str">
        <f aca="false">IF($H47="","",IF(COUNTIF($H$6:$H47,$H47)&gt;1,"",MAX($AC$5:AC46)+1))</f>
        <v/>
      </c>
    </row>
    <row r="48" customFormat="false" ht="15" hidden="false" customHeight="false" outlineLevel="0" collapsed="false">
      <c r="A48" s="16" t="str">
        <f aca="false">IF($C48="","",COUNTA($C$6:$C48))</f>
        <v/>
      </c>
      <c r="B48" s="17"/>
      <c r="C48" s="8"/>
      <c r="D48" s="8"/>
      <c r="E48" s="8"/>
      <c r="F48" s="8"/>
      <c r="G48" s="8"/>
      <c r="H48" s="8"/>
      <c r="I48" s="9"/>
      <c r="J48" s="10" t="str">
        <f aca="false">IF($H48="","",IFERROR(VLOOKUP($H48,'BẢNG GIÁ GỐC'!$A$5:$D$204,3,FALSE()),""))</f>
        <v/>
      </c>
      <c r="K48" s="9"/>
      <c r="L48" s="10" t="str">
        <f aca="false">IF($C48="","",N($I48)*N($K48))</f>
        <v/>
      </c>
      <c r="M48" s="8"/>
      <c r="N48" s="11" t="str">
        <f aca="false">IF($C48="","",IF($M48="VAT 5%",0.05,IF($M48="VAT 8%",0.08,IF($M48="VAT 10%",0.1,0))))</f>
        <v/>
      </c>
      <c r="O48" s="10" t="str">
        <f aca="false">IF($C48="","",$L48*$N48)</f>
        <v/>
      </c>
      <c r="P48" s="10" t="str">
        <f aca="false">IF($C48="","",$L48+$O48)</f>
        <v/>
      </c>
      <c r="Q48" s="9"/>
      <c r="R48" s="10" t="str">
        <f aca="false">IF($C48="","",MAX(0,$P48-N($Q48)))</f>
        <v/>
      </c>
      <c r="S48" s="19" t="str">
        <f aca="false">IF(OR($C48="",$P48=0),"",IF(N($Q48)&lt;=0,"Chưa thanh toán",IF(N($Q48)&lt;$P48,"Thanh toán một phần","Đã thanh toán")))</f>
        <v/>
      </c>
      <c r="T48" s="10" t="str">
        <f aca="false">IF(OR($C48="",$J48=""),"",N($I48)*$J48)</f>
        <v/>
      </c>
      <c r="U48" s="10" t="str">
        <f aca="false">IF(OR($C48="",$T48=""),"",$L48-$T48)</f>
        <v/>
      </c>
      <c r="V48" s="11" t="str">
        <f aca="false">IF(OR($U48="",$L48=0),"",$U48/$L48)</f>
        <v/>
      </c>
      <c r="W48" s="8"/>
      <c r="X48" s="19" t="str">
        <f aca="false">IF($C48="","",IF(AND($H48="",N($I48)=0,N($K48)=0),"Dòng chỉ lưu thông tin khách (chưa có đơn); ",IF($B48="","Thiếu ngày đặt; ","")&amp;IF($H48="","Thiếu tên sản phẩm; ",IF($J48="","Sản phẩm chưa có trong BẢNG GIÁ GỐC; ",""))&amp;IF(N($I48)&lt;=0,"Thiếu số lượng; ","")&amp;IF(N($K48)&lt;=0,"Thiếu giá bán; ","")&amp;IF(AND($N48&gt;0,$F48=""),"Khách lấy VAT thiếu mã số thuế; ","")&amp;IF(N($Q48)&gt;$P48,"Đã thu vượt tổng phải thu; ","")&amp;IF(AND($L48&gt;0,$U48&lt;0),"CẢNH BÁO: ĐƠN NÀY ĐANG LỖ; ","")))</f>
        <v/>
      </c>
      <c r="Y48" s="16" t="str">
        <f aca="false">IF(AND($C48&lt;&gt;"",$R48&gt;0),COUNTIFS($C$6:$C48,"&lt;&gt;",$R$6:$R48,"&gt;0"),"")</f>
        <v/>
      </c>
      <c r="Z48" s="16" t="str">
        <f aca="false">IF(AND($H48&lt;&gt;"",N($N48)&gt;0),COUNTIFS($H$6:$H48,"&lt;&gt;",$N$6:$N48,"&gt;0"),"")</f>
        <v/>
      </c>
      <c r="AA48" s="16" t="str">
        <f aca="false">IF(AND($H48&lt;&gt;"",N($N48)=0),COUNTIFS($H$6:$H48,"&lt;&gt;",$N$6:$N48,"&lt;=0"),"")</f>
        <v/>
      </c>
      <c r="AB48" s="16" t="str">
        <f aca="false">IF($C48="","",IF(COUNTIF($C$6:$C48,$C48)&gt;1,"",MAX($AB$5:AB47)+1))</f>
        <v/>
      </c>
      <c r="AC48" s="16" t="str">
        <f aca="false">IF($H48="","",IF(COUNTIF($H$6:$H48,$H48)&gt;1,"",MAX($AC$5:AC47)+1))</f>
        <v/>
      </c>
    </row>
    <row r="49" customFormat="false" ht="15" hidden="false" customHeight="false" outlineLevel="0" collapsed="false">
      <c r="A49" s="16" t="str">
        <f aca="false">IF($C49="","",COUNTA($C$6:$C49))</f>
        <v/>
      </c>
      <c r="B49" s="17"/>
      <c r="C49" s="8"/>
      <c r="D49" s="8"/>
      <c r="E49" s="8"/>
      <c r="F49" s="8"/>
      <c r="G49" s="8"/>
      <c r="H49" s="8"/>
      <c r="I49" s="9"/>
      <c r="J49" s="10" t="str">
        <f aca="false">IF($H49="","",IFERROR(VLOOKUP($H49,'BẢNG GIÁ GỐC'!$A$5:$D$204,3,FALSE()),""))</f>
        <v/>
      </c>
      <c r="K49" s="9"/>
      <c r="L49" s="10" t="str">
        <f aca="false">IF($C49="","",N($I49)*N($K49))</f>
        <v/>
      </c>
      <c r="M49" s="8"/>
      <c r="N49" s="11" t="str">
        <f aca="false">IF($C49="","",IF($M49="VAT 5%",0.05,IF($M49="VAT 8%",0.08,IF($M49="VAT 10%",0.1,0))))</f>
        <v/>
      </c>
      <c r="O49" s="10" t="str">
        <f aca="false">IF($C49="","",$L49*$N49)</f>
        <v/>
      </c>
      <c r="P49" s="10" t="str">
        <f aca="false">IF($C49="","",$L49+$O49)</f>
        <v/>
      </c>
      <c r="Q49" s="9"/>
      <c r="R49" s="10" t="str">
        <f aca="false">IF($C49="","",MAX(0,$P49-N($Q49)))</f>
        <v/>
      </c>
      <c r="S49" s="19" t="str">
        <f aca="false">IF(OR($C49="",$P49=0),"",IF(N($Q49)&lt;=0,"Chưa thanh toán",IF(N($Q49)&lt;$P49,"Thanh toán một phần","Đã thanh toán")))</f>
        <v/>
      </c>
      <c r="T49" s="10" t="str">
        <f aca="false">IF(OR($C49="",$J49=""),"",N($I49)*$J49)</f>
        <v/>
      </c>
      <c r="U49" s="10" t="str">
        <f aca="false">IF(OR($C49="",$T49=""),"",$L49-$T49)</f>
        <v/>
      </c>
      <c r="V49" s="11" t="str">
        <f aca="false">IF(OR($U49="",$L49=0),"",$U49/$L49)</f>
        <v/>
      </c>
      <c r="W49" s="8"/>
      <c r="X49" s="19" t="str">
        <f aca="false">IF($C49="","",IF(AND($H49="",N($I49)=0,N($K49)=0),"Dòng chỉ lưu thông tin khách (chưa có đơn); ",IF($B49="","Thiếu ngày đặt; ","")&amp;IF($H49="","Thiếu tên sản phẩm; ",IF($J49="","Sản phẩm chưa có trong BẢNG GIÁ GỐC; ",""))&amp;IF(N($I49)&lt;=0,"Thiếu số lượng; ","")&amp;IF(N($K49)&lt;=0,"Thiếu giá bán; ","")&amp;IF(AND($N49&gt;0,$F49=""),"Khách lấy VAT thiếu mã số thuế; ","")&amp;IF(N($Q49)&gt;$P49,"Đã thu vượt tổng phải thu; ","")&amp;IF(AND($L49&gt;0,$U49&lt;0),"CẢNH BÁO: ĐƠN NÀY ĐANG LỖ; ","")))</f>
        <v/>
      </c>
      <c r="Y49" s="16" t="str">
        <f aca="false">IF(AND($C49&lt;&gt;"",$R49&gt;0),COUNTIFS($C$6:$C49,"&lt;&gt;",$R$6:$R49,"&gt;0"),"")</f>
        <v/>
      </c>
      <c r="Z49" s="16" t="str">
        <f aca="false">IF(AND($H49&lt;&gt;"",N($N49)&gt;0),COUNTIFS($H$6:$H49,"&lt;&gt;",$N$6:$N49,"&gt;0"),"")</f>
        <v/>
      </c>
      <c r="AA49" s="16" t="str">
        <f aca="false">IF(AND($H49&lt;&gt;"",N($N49)=0),COUNTIFS($H$6:$H49,"&lt;&gt;",$N$6:$N49,"&lt;=0"),"")</f>
        <v/>
      </c>
      <c r="AB49" s="16" t="str">
        <f aca="false">IF($C49="","",IF(COUNTIF($C$6:$C49,$C49)&gt;1,"",MAX($AB$5:AB48)+1))</f>
        <v/>
      </c>
      <c r="AC49" s="16" t="str">
        <f aca="false">IF($H49="","",IF(COUNTIF($H$6:$H49,$H49)&gt;1,"",MAX($AC$5:AC48)+1))</f>
        <v/>
      </c>
    </row>
    <row r="50" customFormat="false" ht="15" hidden="false" customHeight="false" outlineLevel="0" collapsed="false">
      <c r="A50" s="16" t="str">
        <f aca="false">IF($C50="","",COUNTA($C$6:$C50))</f>
        <v/>
      </c>
      <c r="B50" s="17"/>
      <c r="C50" s="8"/>
      <c r="D50" s="8"/>
      <c r="E50" s="8"/>
      <c r="F50" s="8"/>
      <c r="G50" s="8"/>
      <c r="H50" s="8"/>
      <c r="I50" s="9"/>
      <c r="J50" s="10" t="str">
        <f aca="false">IF($H50="","",IFERROR(VLOOKUP($H50,'BẢNG GIÁ GỐC'!$A$5:$D$204,3,FALSE()),""))</f>
        <v/>
      </c>
      <c r="K50" s="9"/>
      <c r="L50" s="10" t="str">
        <f aca="false">IF($C50="","",N($I50)*N($K50))</f>
        <v/>
      </c>
      <c r="M50" s="8"/>
      <c r="N50" s="11" t="str">
        <f aca="false">IF($C50="","",IF($M50="VAT 5%",0.05,IF($M50="VAT 8%",0.08,IF($M50="VAT 10%",0.1,0))))</f>
        <v/>
      </c>
      <c r="O50" s="10" t="str">
        <f aca="false">IF($C50="","",$L50*$N50)</f>
        <v/>
      </c>
      <c r="P50" s="10" t="str">
        <f aca="false">IF($C50="","",$L50+$O50)</f>
        <v/>
      </c>
      <c r="Q50" s="9"/>
      <c r="R50" s="10" t="str">
        <f aca="false">IF($C50="","",MAX(0,$P50-N($Q50)))</f>
        <v/>
      </c>
      <c r="S50" s="19" t="str">
        <f aca="false">IF(OR($C50="",$P50=0),"",IF(N($Q50)&lt;=0,"Chưa thanh toán",IF(N($Q50)&lt;$P50,"Thanh toán một phần","Đã thanh toán")))</f>
        <v/>
      </c>
      <c r="T50" s="10" t="str">
        <f aca="false">IF(OR($C50="",$J50=""),"",N($I50)*$J50)</f>
        <v/>
      </c>
      <c r="U50" s="10" t="str">
        <f aca="false">IF(OR($C50="",$T50=""),"",$L50-$T50)</f>
        <v/>
      </c>
      <c r="V50" s="11" t="str">
        <f aca="false">IF(OR($U50="",$L50=0),"",$U50/$L50)</f>
        <v/>
      </c>
      <c r="W50" s="8"/>
      <c r="X50" s="19" t="str">
        <f aca="false">IF($C50="","",IF(AND($H50="",N($I50)=0,N($K50)=0),"Dòng chỉ lưu thông tin khách (chưa có đơn); ",IF($B50="","Thiếu ngày đặt; ","")&amp;IF($H50="","Thiếu tên sản phẩm; ",IF($J50="","Sản phẩm chưa có trong BẢNG GIÁ GỐC; ",""))&amp;IF(N($I50)&lt;=0,"Thiếu số lượng; ","")&amp;IF(N($K50)&lt;=0,"Thiếu giá bán; ","")&amp;IF(AND($N50&gt;0,$F50=""),"Khách lấy VAT thiếu mã số thuế; ","")&amp;IF(N($Q50)&gt;$P50,"Đã thu vượt tổng phải thu; ","")&amp;IF(AND($L50&gt;0,$U50&lt;0),"CẢNH BÁO: ĐƠN NÀY ĐANG LỖ; ","")))</f>
        <v/>
      </c>
      <c r="Y50" s="16" t="str">
        <f aca="false">IF(AND($C50&lt;&gt;"",$R50&gt;0),COUNTIFS($C$6:$C50,"&lt;&gt;",$R$6:$R50,"&gt;0"),"")</f>
        <v/>
      </c>
      <c r="Z50" s="16" t="str">
        <f aca="false">IF(AND($H50&lt;&gt;"",N($N50)&gt;0),COUNTIFS($H$6:$H50,"&lt;&gt;",$N$6:$N50,"&gt;0"),"")</f>
        <v/>
      </c>
      <c r="AA50" s="16" t="str">
        <f aca="false">IF(AND($H50&lt;&gt;"",N($N50)=0),COUNTIFS($H$6:$H50,"&lt;&gt;",$N$6:$N50,"&lt;=0"),"")</f>
        <v/>
      </c>
      <c r="AB50" s="16" t="str">
        <f aca="false">IF($C50="","",IF(COUNTIF($C$6:$C50,$C50)&gt;1,"",MAX($AB$5:AB49)+1))</f>
        <v/>
      </c>
      <c r="AC50" s="16" t="str">
        <f aca="false">IF($H50="","",IF(COUNTIF($H$6:$H50,$H50)&gt;1,"",MAX($AC$5:AC49)+1))</f>
        <v/>
      </c>
    </row>
    <row r="51" customFormat="false" ht="15" hidden="false" customHeight="false" outlineLevel="0" collapsed="false">
      <c r="A51" s="16" t="str">
        <f aca="false">IF($C51="","",COUNTA($C$6:$C51))</f>
        <v/>
      </c>
      <c r="B51" s="17"/>
      <c r="C51" s="8"/>
      <c r="D51" s="8"/>
      <c r="E51" s="8"/>
      <c r="F51" s="8"/>
      <c r="G51" s="8"/>
      <c r="H51" s="8"/>
      <c r="I51" s="9"/>
      <c r="J51" s="10" t="str">
        <f aca="false">IF($H51="","",IFERROR(VLOOKUP($H51,'BẢNG GIÁ GỐC'!$A$5:$D$204,3,FALSE()),""))</f>
        <v/>
      </c>
      <c r="K51" s="9"/>
      <c r="L51" s="10" t="str">
        <f aca="false">IF($C51="","",N($I51)*N($K51))</f>
        <v/>
      </c>
      <c r="M51" s="8"/>
      <c r="N51" s="11" t="str">
        <f aca="false">IF($C51="","",IF($M51="VAT 5%",0.05,IF($M51="VAT 8%",0.08,IF($M51="VAT 10%",0.1,0))))</f>
        <v/>
      </c>
      <c r="O51" s="10" t="str">
        <f aca="false">IF($C51="","",$L51*$N51)</f>
        <v/>
      </c>
      <c r="P51" s="10" t="str">
        <f aca="false">IF($C51="","",$L51+$O51)</f>
        <v/>
      </c>
      <c r="Q51" s="9"/>
      <c r="R51" s="10" t="str">
        <f aca="false">IF($C51="","",MAX(0,$P51-N($Q51)))</f>
        <v/>
      </c>
      <c r="S51" s="19" t="str">
        <f aca="false">IF(OR($C51="",$P51=0),"",IF(N($Q51)&lt;=0,"Chưa thanh toán",IF(N($Q51)&lt;$P51,"Thanh toán một phần","Đã thanh toán")))</f>
        <v/>
      </c>
      <c r="T51" s="10" t="str">
        <f aca="false">IF(OR($C51="",$J51=""),"",N($I51)*$J51)</f>
        <v/>
      </c>
      <c r="U51" s="10" t="str">
        <f aca="false">IF(OR($C51="",$T51=""),"",$L51-$T51)</f>
        <v/>
      </c>
      <c r="V51" s="11" t="str">
        <f aca="false">IF(OR($U51="",$L51=0),"",$U51/$L51)</f>
        <v/>
      </c>
      <c r="W51" s="8"/>
      <c r="X51" s="19" t="str">
        <f aca="false">IF($C51="","",IF(AND($H51="",N($I51)=0,N($K51)=0),"Dòng chỉ lưu thông tin khách (chưa có đơn); ",IF($B51="","Thiếu ngày đặt; ","")&amp;IF($H51="","Thiếu tên sản phẩm; ",IF($J51="","Sản phẩm chưa có trong BẢNG GIÁ GỐC; ",""))&amp;IF(N($I51)&lt;=0,"Thiếu số lượng; ","")&amp;IF(N($K51)&lt;=0,"Thiếu giá bán; ","")&amp;IF(AND($N51&gt;0,$F51=""),"Khách lấy VAT thiếu mã số thuế; ","")&amp;IF(N($Q51)&gt;$P51,"Đã thu vượt tổng phải thu; ","")&amp;IF(AND($L51&gt;0,$U51&lt;0),"CẢNH BÁO: ĐƠN NÀY ĐANG LỖ; ","")))</f>
        <v/>
      </c>
      <c r="Y51" s="16" t="str">
        <f aca="false">IF(AND($C51&lt;&gt;"",$R51&gt;0),COUNTIFS($C$6:$C51,"&lt;&gt;",$R$6:$R51,"&gt;0"),"")</f>
        <v/>
      </c>
      <c r="Z51" s="16" t="str">
        <f aca="false">IF(AND($H51&lt;&gt;"",N($N51)&gt;0),COUNTIFS($H$6:$H51,"&lt;&gt;",$N$6:$N51,"&gt;0"),"")</f>
        <v/>
      </c>
      <c r="AA51" s="16" t="str">
        <f aca="false">IF(AND($H51&lt;&gt;"",N($N51)=0),COUNTIFS($H$6:$H51,"&lt;&gt;",$N$6:$N51,"&lt;=0"),"")</f>
        <v/>
      </c>
      <c r="AB51" s="16" t="str">
        <f aca="false">IF($C51="","",IF(COUNTIF($C$6:$C51,$C51)&gt;1,"",MAX($AB$5:AB50)+1))</f>
        <v/>
      </c>
      <c r="AC51" s="16" t="str">
        <f aca="false">IF($H51="","",IF(COUNTIF($H$6:$H51,$H51)&gt;1,"",MAX($AC$5:AC50)+1))</f>
        <v/>
      </c>
    </row>
    <row r="52" customFormat="false" ht="15" hidden="false" customHeight="false" outlineLevel="0" collapsed="false">
      <c r="A52" s="16" t="str">
        <f aca="false">IF($C52="","",COUNTA($C$6:$C52))</f>
        <v/>
      </c>
      <c r="B52" s="17"/>
      <c r="C52" s="8"/>
      <c r="D52" s="8"/>
      <c r="E52" s="8"/>
      <c r="F52" s="8"/>
      <c r="G52" s="8"/>
      <c r="H52" s="8"/>
      <c r="I52" s="9"/>
      <c r="J52" s="10" t="str">
        <f aca="false">IF($H52="","",IFERROR(VLOOKUP($H52,'BẢNG GIÁ GỐC'!$A$5:$D$204,3,FALSE()),""))</f>
        <v/>
      </c>
      <c r="K52" s="9"/>
      <c r="L52" s="10" t="str">
        <f aca="false">IF($C52="","",N($I52)*N($K52))</f>
        <v/>
      </c>
      <c r="M52" s="8"/>
      <c r="N52" s="11" t="str">
        <f aca="false">IF($C52="","",IF($M52="VAT 5%",0.05,IF($M52="VAT 8%",0.08,IF($M52="VAT 10%",0.1,0))))</f>
        <v/>
      </c>
      <c r="O52" s="10" t="str">
        <f aca="false">IF($C52="","",$L52*$N52)</f>
        <v/>
      </c>
      <c r="P52" s="10" t="str">
        <f aca="false">IF($C52="","",$L52+$O52)</f>
        <v/>
      </c>
      <c r="Q52" s="9"/>
      <c r="R52" s="10" t="str">
        <f aca="false">IF($C52="","",MAX(0,$P52-N($Q52)))</f>
        <v/>
      </c>
      <c r="S52" s="19" t="str">
        <f aca="false">IF(OR($C52="",$P52=0),"",IF(N($Q52)&lt;=0,"Chưa thanh toán",IF(N($Q52)&lt;$P52,"Thanh toán một phần","Đã thanh toán")))</f>
        <v/>
      </c>
      <c r="T52" s="10" t="str">
        <f aca="false">IF(OR($C52="",$J52=""),"",N($I52)*$J52)</f>
        <v/>
      </c>
      <c r="U52" s="10" t="str">
        <f aca="false">IF(OR($C52="",$T52=""),"",$L52-$T52)</f>
        <v/>
      </c>
      <c r="V52" s="11" t="str">
        <f aca="false">IF(OR($U52="",$L52=0),"",$U52/$L52)</f>
        <v/>
      </c>
      <c r="W52" s="8"/>
      <c r="X52" s="19" t="str">
        <f aca="false">IF($C52="","",IF(AND($H52="",N($I52)=0,N($K52)=0),"Dòng chỉ lưu thông tin khách (chưa có đơn); ",IF($B52="","Thiếu ngày đặt; ","")&amp;IF($H52="","Thiếu tên sản phẩm; ",IF($J52="","Sản phẩm chưa có trong BẢNG GIÁ GỐC; ",""))&amp;IF(N($I52)&lt;=0,"Thiếu số lượng; ","")&amp;IF(N($K52)&lt;=0,"Thiếu giá bán; ","")&amp;IF(AND($N52&gt;0,$F52=""),"Khách lấy VAT thiếu mã số thuế; ","")&amp;IF(N($Q52)&gt;$P52,"Đã thu vượt tổng phải thu; ","")&amp;IF(AND($L52&gt;0,$U52&lt;0),"CẢNH BÁO: ĐƠN NÀY ĐANG LỖ; ","")))</f>
        <v/>
      </c>
      <c r="Y52" s="16" t="str">
        <f aca="false">IF(AND($C52&lt;&gt;"",$R52&gt;0),COUNTIFS($C$6:$C52,"&lt;&gt;",$R$6:$R52,"&gt;0"),"")</f>
        <v/>
      </c>
      <c r="Z52" s="16" t="str">
        <f aca="false">IF(AND($H52&lt;&gt;"",N($N52)&gt;0),COUNTIFS($H$6:$H52,"&lt;&gt;",$N$6:$N52,"&gt;0"),"")</f>
        <v/>
      </c>
      <c r="AA52" s="16" t="str">
        <f aca="false">IF(AND($H52&lt;&gt;"",N($N52)=0),COUNTIFS($H$6:$H52,"&lt;&gt;",$N$6:$N52,"&lt;=0"),"")</f>
        <v/>
      </c>
      <c r="AB52" s="16" t="str">
        <f aca="false">IF($C52="","",IF(COUNTIF($C$6:$C52,$C52)&gt;1,"",MAX($AB$5:AB51)+1))</f>
        <v/>
      </c>
      <c r="AC52" s="16" t="str">
        <f aca="false">IF($H52="","",IF(COUNTIF($H$6:$H52,$H52)&gt;1,"",MAX($AC$5:AC51)+1))</f>
        <v/>
      </c>
    </row>
    <row r="53" customFormat="false" ht="15" hidden="false" customHeight="false" outlineLevel="0" collapsed="false">
      <c r="A53" s="16" t="str">
        <f aca="false">IF($C53="","",COUNTA($C$6:$C53))</f>
        <v/>
      </c>
      <c r="B53" s="17"/>
      <c r="C53" s="8"/>
      <c r="D53" s="8"/>
      <c r="E53" s="8"/>
      <c r="F53" s="8"/>
      <c r="G53" s="8"/>
      <c r="H53" s="8"/>
      <c r="I53" s="9"/>
      <c r="J53" s="10" t="str">
        <f aca="false">IF($H53="","",IFERROR(VLOOKUP($H53,'BẢNG GIÁ GỐC'!$A$5:$D$204,3,FALSE()),""))</f>
        <v/>
      </c>
      <c r="K53" s="9"/>
      <c r="L53" s="10" t="str">
        <f aca="false">IF($C53="","",N($I53)*N($K53))</f>
        <v/>
      </c>
      <c r="M53" s="8"/>
      <c r="N53" s="11" t="str">
        <f aca="false">IF($C53="","",IF($M53="VAT 5%",0.05,IF($M53="VAT 8%",0.08,IF($M53="VAT 10%",0.1,0))))</f>
        <v/>
      </c>
      <c r="O53" s="10" t="str">
        <f aca="false">IF($C53="","",$L53*$N53)</f>
        <v/>
      </c>
      <c r="P53" s="10" t="str">
        <f aca="false">IF($C53="","",$L53+$O53)</f>
        <v/>
      </c>
      <c r="Q53" s="9"/>
      <c r="R53" s="10" t="str">
        <f aca="false">IF($C53="","",MAX(0,$P53-N($Q53)))</f>
        <v/>
      </c>
      <c r="S53" s="19" t="str">
        <f aca="false">IF(OR($C53="",$P53=0),"",IF(N($Q53)&lt;=0,"Chưa thanh toán",IF(N($Q53)&lt;$P53,"Thanh toán một phần","Đã thanh toán")))</f>
        <v/>
      </c>
      <c r="T53" s="10" t="str">
        <f aca="false">IF(OR($C53="",$J53=""),"",N($I53)*$J53)</f>
        <v/>
      </c>
      <c r="U53" s="10" t="str">
        <f aca="false">IF(OR($C53="",$T53=""),"",$L53-$T53)</f>
        <v/>
      </c>
      <c r="V53" s="11" t="str">
        <f aca="false">IF(OR($U53="",$L53=0),"",$U53/$L53)</f>
        <v/>
      </c>
      <c r="W53" s="8"/>
      <c r="X53" s="19" t="str">
        <f aca="false">IF($C53="","",IF(AND($H53="",N($I53)=0,N($K53)=0),"Dòng chỉ lưu thông tin khách (chưa có đơn); ",IF($B53="","Thiếu ngày đặt; ","")&amp;IF($H53="","Thiếu tên sản phẩm; ",IF($J53="","Sản phẩm chưa có trong BẢNG GIÁ GỐC; ",""))&amp;IF(N($I53)&lt;=0,"Thiếu số lượng; ","")&amp;IF(N($K53)&lt;=0,"Thiếu giá bán; ","")&amp;IF(AND($N53&gt;0,$F53=""),"Khách lấy VAT thiếu mã số thuế; ","")&amp;IF(N($Q53)&gt;$P53,"Đã thu vượt tổng phải thu; ","")&amp;IF(AND($L53&gt;0,$U53&lt;0),"CẢNH BÁO: ĐƠN NÀY ĐANG LỖ; ","")))</f>
        <v/>
      </c>
      <c r="Y53" s="16" t="str">
        <f aca="false">IF(AND($C53&lt;&gt;"",$R53&gt;0),COUNTIFS($C$6:$C53,"&lt;&gt;",$R$6:$R53,"&gt;0"),"")</f>
        <v/>
      </c>
      <c r="Z53" s="16" t="str">
        <f aca="false">IF(AND($H53&lt;&gt;"",N($N53)&gt;0),COUNTIFS($H$6:$H53,"&lt;&gt;",$N$6:$N53,"&gt;0"),"")</f>
        <v/>
      </c>
      <c r="AA53" s="16" t="str">
        <f aca="false">IF(AND($H53&lt;&gt;"",N($N53)=0),COUNTIFS($H$6:$H53,"&lt;&gt;",$N$6:$N53,"&lt;=0"),"")</f>
        <v/>
      </c>
      <c r="AB53" s="16" t="str">
        <f aca="false">IF($C53="","",IF(COUNTIF($C$6:$C53,$C53)&gt;1,"",MAX($AB$5:AB52)+1))</f>
        <v/>
      </c>
      <c r="AC53" s="16" t="str">
        <f aca="false">IF($H53="","",IF(COUNTIF($H$6:$H53,$H53)&gt;1,"",MAX($AC$5:AC52)+1))</f>
        <v/>
      </c>
    </row>
    <row r="54" customFormat="false" ht="15" hidden="false" customHeight="false" outlineLevel="0" collapsed="false">
      <c r="A54" s="16" t="str">
        <f aca="false">IF($C54="","",COUNTA($C$6:$C54))</f>
        <v/>
      </c>
      <c r="B54" s="17"/>
      <c r="C54" s="8"/>
      <c r="D54" s="8"/>
      <c r="E54" s="8"/>
      <c r="F54" s="8"/>
      <c r="G54" s="8"/>
      <c r="H54" s="8"/>
      <c r="I54" s="9"/>
      <c r="J54" s="10" t="str">
        <f aca="false">IF($H54="","",IFERROR(VLOOKUP($H54,'BẢNG GIÁ GỐC'!$A$5:$D$204,3,FALSE()),""))</f>
        <v/>
      </c>
      <c r="K54" s="9"/>
      <c r="L54" s="10" t="str">
        <f aca="false">IF($C54="","",N($I54)*N($K54))</f>
        <v/>
      </c>
      <c r="M54" s="8"/>
      <c r="N54" s="11" t="str">
        <f aca="false">IF($C54="","",IF($M54="VAT 5%",0.05,IF($M54="VAT 8%",0.08,IF($M54="VAT 10%",0.1,0))))</f>
        <v/>
      </c>
      <c r="O54" s="10" t="str">
        <f aca="false">IF($C54="","",$L54*$N54)</f>
        <v/>
      </c>
      <c r="P54" s="10" t="str">
        <f aca="false">IF($C54="","",$L54+$O54)</f>
        <v/>
      </c>
      <c r="Q54" s="9"/>
      <c r="R54" s="10" t="str">
        <f aca="false">IF($C54="","",MAX(0,$P54-N($Q54)))</f>
        <v/>
      </c>
      <c r="S54" s="19" t="str">
        <f aca="false">IF(OR($C54="",$P54=0),"",IF(N($Q54)&lt;=0,"Chưa thanh toán",IF(N($Q54)&lt;$P54,"Thanh toán một phần","Đã thanh toán")))</f>
        <v/>
      </c>
      <c r="T54" s="10" t="str">
        <f aca="false">IF(OR($C54="",$J54=""),"",N($I54)*$J54)</f>
        <v/>
      </c>
      <c r="U54" s="10" t="str">
        <f aca="false">IF(OR($C54="",$T54=""),"",$L54-$T54)</f>
        <v/>
      </c>
      <c r="V54" s="11" t="str">
        <f aca="false">IF(OR($U54="",$L54=0),"",$U54/$L54)</f>
        <v/>
      </c>
      <c r="W54" s="8"/>
      <c r="X54" s="19" t="str">
        <f aca="false">IF($C54="","",IF(AND($H54="",N($I54)=0,N($K54)=0),"Dòng chỉ lưu thông tin khách (chưa có đơn); ",IF($B54="","Thiếu ngày đặt; ","")&amp;IF($H54="","Thiếu tên sản phẩm; ",IF($J54="","Sản phẩm chưa có trong BẢNG GIÁ GỐC; ",""))&amp;IF(N($I54)&lt;=0,"Thiếu số lượng; ","")&amp;IF(N($K54)&lt;=0,"Thiếu giá bán; ","")&amp;IF(AND($N54&gt;0,$F54=""),"Khách lấy VAT thiếu mã số thuế; ","")&amp;IF(N($Q54)&gt;$P54,"Đã thu vượt tổng phải thu; ","")&amp;IF(AND($L54&gt;0,$U54&lt;0),"CẢNH BÁO: ĐƠN NÀY ĐANG LỖ; ","")))</f>
        <v/>
      </c>
      <c r="Y54" s="16" t="str">
        <f aca="false">IF(AND($C54&lt;&gt;"",$R54&gt;0),COUNTIFS($C$6:$C54,"&lt;&gt;",$R$6:$R54,"&gt;0"),"")</f>
        <v/>
      </c>
      <c r="Z54" s="16" t="str">
        <f aca="false">IF(AND($H54&lt;&gt;"",N($N54)&gt;0),COUNTIFS($H$6:$H54,"&lt;&gt;",$N$6:$N54,"&gt;0"),"")</f>
        <v/>
      </c>
      <c r="AA54" s="16" t="str">
        <f aca="false">IF(AND($H54&lt;&gt;"",N($N54)=0),COUNTIFS($H$6:$H54,"&lt;&gt;",$N$6:$N54,"&lt;=0"),"")</f>
        <v/>
      </c>
      <c r="AB54" s="16" t="str">
        <f aca="false">IF($C54="","",IF(COUNTIF($C$6:$C54,$C54)&gt;1,"",MAX($AB$5:AB53)+1))</f>
        <v/>
      </c>
      <c r="AC54" s="16" t="str">
        <f aca="false">IF($H54="","",IF(COUNTIF($H$6:$H54,$H54)&gt;1,"",MAX($AC$5:AC53)+1))</f>
        <v/>
      </c>
    </row>
    <row r="55" customFormat="false" ht="15" hidden="false" customHeight="false" outlineLevel="0" collapsed="false">
      <c r="A55" s="16" t="str">
        <f aca="false">IF($C55="","",COUNTA($C$6:$C55))</f>
        <v/>
      </c>
      <c r="B55" s="17"/>
      <c r="C55" s="8"/>
      <c r="D55" s="8"/>
      <c r="E55" s="8"/>
      <c r="F55" s="8"/>
      <c r="G55" s="8"/>
      <c r="H55" s="8"/>
      <c r="I55" s="9"/>
      <c r="J55" s="10" t="str">
        <f aca="false">IF($H55="","",IFERROR(VLOOKUP($H55,'BẢNG GIÁ GỐC'!$A$5:$D$204,3,FALSE()),""))</f>
        <v/>
      </c>
      <c r="K55" s="9"/>
      <c r="L55" s="10" t="str">
        <f aca="false">IF($C55="","",N($I55)*N($K55))</f>
        <v/>
      </c>
      <c r="M55" s="8"/>
      <c r="N55" s="11" t="str">
        <f aca="false">IF($C55="","",IF($M55="VAT 5%",0.05,IF($M55="VAT 8%",0.08,IF($M55="VAT 10%",0.1,0))))</f>
        <v/>
      </c>
      <c r="O55" s="10" t="str">
        <f aca="false">IF($C55="","",$L55*$N55)</f>
        <v/>
      </c>
      <c r="P55" s="10" t="str">
        <f aca="false">IF($C55="","",$L55+$O55)</f>
        <v/>
      </c>
      <c r="Q55" s="9"/>
      <c r="R55" s="10" t="str">
        <f aca="false">IF($C55="","",MAX(0,$P55-N($Q55)))</f>
        <v/>
      </c>
      <c r="S55" s="19" t="str">
        <f aca="false">IF(OR($C55="",$P55=0),"",IF(N($Q55)&lt;=0,"Chưa thanh toán",IF(N($Q55)&lt;$P55,"Thanh toán một phần","Đã thanh toán")))</f>
        <v/>
      </c>
      <c r="T55" s="10" t="str">
        <f aca="false">IF(OR($C55="",$J55=""),"",N($I55)*$J55)</f>
        <v/>
      </c>
      <c r="U55" s="10" t="str">
        <f aca="false">IF(OR($C55="",$T55=""),"",$L55-$T55)</f>
        <v/>
      </c>
      <c r="V55" s="11" t="str">
        <f aca="false">IF(OR($U55="",$L55=0),"",$U55/$L55)</f>
        <v/>
      </c>
      <c r="W55" s="8"/>
      <c r="X55" s="19" t="str">
        <f aca="false">IF($C55="","",IF(AND($H55="",N($I55)=0,N($K55)=0),"Dòng chỉ lưu thông tin khách (chưa có đơn); ",IF($B55="","Thiếu ngày đặt; ","")&amp;IF($H55="","Thiếu tên sản phẩm; ",IF($J55="","Sản phẩm chưa có trong BẢNG GIÁ GỐC; ",""))&amp;IF(N($I55)&lt;=0,"Thiếu số lượng; ","")&amp;IF(N($K55)&lt;=0,"Thiếu giá bán; ","")&amp;IF(AND($N55&gt;0,$F55=""),"Khách lấy VAT thiếu mã số thuế; ","")&amp;IF(N($Q55)&gt;$P55,"Đã thu vượt tổng phải thu; ","")&amp;IF(AND($L55&gt;0,$U55&lt;0),"CẢNH BÁO: ĐƠN NÀY ĐANG LỖ; ","")))</f>
        <v/>
      </c>
      <c r="Y55" s="16" t="str">
        <f aca="false">IF(AND($C55&lt;&gt;"",$R55&gt;0),COUNTIFS($C$6:$C55,"&lt;&gt;",$R$6:$R55,"&gt;0"),"")</f>
        <v/>
      </c>
      <c r="Z55" s="16" t="str">
        <f aca="false">IF(AND($H55&lt;&gt;"",N($N55)&gt;0),COUNTIFS($H$6:$H55,"&lt;&gt;",$N$6:$N55,"&gt;0"),"")</f>
        <v/>
      </c>
      <c r="AA55" s="16" t="str">
        <f aca="false">IF(AND($H55&lt;&gt;"",N($N55)=0),COUNTIFS($H$6:$H55,"&lt;&gt;",$N$6:$N55,"&lt;=0"),"")</f>
        <v/>
      </c>
      <c r="AB55" s="16" t="str">
        <f aca="false">IF($C55="","",IF(COUNTIF($C$6:$C55,$C55)&gt;1,"",MAX($AB$5:AB54)+1))</f>
        <v/>
      </c>
      <c r="AC55" s="16" t="str">
        <f aca="false">IF($H55="","",IF(COUNTIF($H$6:$H55,$H55)&gt;1,"",MAX($AC$5:AC54)+1))</f>
        <v/>
      </c>
    </row>
    <row r="56" customFormat="false" ht="15" hidden="false" customHeight="false" outlineLevel="0" collapsed="false">
      <c r="A56" s="16" t="str">
        <f aca="false">IF($C56="","",COUNTA($C$6:$C56))</f>
        <v/>
      </c>
      <c r="B56" s="17"/>
      <c r="C56" s="8"/>
      <c r="D56" s="8"/>
      <c r="E56" s="8"/>
      <c r="F56" s="8"/>
      <c r="G56" s="8"/>
      <c r="H56" s="8"/>
      <c r="I56" s="9"/>
      <c r="J56" s="10" t="str">
        <f aca="false">IF($H56="","",IFERROR(VLOOKUP($H56,'BẢNG GIÁ GỐC'!$A$5:$D$204,3,FALSE()),""))</f>
        <v/>
      </c>
      <c r="K56" s="9"/>
      <c r="L56" s="10" t="str">
        <f aca="false">IF($C56="","",N($I56)*N($K56))</f>
        <v/>
      </c>
      <c r="M56" s="8"/>
      <c r="N56" s="11" t="str">
        <f aca="false">IF($C56="","",IF($M56="VAT 5%",0.05,IF($M56="VAT 8%",0.08,IF($M56="VAT 10%",0.1,0))))</f>
        <v/>
      </c>
      <c r="O56" s="10" t="str">
        <f aca="false">IF($C56="","",$L56*$N56)</f>
        <v/>
      </c>
      <c r="P56" s="10" t="str">
        <f aca="false">IF($C56="","",$L56+$O56)</f>
        <v/>
      </c>
      <c r="Q56" s="9"/>
      <c r="R56" s="10" t="str">
        <f aca="false">IF($C56="","",MAX(0,$P56-N($Q56)))</f>
        <v/>
      </c>
      <c r="S56" s="19" t="str">
        <f aca="false">IF(OR($C56="",$P56=0),"",IF(N($Q56)&lt;=0,"Chưa thanh toán",IF(N($Q56)&lt;$P56,"Thanh toán một phần","Đã thanh toán")))</f>
        <v/>
      </c>
      <c r="T56" s="10" t="str">
        <f aca="false">IF(OR($C56="",$J56=""),"",N($I56)*$J56)</f>
        <v/>
      </c>
      <c r="U56" s="10" t="str">
        <f aca="false">IF(OR($C56="",$T56=""),"",$L56-$T56)</f>
        <v/>
      </c>
      <c r="V56" s="11" t="str">
        <f aca="false">IF(OR($U56="",$L56=0),"",$U56/$L56)</f>
        <v/>
      </c>
      <c r="W56" s="8"/>
      <c r="X56" s="19" t="str">
        <f aca="false">IF($C56="","",IF(AND($H56="",N($I56)=0,N($K56)=0),"Dòng chỉ lưu thông tin khách (chưa có đơn); ",IF($B56="","Thiếu ngày đặt; ","")&amp;IF($H56="","Thiếu tên sản phẩm; ",IF($J56="","Sản phẩm chưa có trong BẢNG GIÁ GỐC; ",""))&amp;IF(N($I56)&lt;=0,"Thiếu số lượng; ","")&amp;IF(N($K56)&lt;=0,"Thiếu giá bán; ","")&amp;IF(AND($N56&gt;0,$F56=""),"Khách lấy VAT thiếu mã số thuế; ","")&amp;IF(N($Q56)&gt;$P56,"Đã thu vượt tổng phải thu; ","")&amp;IF(AND($L56&gt;0,$U56&lt;0),"CẢNH BÁO: ĐƠN NÀY ĐANG LỖ; ","")))</f>
        <v/>
      </c>
      <c r="Y56" s="16" t="str">
        <f aca="false">IF(AND($C56&lt;&gt;"",$R56&gt;0),COUNTIFS($C$6:$C56,"&lt;&gt;",$R$6:$R56,"&gt;0"),"")</f>
        <v/>
      </c>
      <c r="Z56" s="16" t="str">
        <f aca="false">IF(AND($H56&lt;&gt;"",N($N56)&gt;0),COUNTIFS($H$6:$H56,"&lt;&gt;",$N$6:$N56,"&gt;0"),"")</f>
        <v/>
      </c>
      <c r="AA56" s="16" t="str">
        <f aca="false">IF(AND($H56&lt;&gt;"",N($N56)=0),COUNTIFS($H$6:$H56,"&lt;&gt;",$N$6:$N56,"&lt;=0"),"")</f>
        <v/>
      </c>
      <c r="AB56" s="16" t="str">
        <f aca="false">IF($C56="","",IF(COUNTIF($C$6:$C56,$C56)&gt;1,"",MAX($AB$5:AB55)+1))</f>
        <v/>
      </c>
      <c r="AC56" s="16" t="str">
        <f aca="false">IF($H56="","",IF(COUNTIF($H$6:$H56,$H56)&gt;1,"",MAX($AC$5:AC55)+1))</f>
        <v/>
      </c>
    </row>
    <row r="57" customFormat="false" ht="15" hidden="false" customHeight="false" outlineLevel="0" collapsed="false">
      <c r="A57" s="16" t="str">
        <f aca="false">IF($C57="","",COUNTA($C$6:$C57))</f>
        <v/>
      </c>
      <c r="B57" s="17"/>
      <c r="C57" s="8"/>
      <c r="D57" s="8"/>
      <c r="E57" s="8"/>
      <c r="F57" s="8"/>
      <c r="G57" s="8"/>
      <c r="H57" s="8"/>
      <c r="I57" s="9"/>
      <c r="J57" s="10" t="str">
        <f aca="false">IF($H57="","",IFERROR(VLOOKUP($H57,'BẢNG GIÁ GỐC'!$A$5:$D$204,3,FALSE()),""))</f>
        <v/>
      </c>
      <c r="K57" s="9"/>
      <c r="L57" s="10" t="str">
        <f aca="false">IF($C57="","",N($I57)*N($K57))</f>
        <v/>
      </c>
      <c r="M57" s="8"/>
      <c r="N57" s="11" t="str">
        <f aca="false">IF($C57="","",IF($M57="VAT 5%",0.05,IF($M57="VAT 8%",0.08,IF($M57="VAT 10%",0.1,0))))</f>
        <v/>
      </c>
      <c r="O57" s="10" t="str">
        <f aca="false">IF($C57="","",$L57*$N57)</f>
        <v/>
      </c>
      <c r="P57" s="10" t="str">
        <f aca="false">IF($C57="","",$L57+$O57)</f>
        <v/>
      </c>
      <c r="Q57" s="9"/>
      <c r="R57" s="10" t="str">
        <f aca="false">IF($C57="","",MAX(0,$P57-N($Q57)))</f>
        <v/>
      </c>
      <c r="S57" s="19" t="str">
        <f aca="false">IF(OR($C57="",$P57=0),"",IF(N($Q57)&lt;=0,"Chưa thanh toán",IF(N($Q57)&lt;$P57,"Thanh toán một phần","Đã thanh toán")))</f>
        <v/>
      </c>
      <c r="T57" s="10" t="str">
        <f aca="false">IF(OR($C57="",$J57=""),"",N($I57)*$J57)</f>
        <v/>
      </c>
      <c r="U57" s="10" t="str">
        <f aca="false">IF(OR($C57="",$T57=""),"",$L57-$T57)</f>
        <v/>
      </c>
      <c r="V57" s="11" t="str">
        <f aca="false">IF(OR($U57="",$L57=0),"",$U57/$L57)</f>
        <v/>
      </c>
      <c r="W57" s="8"/>
      <c r="X57" s="19" t="str">
        <f aca="false">IF($C57="","",IF(AND($H57="",N($I57)=0,N($K57)=0),"Dòng chỉ lưu thông tin khách (chưa có đơn); ",IF($B57="","Thiếu ngày đặt; ","")&amp;IF($H57="","Thiếu tên sản phẩm; ",IF($J57="","Sản phẩm chưa có trong BẢNG GIÁ GỐC; ",""))&amp;IF(N($I57)&lt;=0,"Thiếu số lượng; ","")&amp;IF(N($K57)&lt;=0,"Thiếu giá bán; ","")&amp;IF(AND($N57&gt;0,$F57=""),"Khách lấy VAT thiếu mã số thuế; ","")&amp;IF(N($Q57)&gt;$P57,"Đã thu vượt tổng phải thu; ","")&amp;IF(AND($L57&gt;0,$U57&lt;0),"CẢNH BÁO: ĐƠN NÀY ĐANG LỖ; ","")))</f>
        <v/>
      </c>
      <c r="Y57" s="16" t="str">
        <f aca="false">IF(AND($C57&lt;&gt;"",$R57&gt;0),COUNTIFS($C$6:$C57,"&lt;&gt;",$R$6:$R57,"&gt;0"),"")</f>
        <v/>
      </c>
      <c r="Z57" s="16" t="str">
        <f aca="false">IF(AND($H57&lt;&gt;"",N($N57)&gt;0),COUNTIFS($H$6:$H57,"&lt;&gt;",$N$6:$N57,"&gt;0"),"")</f>
        <v/>
      </c>
      <c r="AA57" s="16" t="str">
        <f aca="false">IF(AND($H57&lt;&gt;"",N($N57)=0),COUNTIFS($H$6:$H57,"&lt;&gt;",$N$6:$N57,"&lt;=0"),"")</f>
        <v/>
      </c>
      <c r="AB57" s="16" t="str">
        <f aca="false">IF($C57="","",IF(COUNTIF($C$6:$C57,$C57)&gt;1,"",MAX($AB$5:AB56)+1))</f>
        <v/>
      </c>
      <c r="AC57" s="16" t="str">
        <f aca="false">IF($H57="","",IF(COUNTIF($H$6:$H57,$H57)&gt;1,"",MAX($AC$5:AC56)+1))</f>
        <v/>
      </c>
    </row>
    <row r="58" customFormat="false" ht="15" hidden="false" customHeight="false" outlineLevel="0" collapsed="false">
      <c r="A58" s="16" t="str">
        <f aca="false">IF($C58="","",COUNTA($C$6:$C58))</f>
        <v/>
      </c>
      <c r="B58" s="17"/>
      <c r="C58" s="8"/>
      <c r="D58" s="8"/>
      <c r="E58" s="8"/>
      <c r="F58" s="8"/>
      <c r="G58" s="8"/>
      <c r="H58" s="8"/>
      <c r="I58" s="9"/>
      <c r="J58" s="10" t="str">
        <f aca="false">IF($H58="","",IFERROR(VLOOKUP($H58,'BẢNG GIÁ GỐC'!$A$5:$D$204,3,FALSE()),""))</f>
        <v/>
      </c>
      <c r="K58" s="9"/>
      <c r="L58" s="10" t="str">
        <f aca="false">IF($C58="","",N($I58)*N($K58))</f>
        <v/>
      </c>
      <c r="M58" s="8"/>
      <c r="N58" s="11" t="str">
        <f aca="false">IF($C58="","",IF($M58="VAT 5%",0.05,IF($M58="VAT 8%",0.08,IF($M58="VAT 10%",0.1,0))))</f>
        <v/>
      </c>
      <c r="O58" s="10" t="str">
        <f aca="false">IF($C58="","",$L58*$N58)</f>
        <v/>
      </c>
      <c r="P58" s="10" t="str">
        <f aca="false">IF($C58="","",$L58+$O58)</f>
        <v/>
      </c>
      <c r="Q58" s="9"/>
      <c r="R58" s="10" t="str">
        <f aca="false">IF($C58="","",MAX(0,$P58-N($Q58)))</f>
        <v/>
      </c>
      <c r="S58" s="19" t="str">
        <f aca="false">IF(OR($C58="",$P58=0),"",IF(N($Q58)&lt;=0,"Chưa thanh toán",IF(N($Q58)&lt;$P58,"Thanh toán một phần","Đã thanh toán")))</f>
        <v/>
      </c>
      <c r="T58" s="10" t="str">
        <f aca="false">IF(OR($C58="",$J58=""),"",N($I58)*$J58)</f>
        <v/>
      </c>
      <c r="U58" s="10" t="str">
        <f aca="false">IF(OR($C58="",$T58=""),"",$L58-$T58)</f>
        <v/>
      </c>
      <c r="V58" s="11" t="str">
        <f aca="false">IF(OR($U58="",$L58=0),"",$U58/$L58)</f>
        <v/>
      </c>
      <c r="W58" s="8"/>
      <c r="X58" s="19" t="str">
        <f aca="false">IF($C58="","",IF(AND($H58="",N($I58)=0,N($K58)=0),"Dòng chỉ lưu thông tin khách (chưa có đơn); ",IF($B58="","Thiếu ngày đặt; ","")&amp;IF($H58="","Thiếu tên sản phẩm; ",IF($J58="","Sản phẩm chưa có trong BẢNG GIÁ GỐC; ",""))&amp;IF(N($I58)&lt;=0,"Thiếu số lượng; ","")&amp;IF(N($K58)&lt;=0,"Thiếu giá bán; ","")&amp;IF(AND($N58&gt;0,$F58=""),"Khách lấy VAT thiếu mã số thuế; ","")&amp;IF(N($Q58)&gt;$P58,"Đã thu vượt tổng phải thu; ","")&amp;IF(AND($L58&gt;0,$U58&lt;0),"CẢNH BÁO: ĐƠN NÀY ĐANG LỖ; ","")))</f>
        <v/>
      </c>
      <c r="Y58" s="16" t="str">
        <f aca="false">IF(AND($C58&lt;&gt;"",$R58&gt;0),COUNTIFS($C$6:$C58,"&lt;&gt;",$R$6:$R58,"&gt;0"),"")</f>
        <v/>
      </c>
      <c r="Z58" s="16" t="str">
        <f aca="false">IF(AND($H58&lt;&gt;"",N($N58)&gt;0),COUNTIFS($H$6:$H58,"&lt;&gt;",$N$6:$N58,"&gt;0"),"")</f>
        <v/>
      </c>
      <c r="AA58" s="16" t="str">
        <f aca="false">IF(AND($H58&lt;&gt;"",N($N58)=0),COUNTIFS($H$6:$H58,"&lt;&gt;",$N$6:$N58,"&lt;=0"),"")</f>
        <v/>
      </c>
      <c r="AB58" s="16" t="str">
        <f aca="false">IF($C58="","",IF(COUNTIF($C$6:$C58,$C58)&gt;1,"",MAX($AB$5:AB57)+1))</f>
        <v/>
      </c>
      <c r="AC58" s="16" t="str">
        <f aca="false">IF($H58="","",IF(COUNTIF($H$6:$H58,$H58)&gt;1,"",MAX($AC$5:AC57)+1))</f>
        <v/>
      </c>
    </row>
    <row r="59" customFormat="false" ht="15" hidden="false" customHeight="false" outlineLevel="0" collapsed="false">
      <c r="A59" s="16" t="str">
        <f aca="false">IF($C59="","",COUNTA($C$6:$C59))</f>
        <v/>
      </c>
      <c r="B59" s="17"/>
      <c r="C59" s="8"/>
      <c r="D59" s="8"/>
      <c r="E59" s="8"/>
      <c r="F59" s="8"/>
      <c r="G59" s="8"/>
      <c r="H59" s="8"/>
      <c r="I59" s="9"/>
      <c r="J59" s="10" t="str">
        <f aca="false">IF($H59="","",IFERROR(VLOOKUP($H59,'BẢNG GIÁ GỐC'!$A$5:$D$204,3,FALSE()),""))</f>
        <v/>
      </c>
      <c r="K59" s="9"/>
      <c r="L59" s="10" t="str">
        <f aca="false">IF($C59="","",N($I59)*N($K59))</f>
        <v/>
      </c>
      <c r="M59" s="8"/>
      <c r="N59" s="11" t="str">
        <f aca="false">IF($C59="","",IF($M59="VAT 5%",0.05,IF($M59="VAT 8%",0.08,IF($M59="VAT 10%",0.1,0))))</f>
        <v/>
      </c>
      <c r="O59" s="10" t="str">
        <f aca="false">IF($C59="","",$L59*$N59)</f>
        <v/>
      </c>
      <c r="P59" s="10" t="str">
        <f aca="false">IF($C59="","",$L59+$O59)</f>
        <v/>
      </c>
      <c r="Q59" s="9"/>
      <c r="R59" s="10" t="str">
        <f aca="false">IF($C59="","",MAX(0,$P59-N($Q59)))</f>
        <v/>
      </c>
      <c r="S59" s="19" t="str">
        <f aca="false">IF(OR($C59="",$P59=0),"",IF(N($Q59)&lt;=0,"Chưa thanh toán",IF(N($Q59)&lt;$P59,"Thanh toán một phần","Đã thanh toán")))</f>
        <v/>
      </c>
      <c r="T59" s="10" t="str">
        <f aca="false">IF(OR($C59="",$J59=""),"",N($I59)*$J59)</f>
        <v/>
      </c>
      <c r="U59" s="10" t="str">
        <f aca="false">IF(OR($C59="",$T59=""),"",$L59-$T59)</f>
        <v/>
      </c>
      <c r="V59" s="11" t="str">
        <f aca="false">IF(OR($U59="",$L59=0),"",$U59/$L59)</f>
        <v/>
      </c>
      <c r="W59" s="8"/>
      <c r="X59" s="19" t="str">
        <f aca="false">IF($C59="","",IF(AND($H59="",N($I59)=0,N($K59)=0),"Dòng chỉ lưu thông tin khách (chưa có đơn); ",IF($B59="","Thiếu ngày đặt; ","")&amp;IF($H59="","Thiếu tên sản phẩm; ",IF($J59="","Sản phẩm chưa có trong BẢNG GIÁ GỐC; ",""))&amp;IF(N($I59)&lt;=0,"Thiếu số lượng; ","")&amp;IF(N($K59)&lt;=0,"Thiếu giá bán; ","")&amp;IF(AND($N59&gt;0,$F59=""),"Khách lấy VAT thiếu mã số thuế; ","")&amp;IF(N($Q59)&gt;$P59,"Đã thu vượt tổng phải thu; ","")&amp;IF(AND($L59&gt;0,$U59&lt;0),"CẢNH BÁO: ĐƠN NÀY ĐANG LỖ; ","")))</f>
        <v/>
      </c>
      <c r="Y59" s="16" t="str">
        <f aca="false">IF(AND($C59&lt;&gt;"",$R59&gt;0),COUNTIFS($C$6:$C59,"&lt;&gt;",$R$6:$R59,"&gt;0"),"")</f>
        <v/>
      </c>
      <c r="Z59" s="16" t="str">
        <f aca="false">IF(AND($H59&lt;&gt;"",N($N59)&gt;0),COUNTIFS($H$6:$H59,"&lt;&gt;",$N$6:$N59,"&gt;0"),"")</f>
        <v/>
      </c>
      <c r="AA59" s="16" t="str">
        <f aca="false">IF(AND($H59&lt;&gt;"",N($N59)=0),COUNTIFS($H$6:$H59,"&lt;&gt;",$N$6:$N59,"&lt;=0"),"")</f>
        <v/>
      </c>
      <c r="AB59" s="16" t="str">
        <f aca="false">IF($C59="","",IF(COUNTIF($C$6:$C59,$C59)&gt;1,"",MAX($AB$5:AB58)+1))</f>
        <v/>
      </c>
      <c r="AC59" s="16" t="str">
        <f aca="false">IF($H59="","",IF(COUNTIF($H$6:$H59,$H59)&gt;1,"",MAX($AC$5:AC58)+1))</f>
        <v/>
      </c>
    </row>
    <row r="60" customFormat="false" ht="15" hidden="false" customHeight="false" outlineLevel="0" collapsed="false">
      <c r="A60" s="16" t="str">
        <f aca="false">IF($C60="","",COUNTA($C$6:$C60))</f>
        <v/>
      </c>
      <c r="B60" s="17"/>
      <c r="C60" s="8"/>
      <c r="D60" s="8"/>
      <c r="E60" s="8"/>
      <c r="F60" s="8"/>
      <c r="G60" s="8"/>
      <c r="H60" s="8"/>
      <c r="I60" s="9"/>
      <c r="J60" s="10" t="str">
        <f aca="false">IF($H60="","",IFERROR(VLOOKUP($H60,'BẢNG GIÁ GỐC'!$A$5:$D$204,3,FALSE()),""))</f>
        <v/>
      </c>
      <c r="K60" s="9"/>
      <c r="L60" s="10" t="str">
        <f aca="false">IF($C60="","",N($I60)*N($K60))</f>
        <v/>
      </c>
      <c r="M60" s="8"/>
      <c r="N60" s="11" t="str">
        <f aca="false">IF($C60="","",IF($M60="VAT 5%",0.05,IF($M60="VAT 8%",0.08,IF($M60="VAT 10%",0.1,0))))</f>
        <v/>
      </c>
      <c r="O60" s="10" t="str">
        <f aca="false">IF($C60="","",$L60*$N60)</f>
        <v/>
      </c>
      <c r="P60" s="10" t="str">
        <f aca="false">IF($C60="","",$L60+$O60)</f>
        <v/>
      </c>
      <c r="Q60" s="9"/>
      <c r="R60" s="10" t="str">
        <f aca="false">IF($C60="","",MAX(0,$P60-N($Q60)))</f>
        <v/>
      </c>
      <c r="S60" s="19" t="str">
        <f aca="false">IF(OR($C60="",$P60=0),"",IF(N($Q60)&lt;=0,"Chưa thanh toán",IF(N($Q60)&lt;$P60,"Thanh toán một phần","Đã thanh toán")))</f>
        <v/>
      </c>
      <c r="T60" s="10" t="str">
        <f aca="false">IF(OR($C60="",$J60=""),"",N($I60)*$J60)</f>
        <v/>
      </c>
      <c r="U60" s="10" t="str">
        <f aca="false">IF(OR($C60="",$T60=""),"",$L60-$T60)</f>
        <v/>
      </c>
      <c r="V60" s="11" t="str">
        <f aca="false">IF(OR($U60="",$L60=0),"",$U60/$L60)</f>
        <v/>
      </c>
      <c r="W60" s="8"/>
      <c r="X60" s="19" t="str">
        <f aca="false">IF($C60="","",IF(AND($H60="",N($I60)=0,N($K60)=0),"Dòng chỉ lưu thông tin khách (chưa có đơn); ",IF($B60="","Thiếu ngày đặt; ","")&amp;IF($H60="","Thiếu tên sản phẩm; ",IF($J60="","Sản phẩm chưa có trong BẢNG GIÁ GỐC; ",""))&amp;IF(N($I60)&lt;=0,"Thiếu số lượng; ","")&amp;IF(N($K60)&lt;=0,"Thiếu giá bán; ","")&amp;IF(AND($N60&gt;0,$F60=""),"Khách lấy VAT thiếu mã số thuế; ","")&amp;IF(N($Q60)&gt;$P60,"Đã thu vượt tổng phải thu; ","")&amp;IF(AND($L60&gt;0,$U60&lt;0),"CẢNH BÁO: ĐƠN NÀY ĐANG LỖ; ","")))</f>
        <v/>
      </c>
      <c r="Y60" s="16" t="str">
        <f aca="false">IF(AND($C60&lt;&gt;"",$R60&gt;0),COUNTIFS($C$6:$C60,"&lt;&gt;",$R$6:$R60,"&gt;0"),"")</f>
        <v/>
      </c>
      <c r="Z60" s="16" t="str">
        <f aca="false">IF(AND($H60&lt;&gt;"",N($N60)&gt;0),COUNTIFS($H$6:$H60,"&lt;&gt;",$N$6:$N60,"&gt;0"),"")</f>
        <v/>
      </c>
      <c r="AA60" s="16" t="str">
        <f aca="false">IF(AND($H60&lt;&gt;"",N($N60)=0),COUNTIFS($H$6:$H60,"&lt;&gt;",$N$6:$N60,"&lt;=0"),"")</f>
        <v/>
      </c>
      <c r="AB60" s="16" t="str">
        <f aca="false">IF($C60="","",IF(COUNTIF($C$6:$C60,$C60)&gt;1,"",MAX($AB$5:AB59)+1))</f>
        <v/>
      </c>
      <c r="AC60" s="16" t="str">
        <f aca="false">IF($H60="","",IF(COUNTIF($H$6:$H60,$H60)&gt;1,"",MAX($AC$5:AC59)+1))</f>
        <v/>
      </c>
    </row>
    <row r="61" customFormat="false" ht="15" hidden="false" customHeight="false" outlineLevel="0" collapsed="false">
      <c r="A61" s="16" t="str">
        <f aca="false">IF($C61="","",COUNTA($C$6:$C61))</f>
        <v/>
      </c>
      <c r="B61" s="17"/>
      <c r="C61" s="8"/>
      <c r="D61" s="8"/>
      <c r="E61" s="8"/>
      <c r="F61" s="8"/>
      <c r="G61" s="8"/>
      <c r="H61" s="8"/>
      <c r="I61" s="9"/>
      <c r="J61" s="10" t="str">
        <f aca="false">IF($H61="","",IFERROR(VLOOKUP($H61,'BẢNG GIÁ GỐC'!$A$5:$D$204,3,FALSE()),""))</f>
        <v/>
      </c>
      <c r="K61" s="9"/>
      <c r="L61" s="10" t="str">
        <f aca="false">IF($C61="","",N($I61)*N($K61))</f>
        <v/>
      </c>
      <c r="M61" s="8"/>
      <c r="N61" s="11" t="str">
        <f aca="false">IF($C61="","",IF($M61="VAT 5%",0.05,IF($M61="VAT 8%",0.08,IF($M61="VAT 10%",0.1,0))))</f>
        <v/>
      </c>
      <c r="O61" s="10" t="str">
        <f aca="false">IF($C61="","",$L61*$N61)</f>
        <v/>
      </c>
      <c r="P61" s="10" t="str">
        <f aca="false">IF($C61="","",$L61+$O61)</f>
        <v/>
      </c>
      <c r="Q61" s="9"/>
      <c r="R61" s="10" t="str">
        <f aca="false">IF($C61="","",MAX(0,$P61-N($Q61)))</f>
        <v/>
      </c>
      <c r="S61" s="19" t="str">
        <f aca="false">IF(OR($C61="",$P61=0),"",IF(N($Q61)&lt;=0,"Chưa thanh toán",IF(N($Q61)&lt;$P61,"Thanh toán một phần","Đã thanh toán")))</f>
        <v/>
      </c>
      <c r="T61" s="10" t="str">
        <f aca="false">IF(OR($C61="",$J61=""),"",N($I61)*$J61)</f>
        <v/>
      </c>
      <c r="U61" s="10" t="str">
        <f aca="false">IF(OR($C61="",$T61=""),"",$L61-$T61)</f>
        <v/>
      </c>
      <c r="V61" s="11" t="str">
        <f aca="false">IF(OR($U61="",$L61=0),"",$U61/$L61)</f>
        <v/>
      </c>
      <c r="W61" s="8"/>
      <c r="X61" s="19" t="str">
        <f aca="false">IF($C61="","",IF(AND($H61="",N($I61)=0,N($K61)=0),"Dòng chỉ lưu thông tin khách (chưa có đơn); ",IF($B61="","Thiếu ngày đặt; ","")&amp;IF($H61="","Thiếu tên sản phẩm; ",IF($J61="","Sản phẩm chưa có trong BẢNG GIÁ GỐC; ",""))&amp;IF(N($I61)&lt;=0,"Thiếu số lượng; ","")&amp;IF(N($K61)&lt;=0,"Thiếu giá bán; ","")&amp;IF(AND($N61&gt;0,$F61=""),"Khách lấy VAT thiếu mã số thuế; ","")&amp;IF(N($Q61)&gt;$P61,"Đã thu vượt tổng phải thu; ","")&amp;IF(AND($L61&gt;0,$U61&lt;0),"CẢNH BÁO: ĐƠN NÀY ĐANG LỖ; ","")))</f>
        <v/>
      </c>
      <c r="Y61" s="16" t="str">
        <f aca="false">IF(AND($C61&lt;&gt;"",$R61&gt;0),COUNTIFS($C$6:$C61,"&lt;&gt;",$R$6:$R61,"&gt;0"),"")</f>
        <v/>
      </c>
      <c r="Z61" s="16" t="str">
        <f aca="false">IF(AND($H61&lt;&gt;"",N($N61)&gt;0),COUNTIFS($H$6:$H61,"&lt;&gt;",$N$6:$N61,"&gt;0"),"")</f>
        <v/>
      </c>
      <c r="AA61" s="16" t="str">
        <f aca="false">IF(AND($H61&lt;&gt;"",N($N61)=0),COUNTIFS($H$6:$H61,"&lt;&gt;",$N$6:$N61,"&lt;=0"),"")</f>
        <v/>
      </c>
      <c r="AB61" s="16" t="str">
        <f aca="false">IF($C61="","",IF(COUNTIF($C$6:$C61,$C61)&gt;1,"",MAX($AB$5:AB60)+1))</f>
        <v/>
      </c>
      <c r="AC61" s="16" t="str">
        <f aca="false">IF($H61="","",IF(COUNTIF($H$6:$H61,$H61)&gt;1,"",MAX($AC$5:AC60)+1))</f>
        <v/>
      </c>
    </row>
    <row r="62" customFormat="false" ht="15" hidden="false" customHeight="false" outlineLevel="0" collapsed="false">
      <c r="A62" s="16" t="str">
        <f aca="false">IF($C62="","",COUNTA($C$6:$C62))</f>
        <v/>
      </c>
      <c r="B62" s="17"/>
      <c r="C62" s="8"/>
      <c r="D62" s="8"/>
      <c r="E62" s="8"/>
      <c r="F62" s="8"/>
      <c r="G62" s="8"/>
      <c r="H62" s="8"/>
      <c r="I62" s="9"/>
      <c r="J62" s="10" t="str">
        <f aca="false">IF($H62="","",IFERROR(VLOOKUP($H62,'BẢNG GIÁ GỐC'!$A$5:$D$204,3,FALSE()),""))</f>
        <v/>
      </c>
      <c r="K62" s="9"/>
      <c r="L62" s="10" t="str">
        <f aca="false">IF($C62="","",N($I62)*N($K62))</f>
        <v/>
      </c>
      <c r="M62" s="8"/>
      <c r="N62" s="11" t="str">
        <f aca="false">IF($C62="","",IF($M62="VAT 5%",0.05,IF($M62="VAT 8%",0.08,IF($M62="VAT 10%",0.1,0))))</f>
        <v/>
      </c>
      <c r="O62" s="10" t="str">
        <f aca="false">IF($C62="","",$L62*$N62)</f>
        <v/>
      </c>
      <c r="P62" s="10" t="str">
        <f aca="false">IF($C62="","",$L62+$O62)</f>
        <v/>
      </c>
      <c r="Q62" s="9"/>
      <c r="R62" s="10" t="str">
        <f aca="false">IF($C62="","",MAX(0,$P62-N($Q62)))</f>
        <v/>
      </c>
      <c r="S62" s="19" t="str">
        <f aca="false">IF(OR($C62="",$P62=0),"",IF(N($Q62)&lt;=0,"Chưa thanh toán",IF(N($Q62)&lt;$P62,"Thanh toán một phần","Đã thanh toán")))</f>
        <v/>
      </c>
      <c r="T62" s="10" t="str">
        <f aca="false">IF(OR($C62="",$J62=""),"",N($I62)*$J62)</f>
        <v/>
      </c>
      <c r="U62" s="10" t="str">
        <f aca="false">IF(OR($C62="",$T62=""),"",$L62-$T62)</f>
        <v/>
      </c>
      <c r="V62" s="11" t="str">
        <f aca="false">IF(OR($U62="",$L62=0),"",$U62/$L62)</f>
        <v/>
      </c>
      <c r="W62" s="8"/>
      <c r="X62" s="19" t="str">
        <f aca="false">IF($C62="","",IF(AND($H62="",N($I62)=0,N($K62)=0),"Dòng chỉ lưu thông tin khách (chưa có đơn); ",IF($B62="","Thiếu ngày đặt; ","")&amp;IF($H62="","Thiếu tên sản phẩm; ",IF($J62="","Sản phẩm chưa có trong BẢNG GIÁ GỐC; ",""))&amp;IF(N($I62)&lt;=0,"Thiếu số lượng; ","")&amp;IF(N($K62)&lt;=0,"Thiếu giá bán; ","")&amp;IF(AND($N62&gt;0,$F62=""),"Khách lấy VAT thiếu mã số thuế; ","")&amp;IF(N($Q62)&gt;$P62,"Đã thu vượt tổng phải thu; ","")&amp;IF(AND($L62&gt;0,$U62&lt;0),"CẢNH BÁO: ĐƠN NÀY ĐANG LỖ; ","")))</f>
        <v/>
      </c>
      <c r="Y62" s="16" t="str">
        <f aca="false">IF(AND($C62&lt;&gt;"",$R62&gt;0),COUNTIFS($C$6:$C62,"&lt;&gt;",$R$6:$R62,"&gt;0"),"")</f>
        <v/>
      </c>
      <c r="Z62" s="16" t="str">
        <f aca="false">IF(AND($H62&lt;&gt;"",N($N62)&gt;0),COUNTIFS($H$6:$H62,"&lt;&gt;",$N$6:$N62,"&gt;0"),"")</f>
        <v/>
      </c>
      <c r="AA62" s="16" t="str">
        <f aca="false">IF(AND($H62&lt;&gt;"",N($N62)=0),COUNTIFS($H$6:$H62,"&lt;&gt;",$N$6:$N62,"&lt;=0"),"")</f>
        <v/>
      </c>
      <c r="AB62" s="16" t="str">
        <f aca="false">IF($C62="","",IF(COUNTIF($C$6:$C62,$C62)&gt;1,"",MAX($AB$5:AB61)+1))</f>
        <v/>
      </c>
      <c r="AC62" s="16" t="str">
        <f aca="false">IF($H62="","",IF(COUNTIF($H$6:$H62,$H62)&gt;1,"",MAX($AC$5:AC61)+1))</f>
        <v/>
      </c>
    </row>
    <row r="63" customFormat="false" ht="15" hidden="false" customHeight="false" outlineLevel="0" collapsed="false">
      <c r="A63" s="16" t="str">
        <f aca="false">IF($C63="","",COUNTA($C$6:$C63))</f>
        <v/>
      </c>
      <c r="B63" s="17"/>
      <c r="C63" s="8"/>
      <c r="D63" s="8"/>
      <c r="E63" s="8"/>
      <c r="F63" s="8"/>
      <c r="G63" s="8"/>
      <c r="H63" s="8"/>
      <c r="I63" s="9"/>
      <c r="J63" s="10" t="str">
        <f aca="false">IF($H63="","",IFERROR(VLOOKUP($H63,'BẢNG GIÁ GỐC'!$A$5:$D$204,3,FALSE()),""))</f>
        <v/>
      </c>
      <c r="K63" s="9"/>
      <c r="L63" s="10" t="str">
        <f aca="false">IF($C63="","",N($I63)*N($K63))</f>
        <v/>
      </c>
      <c r="M63" s="8"/>
      <c r="N63" s="11" t="str">
        <f aca="false">IF($C63="","",IF($M63="VAT 5%",0.05,IF($M63="VAT 8%",0.08,IF($M63="VAT 10%",0.1,0))))</f>
        <v/>
      </c>
      <c r="O63" s="10" t="str">
        <f aca="false">IF($C63="","",$L63*$N63)</f>
        <v/>
      </c>
      <c r="P63" s="10" t="str">
        <f aca="false">IF($C63="","",$L63+$O63)</f>
        <v/>
      </c>
      <c r="Q63" s="9"/>
      <c r="R63" s="10" t="str">
        <f aca="false">IF($C63="","",MAX(0,$P63-N($Q63)))</f>
        <v/>
      </c>
      <c r="S63" s="19" t="str">
        <f aca="false">IF(OR($C63="",$P63=0),"",IF(N($Q63)&lt;=0,"Chưa thanh toán",IF(N($Q63)&lt;$P63,"Thanh toán một phần","Đã thanh toán")))</f>
        <v/>
      </c>
      <c r="T63" s="10" t="str">
        <f aca="false">IF(OR($C63="",$J63=""),"",N($I63)*$J63)</f>
        <v/>
      </c>
      <c r="U63" s="10" t="str">
        <f aca="false">IF(OR($C63="",$T63=""),"",$L63-$T63)</f>
        <v/>
      </c>
      <c r="V63" s="11" t="str">
        <f aca="false">IF(OR($U63="",$L63=0),"",$U63/$L63)</f>
        <v/>
      </c>
      <c r="W63" s="8"/>
      <c r="X63" s="19" t="str">
        <f aca="false">IF($C63="","",IF(AND($H63="",N($I63)=0,N($K63)=0),"Dòng chỉ lưu thông tin khách (chưa có đơn); ",IF($B63="","Thiếu ngày đặt; ","")&amp;IF($H63="","Thiếu tên sản phẩm; ",IF($J63="","Sản phẩm chưa có trong BẢNG GIÁ GỐC; ",""))&amp;IF(N($I63)&lt;=0,"Thiếu số lượng; ","")&amp;IF(N($K63)&lt;=0,"Thiếu giá bán; ","")&amp;IF(AND($N63&gt;0,$F63=""),"Khách lấy VAT thiếu mã số thuế; ","")&amp;IF(N($Q63)&gt;$P63,"Đã thu vượt tổng phải thu; ","")&amp;IF(AND($L63&gt;0,$U63&lt;0),"CẢNH BÁO: ĐƠN NÀY ĐANG LỖ; ","")))</f>
        <v/>
      </c>
      <c r="Y63" s="16" t="str">
        <f aca="false">IF(AND($C63&lt;&gt;"",$R63&gt;0),COUNTIFS($C$6:$C63,"&lt;&gt;",$R$6:$R63,"&gt;0"),"")</f>
        <v/>
      </c>
      <c r="Z63" s="16" t="str">
        <f aca="false">IF(AND($H63&lt;&gt;"",N($N63)&gt;0),COUNTIFS($H$6:$H63,"&lt;&gt;",$N$6:$N63,"&gt;0"),"")</f>
        <v/>
      </c>
      <c r="AA63" s="16" t="str">
        <f aca="false">IF(AND($H63&lt;&gt;"",N($N63)=0),COUNTIFS($H$6:$H63,"&lt;&gt;",$N$6:$N63,"&lt;=0"),"")</f>
        <v/>
      </c>
      <c r="AB63" s="16" t="str">
        <f aca="false">IF($C63="","",IF(COUNTIF($C$6:$C63,$C63)&gt;1,"",MAX($AB$5:AB62)+1))</f>
        <v/>
      </c>
      <c r="AC63" s="16" t="str">
        <f aca="false">IF($H63="","",IF(COUNTIF($H$6:$H63,$H63)&gt;1,"",MAX($AC$5:AC62)+1))</f>
        <v/>
      </c>
    </row>
    <row r="64" customFormat="false" ht="15" hidden="false" customHeight="false" outlineLevel="0" collapsed="false">
      <c r="A64" s="16" t="str">
        <f aca="false">IF($C64="","",COUNTA($C$6:$C64))</f>
        <v/>
      </c>
      <c r="B64" s="17"/>
      <c r="C64" s="8"/>
      <c r="D64" s="8"/>
      <c r="E64" s="8"/>
      <c r="F64" s="8"/>
      <c r="G64" s="8"/>
      <c r="H64" s="8"/>
      <c r="I64" s="9"/>
      <c r="J64" s="10" t="str">
        <f aca="false">IF($H64="","",IFERROR(VLOOKUP($H64,'BẢNG GIÁ GỐC'!$A$5:$D$204,3,FALSE()),""))</f>
        <v/>
      </c>
      <c r="K64" s="9"/>
      <c r="L64" s="10" t="str">
        <f aca="false">IF($C64="","",N($I64)*N($K64))</f>
        <v/>
      </c>
      <c r="M64" s="8"/>
      <c r="N64" s="11" t="str">
        <f aca="false">IF($C64="","",IF($M64="VAT 5%",0.05,IF($M64="VAT 8%",0.08,IF($M64="VAT 10%",0.1,0))))</f>
        <v/>
      </c>
      <c r="O64" s="10" t="str">
        <f aca="false">IF($C64="","",$L64*$N64)</f>
        <v/>
      </c>
      <c r="P64" s="10" t="str">
        <f aca="false">IF($C64="","",$L64+$O64)</f>
        <v/>
      </c>
      <c r="Q64" s="9"/>
      <c r="R64" s="10" t="str">
        <f aca="false">IF($C64="","",MAX(0,$P64-N($Q64)))</f>
        <v/>
      </c>
      <c r="S64" s="19" t="str">
        <f aca="false">IF(OR($C64="",$P64=0),"",IF(N($Q64)&lt;=0,"Chưa thanh toán",IF(N($Q64)&lt;$P64,"Thanh toán một phần","Đã thanh toán")))</f>
        <v/>
      </c>
      <c r="T64" s="10" t="str">
        <f aca="false">IF(OR($C64="",$J64=""),"",N($I64)*$J64)</f>
        <v/>
      </c>
      <c r="U64" s="10" t="str">
        <f aca="false">IF(OR($C64="",$T64=""),"",$L64-$T64)</f>
        <v/>
      </c>
      <c r="V64" s="11" t="str">
        <f aca="false">IF(OR($U64="",$L64=0),"",$U64/$L64)</f>
        <v/>
      </c>
      <c r="W64" s="8"/>
      <c r="X64" s="19" t="str">
        <f aca="false">IF($C64="","",IF(AND($H64="",N($I64)=0,N($K64)=0),"Dòng chỉ lưu thông tin khách (chưa có đơn); ",IF($B64="","Thiếu ngày đặt; ","")&amp;IF($H64="","Thiếu tên sản phẩm; ",IF($J64="","Sản phẩm chưa có trong BẢNG GIÁ GỐC; ",""))&amp;IF(N($I64)&lt;=0,"Thiếu số lượng; ","")&amp;IF(N($K64)&lt;=0,"Thiếu giá bán; ","")&amp;IF(AND($N64&gt;0,$F64=""),"Khách lấy VAT thiếu mã số thuế; ","")&amp;IF(N($Q64)&gt;$P64,"Đã thu vượt tổng phải thu; ","")&amp;IF(AND($L64&gt;0,$U64&lt;0),"CẢNH BÁO: ĐƠN NÀY ĐANG LỖ; ","")))</f>
        <v/>
      </c>
      <c r="Y64" s="16" t="str">
        <f aca="false">IF(AND($C64&lt;&gt;"",$R64&gt;0),COUNTIFS($C$6:$C64,"&lt;&gt;",$R$6:$R64,"&gt;0"),"")</f>
        <v/>
      </c>
      <c r="Z64" s="16" t="str">
        <f aca="false">IF(AND($H64&lt;&gt;"",N($N64)&gt;0),COUNTIFS($H$6:$H64,"&lt;&gt;",$N$6:$N64,"&gt;0"),"")</f>
        <v/>
      </c>
      <c r="AA64" s="16" t="str">
        <f aca="false">IF(AND($H64&lt;&gt;"",N($N64)=0),COUNTIFS($H$6:$H64,"&lt;&gt;",$N$6:$N64,"&lt;=0"),"")</f>
        <v/>
      </c>
      <c r="AB64" s="16" t="str">
        <f aca="false">IF($C64="","",IF(COUNTIF($C$6:$C64,$C64)&gt;1,"",MAX($AB$5:AB63)+1))</f>
        <v/>
      </c>
      <c r="AC64" s="16" t="str">
        <f aca="false">IF($H64="","",IF(COUNTIF($H$6:$H64,$H64)&gt;1,"",MAX($AC$5:AC63)+1))</f>
        <v/>
      </c>
    </row>
    <row r="65" customFormat="false" ht="15" hidden="false" customHeight="false" outlineLevel="0" collapsed="false">
      <c r="A65" s="16" t="str">
        <f aca="false">IF($C65="","",COUNTA($C$6:$C65))</f>
        <v/>
      </c>
      <c r="B65" s="17"/>
      <c r="C65" s="8"/>
      <c r="D65" s="8"/>
      <c r="E65" s="8"/>
      <c r="F65" s="8"/>
      <c r="G65" s="8"/>
      <c r="H65" s="8"/>
      <c r="I65" s="9"/>
      <c r="J65" s="10" t="str">
        <f aca="false">IF($H65="","",IFERROR(VLOOKUP($H65,'BẢNG GIÁ GỐC'!$A$5:$D$204,3,FALSE()),""))</f>
        <v/>
      </c>
      <c r="K65" s="9"/>
      <c r="L65" s="10" t="str">
        <f aca="false">IF($C65="","",N($I65)*N($K65))</f>
        <v/>
      </c>
      <c r="M65" s="8"/>
      <c r="N65" s="11" t="str">
        <f aca="false">IF($C65="","",IF($M65="VAT 5%",0.05,IF($M65="VAT 8%",0.08,IF($M65="VAT 10%",0.1,0))))</f>
        <v/>
      </c>
      <c r="O65" s="10" t="str">
        <f aca="false">IF($C65="","",$L65*$N65)</f>
        <v/>
      </c>
      <c r="P65" s="10" t="str">
        <f aca="false">IF($C65="","",$L65+$O65)</f>
        <v/>
      </c>
      <c r="Q65" s="9"/>
      <c r="R65" s="10" t="str">
        <f aca="false">IF($C65="","",MAX(0,$P65-N($Q65)))</f>
        <v/>
      </c>
      <c r="S65" s="19" t="str">
        <f aca="false">IF(OR($C65="",$P65=0),"",IF(N($Q65)&lt;=0,"Chưa thanh toán",IF(N($Q65)&lt;$P65,"Thanh toán một phần","Đã thanh toán")))</f>
        <v/>
      </c>
      <c r="T65" s="10" t="str">
        <f aca="false">IF(OR($C65="",$J65=""),"",N($I65)*$J65)</f>
        <v/>
      </c>
      <c r="U65" s="10" t="str">
        <f aca="false">IF(OR($C65="",$T65=""),"",$L65-$T65)</f>
        <v/>
      </c>
      <c r="V65" s="11" t="str">
        <f aca="false">IF(OR($U65="",$L65=0),"",$U65/$L65)</f>
        <v/>
      </c>
      <c r="W65" s="8"/>
      <c r="X65" s="19" t="str">
        <f aca="false">IF($C65="","",IF(AND($H65="",N($I65)=0,N($K65)=0),"Dòng chỉ lưu thông tin khách (chưa có đơn); ",IF($B65="","Thiếu ngày đặt; ","")&amp;IF($H65="","Thiếu tên sản phẩm; ",IF($J65="","Sản phẩm chưa có trong BẢNG GIÁ GỐC; ",""))&amp;IF(N($I65)&lt;=0,"Thiếu số lượng; ","")&amp;IF(N($K65)&lt;=0,"Thiếu giá bán; ","")&amp;IF(AND($N65&gt;0,$F65=""),"Khách lấy VAT thiếu mã số thuế; ","")&amp;IF(N($Q65)&gt;$P65,"Đã thu vượt tổng phải thu; ","")&amp;IF(AND($L65&gt;0,$U65&lt;0),"CẢNH BÁO: ĐƠN NÀY ĐANG LỖ; ","")))</f>
        <v/>
      </c>
      <c r="Y65" s="16" t="str">
        <f aca="false">IF(AND($C65&lt;&gt;"",$R65&gt;0),COUNTIFS($C$6:$C65,"&lt;&gt;",$R$6:$R65,"&gt;0"),"")</f>
        <v/>
      </c>
      <c r="Z65" s="16" t="str">
        <f aca="false">IF(AND($H65&lt;&gt;"",N($N65)&gt;0),COUNTIFS($H$6:$H65,"&lt;&gt;",$N$6:$N65,"&gt;0"),"")</f>
        <v/>
      </c>
      <c r="AA65" s="16" t="str">
        <f aca="false">IF(AND($H65&lt;&gt;"",N($N65)=0),COUNTIFS($H$6:$H65,"&lt;&gt;",$N$6:$N65,"&lt;=0"),"")</f>
        <v/>
      </c>
      <c r="AB65" s="16" t="str">
        <f aca="false">IF($C65="","",IF(COUNTIF($C$6:$C65,$C65)&gt;1,"",MAX($AB$5:AB64)+1))</f>
        <v/>
      </c>
      <c r="AC65" s="16" t="str">
        <f aca="false">IF($H65="","",IF(COUNTIF($H$6:$H65,$H65)&gt;1,"",MAX($AC$5:AC64)+1))</f>
        <v/>
      </c>
    </row>
    <row r="66" customFormat="false" ht="15" hidden="false" customHeight="false" outlineLevel="0" collapsed="false">
      <c r="A66" s="16" t="str">
        <f aca="false">IF($C66="","",COUNTA($C$6:$C66))</f>
        <v/>
      </c>
      <c r="B66" s="17"/>
      <c r="C66" s="8"/>
      <c r="D66" s="8"/>
      <c r="E66" s="8"/>
      <c r="F66" s="8"/>
      <c r="G66" s="8"/>
      <c r="H66" s="8"/>
      <c r="I66" s="9"/>
      <c r="J66" s="10" t="str">
        <f aca="false">IF($H66="","",IFERROR(VLOOKUP($H66,'BẢNG GIÁ GỐC'!$A$5:$D$204,3,FALSE()),""))</f>
        <v/>
      </c>
      <c r="K66" s="9"/>
      <c r="L66" s="10" t="str">
        <f aca="false">IF($C66="","",N($I66)*N($K66))</f>
        <v/>
      </c>
      <c r="M66" s="8"/>
      <c r="N66" s="11" t="str">
        <f aca="false">IF($C66="","",IF($M66="VAT 5%",0.05,IF($M66="VAT 8%",0.08,IF($M66="VAT 10%",0.1,0))))</f>
        <v/>
      </c>
      <c r="O66" s="10" t="str">
        <f aca="false">IF($C66="","",$L66*$N66)</f>
        <v/>
      </c>
      <c r="P66" s="10" t="str">
        <f aca="false">IF($C66="","",$L66+$O66)</f>
        <v/>
      </c>
      <c r="Q66" s="9"/>
      <c r="R66" s="10" t="str">
        <f aca="false">IF($C66="","",MAX(0,$P66-N($Q66)))</f>
        <v/>
      </c>
      <c r="S66" s="19" t="str">
        <f aca="false">IF(OR($C66="",$P66=0),"",IF(N($Q66)&lt;=0,"Chưa thanh toán",IF(N($Q66)&lt;$P66,"Thanh toán một phần","Đã thanh toán")))</f>
        <v/>
      </c>
      <c r="T66" s="10" t="str">
        <f aca="false">IF(OR($C66="",$J66=""),"",N($I66)*$J66)</f>
        <v/>
      </c>
      <c r="U66" s="10" t="str">
        <f aca="false">IF(OR($C66="",$T66=""),"",$L66-$T66)</f>
        <v/>
      </c>
      <c r="V66" s="11" t="str">
        <f aca="false">IF(OR($U66="",$L66=0),"",$U66/$L66)</f>
        <v/>
      </c>
      <c r="W66" s="8"/>
      <c r="X66" s="19" t="str">
        <f aca="false">IF($C66="","",IF(AND($H66="",N($I66)=0,N($K66)=0),"Dòng chỉ lưu thông tin khách (chưa có đơn); ",IF($B66="","Thiếu ngày đặt; ","")&amp;IF($H66="","Thiếu tên sản phẩm; ",IF($J66="","Sản phẩm chưa có trong BẢNG GIÁ GỐC; ",""))&amp;IF(N($I66)&lt;=0,"Thiếu số lượng; ","")&amp;IF(N($K66)&lt;=0,"Thiếu giá bán; ","")&amp;IF(AND($N66&gt;0,$F66=""),"Khách lấy VAT thiếu mã số thuế; ","")&amp;IF(N($Q66)&gt;$P66,"Đã thu vượt tổng phải thu; ","")&amp;IF(AND($L66&gt;0,$U66&lt;0),"CẢNH BÁO: ĐƠN NÀY ĐANG LỖ; ","")))</f>
        <v/>
      </c>
      <c r="Y66" s="16" t="str">
        <f aca="false">IF(AND($C66&lt;&gt;"",$R66&gt;0),COUNTIFS($C$6:$C66,"&lt;&gt;",$R$6:$R66,"&gt;0"),"")</f>
        <v/>
      </c>
      <c r="Z66" s="16" t="str">
        <f aca="false">IF(AND($H66&lt;&gt;"",N($N66)&gt;0),COUNTIFS($H$6:$H66,"&lt;&gt;",$N$6:$N66,"&gt;0"),"")</f>
        <v/>
      </c>
      <c r="AA66" s="16" t="str">
        <f aca="false">IF(AND($H66&lt;&gt;"",N($N66)=0),COUNTIFS($H$6:$H66,"&lt;&gt;",$N$6:$N66,"&lt;=0"),"")</f>
        <v/>
      </c>
      <c r="AB66" s="16" t="str">
        <f aca="false">IF($C66="","",IF(COUNTIF($C$6:$C66,$C66)&gt;1,"",MAX($AB$5:AB65)+1))</f>
        <v/>
      </c>
      <c r="AC66" s="16" t="str">
        <f aca="false">IF($H66="","",IF(COUNTIF($H$6:$H66,$H66)&gt;1,"",MAX($AC$5:AC65)+1))</f>
        <v/>
      </c>
    </row>
    <row r="67" customFormat="false" ht="15" hidden="false" customHeight="false" outlineLevel="0" collapsed="false">
      <c r="A67" s="16" t="str">
        <f aca="false">IF($C67="","",COUNTA($C$6:$C67))</f>
        <v/>
      </c>
      <c r="B67" s="17"/>
      <c r="C67" s="8"/>
      <c r="D67" s="8"/>
      <c r="E67" s="8"/>
      <c r="F67" s="8"/>
      <c r="G67" s="8"/>
      <c r="H67" s="8"/>
      <c r="I67" s="9"/>
      <c r="J67" s="10" t="str">
        <f aca="false">IF($H67="","",IFERROR(VLOOKUP($H67,'BẢNG GIÁ GỐC'!$A$5:$D$204,3,FALSE()),""))</f>
        <v/>
      </c>
      <c r="K67" s="9"/>
      <c r="L67" s="10" t="str">
        <f aca="false">IF($C67="","",N($I67)*N($K67))</f>
        <v/>
      </c>
      <c r="M67" s="8"/>
      <c r="N67" s="11" t="str">
        <f aca="false">IF($C67="","",IF($M67="VAT 5%",0.05,IF($M67="VAT 8%",0.08,IF($M67="VAT 10%",0.1,0))))</f>
        <v/>
      </c>
      <c r="O67" s="10" t="str">
        <f aca="false">IF($C67="","",$L67*$N67)</f>
        <v/>
      </c>
      <c r="P67" s="10" t="str">
        <f aca="false">IF($C67="","",$L67+$O67)</f>
        <v/>
      </c>
      <c r="Q67" s="9"/>
      <c r="R67" s="10" t="str">
        <f aca="false">IF($C67="","",MAX(0,$P67-N($Q67)))</f>
        <v/>
      </c>
      <c r="S67" s="19" t="str">
        <f aca="false">IF(OR($C67="",$P67=0),"",IF(N($Q67)&lt;=0,"Chưa thanh toán",IF(N($Q67)&lt;$P67,"Thanh toán một phần","Đã thanh toán")))</f>
        <v/>
      </c>
      <c r="T67" s="10" t="str">
        <f aca="false">IF(OR($C67="",$J67=""),"",N($I67)*$J67)</f>
        <v/>
      </c>
      <c r="U67" s="10" t="str">
        <f aca="false">IF(OR($C67="",$T67=""),"",$L67-$T67)</f>
        <v/>
      </c>
      <c r="V67" s="11" t="str">
        <f aca="false">IF(OR($U67="",$L67=0),"",$U67/$L67)</f>
        <v/>
      </c>
      <c r="W67" s="8"/>
      <c r="X67" s="19" t="str">
        <f aca="false">IF($C67="","",IF(AND($H67="",N($I67)=0,N($K67)=0),"Dòng chỉ lưu thông tin khách (chưa có đơn); ",IF($B67="","Thiếu ngày đặt; ","")&amp;IF($H67="","Thiếu tên sản phẩm; ",IF($J67="","Sản phẩm chưa có trong BẢNG GIÁ GỐC; ",""))&amp;IF(N($I67)&lt;=0,"Thiếu số lượng; ","")&amp;IF(N($K67)&lt;=0,"Thiếu giá bán; ","")&amp;IF(AND($N67&gt;0,$F67=""),"Khách lấy VAT thiếu mã số thuế; ","")&amp;IF(N($Q67)&gt;$P67,"Đã thu vượt tổng phải thu; ","")&amp;IF(AND($L67&gt;0,$U67&lt;0),"CẢNH BÁO: ĐƠN NÀY ĐANG LỖ; ","")))</f>
        <v/>
      </c>
      <c r="Y67" s="16" t="str">
        <f aca="false">IF(AND($C67&lt;&gt;"",$R67&gt;0),COUNTIFS($C$6:$C67,"&lt;&gt;",$R$6:$R67,"&gt;0"),"")</f>
        <v/>
      </c>
      <c r="Z67" s="16" t="str">
        <f aca="false">IF(AND($H67&lt;&gt;"",N($N67)&gt;0),COUNTIFS($H$6:$H67,"&lt;&gt;",$N$6:$N67,"&gt;0"),"")</f>
        <v/>
      </c>
      <c r="AA67" s="16" t="str">
        <f aca="false">IF(AND($H67&lt;&gt;"",N($N67)=0),COUNTIFS($H$6:$H67,"&lt;&gt;",$N$6:$N67,"&lt;=0"),"")</f>
        <v/>
      </c>
      <c r="AB67" s="16" t="str">
        <f aca="false">IF($C67="","",IF(COUNTIF($C$6:$C67,$C67)&gt;1,"",MAX($AB$5:AB66)+1))</f>
        <v/>
      </c>
      <c r="AC67" s="16" t="str">
        <f aca="false">IF($H67="","",IF(COUNTIF($H$6:$H67,$H67)&gt;1,"",MAX($AC$5:AC66)+1))</f>
        <v/>
      </c>
    </row>
    <row r="68" customFormat="false" ht="15" hidden="false" customHeight="false" outlineLevel="0" collapsed="false">
      <c r="A68" s="16" t="str">
        <f aca="false">IF($C68="","",COUNTA($C$6:$C68))</f>
        <v/>
      </c>
      <c r="B68" s="17"/>
      <c r="C68" s="8"/>
      <c r="D68" s="8"/>
      <c r="E68" s="8"/>
      <c r="F68" s="8"/>
      <c r="G68" s="8"/>
      <c r="H68" s="8"/>
      <c r="I68" s="9"/>
      <c r="J68" s="10" t="str">
        <f aca="false">IF($H68="","",IFERROR(VLOOKUP($H68,'BẢNG GIÁ GỐC'!$A$5:$D$204,3,FALSE()),""))</f>
        <v/>
      </c>
      <c r="K68" s="9"/>
      <c r="L68" s="10" t="str">
        <f aca="false">IF($C68="","",N($I68)*N($K68))</f>
        <v/>
      </c>
      <c r="M68" s="8"/>
      <c r="N68" s="11" t="str">
        <f aca="false">IF($C68="","",IF($M68="VAT 5%",0.05,IF($M68="VAT 8%",0.08,IF($M68="VAT 10%",0.1,0))))</f>
        <v/>
      </c>
      <c r="O68" s="10" t="str">
        <f aca="false">IF($C68="","",$L68*$N68)</f>
        <v/>
      </c>
      <c r="P68" s="10" t="str">
        <f aca="false">IF($C68="","",$L68+$O68)</f>
        <v/>
      </c>
      <c r="Q68" s="9"/>
      <c r="R68" s="10" t="str">
        <f aca="false">IF($C68="","",MAX(0,$P68-N($Q68)))</f>
        <v/>
      </c>
      <c r="S68" s="19" t="str">
        <f aca="false">IF(OR($C68="",$P68=0),"",IF(N($Q68)&lt;=0,"Chưa thanh toán",IF(N($Q68)&lt;$P68,"Thanh toán một phần","Đã thanh toán")))</f>
        <v/>
      </c>
      <c r="T68" s="10" t="str">
        <f aca="false">IF(OR($C68="",$J68=""),"",N($I68)*$J68)</f>
        <v/>
      </c>
      <c r="U68" s="10" t="str">
        <f aca="false">IF(OR($C68="",$T68=""),"",$L68-$T68)</f>
        <v/>
      </c>
      <c r="V68" s="11" t="str">
        <f aca="false">IF(OR($U68="",$L68=0),"",$U68/$L68)</f>
        <v/>
      </c>
      <c r="W68" s="8"/>
      <c r="X68" s="19" t="str">
        <f aca="false">IF($C68="","",IF(AND($H68="",N($I68)=0,N($K68)=0),"Dòng chỉ lưu thông tin khách (chưa có đơn); ",IF($B68="","Thiếu ngày đặt; ","")&amp;IF($H68="","Thiếu tên sản phẩm; ",IF($J68="","Sản phẩm chưa có trong BẢNG GIÁ GỐC; ",""))&amp;IF(N($I68)&lt;=0,"Thiếu số lượng; ","")&amp;IF(N($K68)&lt;=0,"Thiếu giá bán; ","")&amp;IF(AND($N68&gt;0,$F68=""),"Khách lấy VAT thiếu mã số thuế; ","")&amp;IF(N($Q68)&gt;$P68,"Đã thu vượt tổng phải thu; ","")&amp;IF(AND($L68&gt;0,$U68&lt;0),"CẢNH BÁO: ĐƠN NÀY ĐANG LỖ; ","")))</f>
        <v/>
      </c>
      <c r="Y68" s="16" t="str">
        <f aca="false">IF(AND($C68&lt;&gt;"",$R68&gt;0),COUNTIFS($C$6:$C68,"&lt;&gt;",$R$6:$R68,"&gt;0"),"")</f>
        <v/>
      </c>
      <c r="Z68" s="16" t="str">
        <f aca="false">IF(AND($H68&lt;&gt;"",N($N68)&gt;0),COUNTIFS($H$6:$H68,"&lt;&gt;",$N$6:$N68,"&gt;0"),"")</f>
        <v/>
      </c>
      <c r="AA68" s="16" t="str">
        <f aca="false">IF(AND($H68&lt;&gt;"",N($N68)=0),COUNTIFS($H$6:$H68,"&lt;&gt;",$N$6:$N68,"&lt;=0"),"")</f>
        <v/>
      </c>
      <c r="AB68" s="16" t="str">
        <f aca="false">IF($C68="","",IF(COUNTIF($C$6:$C68,$C68)&gt;1,"",MAX($AB$5:AB67)+1))</f>
        <v/>
      </c>
      <c r="AC68" s="16" t="str">
        <f aca="false">IF($H68="","",IF(COUNTIF($H$6:$H68,$H68)&gt;1,"",MAX($AC$5:AC67)+1))</f>
        <v/>
      </c>
    </row>
    <row r="69" customFormat="false" ht="15" hidden="false" customHeight="false" outlineLevel="0" collapsed="false">
      <c r="A69" s="16" t="str">
        <f aca="false">IF($C69="","",COUNTA($C$6:$C69))</f>
        <v/>
      </c>
      <c r="B69" s="17"/>
      <c r="C69" s="8"/>
      <c r="D69" s="8"/>
      <c r="E69" s="8"/>
      <c r="F69" s="8"/>
      <c r="G69" s="8"/>
      <c r="H69" s="8"/>
      <c r="I69" s="9"/>
      <c r="J69" s="10" t="str">
        <f aca="false">IF($H69="","",IFERROR(VLOOKUP($H69,'BẢNG GIÁ GỐC'!$A$5:$D$204,3,FALSE()),""))</f>
        <v/>
      </c>
      <c r="K69" s="9"/>
      <c r="L69" s="10" t="str">
        <f aca="false">IF($C69="","",N($I69)*N($K69))</f>
        <v/>
      </c>
      <c r="M69" s="8"/>
      <c r="N69" s="11" t="str">
        <f aca="false">IF($C69="","",IF($M69="VAT 5%",0.05,IF($M69="VAT 8%",0.08,IF($M69="VAT 10%",0.1,0))))</f>
        <v/>
      </c>
      <c r="O69" s="10" t="str">
        <f aca="false">IF($C69="","",$L69*$N69)</f>
        <v/>
      </c>
      <c r="P69" s="10" t="str">
        <f aca="false">IF($C69="","",$L69+$O69)</f>
        <v/>
      </c>
      <c r="Q69" s="9"/>
      <c r="R69" s="10" t="str">
        <f aca="false">IF($C69="","",MAX(0,$P69-N($Q69)))</f>
        <v/>
      </c>
      <c r="S69" s="19" t="str">
        <f aca="false">IF(OR($C69="",$P69=0),"",IF(N($Q69)&lt;=0,"Chưa thanh toán",IF(N($Q69)&lt;$P69,"Thanh toán một phần","Đã thanh toán")))</f>
        <v/>
      </c>
      <c r="T69" s="10" t="str">
        <f aca="false">IF(OR($C69="",$J69=""),"",N($I69)*$J69)</f>
        <v/>
      </c>
      <c r="U69" s="10" t="str">
        <f aca="false">IF(OR($C69="",$T69=""),"",$L69-$T69)</f>
        <v/>
      </c>
      <c r="V69" s="11" t="str">
        <f aca="false">IF(OR($U69="",$L69=0),"",$U69/$L69)</f>
        <v/>
      </c>
      <c r="W69" s="8"/>
      <c r="X69" s="19" t="str">
        <f aca="false">IF($C69="","",IF(AND($H69="",N($I69)=0,N($K69)=0),"Dòng chỉ lưu thông tin khách (chưa có đơn); ",IF($B69="","Thiếu ngày đặt; ","")&amp;IF($H69="","Thiếu tên sản phẩm; ",IF($J69="","Sản phẩm chưa có trong BẢNG GIÁ GỐC; ",""))&amp;IF(N($I69)&lt;=0,"Thiếu số lượng; ","")&amp;IF(N($K69)&lt;=0,"Thiếu giá bán; ","")&amp;IF(AND($N69&gt;0,$F69=""),"Khách lấy VAT thiếu mã số thuế; ","")&amp;IF(N($Q69)&gt;$P69,"Đã thu vượt tổng phải thu; ","")&amp;IF(AND($L69&gt;0,$U69&lt;0),"CẢNH BÁO: ĐƠN NÀY ĐANG LỖ; ","")))</f>
        <v/>
      </c>
      <c r="Y69" s="16" t="str">
        <f aca="false">IF(AND($C69&lt;&gt;"",$R69&gt;0),COUNTIFS($C$6:$C69,"&lt;&gt;",$R$6:$R69,"&gt;0"),"")</f>
        <v/>
      </c>
      <c r="Z69" s="16" t="str">
        <f aca="false">IF(AND($H69&lt;&gt;"",N($N69)&gt;0),COUNTIFS($H$6:$H69,"&lt;&gt;",$N$6:$N69,"&gt;0"),"")</f>
        <v/>
      </c>
      <c r="AA69" s="16" t="str">
        <f aca="false">IF(AND($H69&lt;&gt;"",N($N69)=0),COUNTIFS($H$6:$H69,"&lt;&gt;",$N$6:$N69,"&lt;=0"),"")</f>
        <v/>
      </c>
      <c r="AB69" s="16" t="str">
        <f aca="false">IF($C69="","",IF(COUNTIF($C$6:$C69,$C69)&gt;1,"",MAX($AB$5:AB68)+1))</f>
        <v/>
      </c>
      <c r="AC69" s="16" t="str">
        <f aca="false">IF($H69="","",IF(COUNTIF($H$6:$H69,$H69)&gt;1,"",MAX($AC$5:AC68)+1))</f>
        <v/>
      </c>
    </row>
    <row r="70" customFormat="false" ht="15" hidden="false" customHeight="false" outlineLevel="0" collapsed="false">
      <c r="A70" s="16" t="str">
        <f aca="false">IF($C70="","",COUNTA($C$6:$C70))</f>
        <v/>
      </c>
      <c r="B70" s="17"/>
      <c r="C70" s="8"/>
      <c r="D70" s="8"/>
      <c r="E70" s="8"/>
      <c r="F70" s="8"/>
      <c r="G70" s="8"/>
      <c r="H70" s="8"/>
      <c r="I70" s="9"/>
      <c r="J70" s="10" t="str">
        <f aca="false">IF($H70="","",IFERROR(VLOOKUP($H70,'BẢNG GIÁ GỐC'!$A$5:$D$204,3,FALSE()),""))</f>
        <v/>
      </c>
      <c r="K70" s="9"/>
      <c r="L70" s="10" t="str">
        <f aca="false">IF($C70="","",N($I70)*N($K70))</f>
        <v/>
      </c>
      <c r="M70" s="8"/>
      <c r="N70" s="11" t="str">
        <f aca="false">IF($C70="","",IF($M70="VAT 5%",0.05,IF($M70="VAT 8%",0.08,IF($M70="VAT 10%",0.1,0))))</f>
        <v/>
      </c>
      <c r="O70" s="10" t="str">
        <f aca="false">IF($C70="","",$L70*$N70)</f>
        <v/>
      </c>
      <c r="P70" s="10" t="str">
        <f aca="false">IF($C70="","",$L70+$O70)</f>
        <v/>
      </c>
      <c r="Q70" s="9"/>
      <c r="R70" s="10" t="str">
        <f aca="false">IF($C70="","",MAX(0,$P70-N($Q70)))</f>
        <v/>
      </c>
      <c r="S70" s="19" t="str">
        <f aca="false">IF(OR($C70="",$P70=0),"",IF(N($Q70)&lt;=0,"Chưa thanh toán",IF(N($Q70)&lt;$P70,"Thanh toán một phần","Đã thanh toán")))</f>
        <v/>
      </c>
      <c r="T70" s="10" t="str">
        <f aca="false">IF(OR($C70="",$J70=""),"",N($I70)*$J70)</f>
        <v/>
      </c>
      <c r="U70" s="10" t="str">
        <f aca="false">IF(OR($C70="",$T70=""),"",$L70-$T70)</f>
        <v/>
      </c>
      <c r="V70" s="11" t="str">
        <f aca="false">IF(OR($U70="",$L70=0),"",$U70/$L70)</f>
        <v/>
      </c>
      <c r="W70" s="8"/>
      <c r="X70" s="19" t="str">
        <f aca="false">IF($C70="","",IF(AND($H70="",N($I70)=0,N($K70)=0),"Dòng chỉ lưu thông tin khách (chưa có đơn); ",IF($B70="","Thiếu ngày đặt; ","")&amp;IF($H70="","Thiếu tên sản phẩm; ",IF($J70="","Sản phẩm chưa có trong BẢNG GIÁ GỐC; ",""))&amp;IF(N($I70)&lt;=0,"Thiếu số lượng; ","")&amp;IF(N($K70)&lt;=0,"Thiếu giá bán; ","")&amp;IF(AND($N70&gt;0,$F70=""),"Khách lấy VAT thiếu mã số thuế; ","")&amp;IF(N($Q70)&gt;$P70,"Đã thu vượt tổng phải thu; ","")&amp;IF(AND($L70&gt;0,$U70&lt;0),"CẢNH BÁO: ĐƠN NÀY ĐANG LỖ; ","")))</f>
        <v/>
      </c>
      <c r="Y70" s="16" t="str">
        <f aca="false">IF(AND($C70&lt;&gt;"",$R70&gt;0),COUNTIFS($C$6:$C70,"&lt;&gt;",$R$6:$R70,"&gt;0"),"")</f>
        <v/>
      </c>
      <c r="Z70" s="16" t="str">
        <f aca="false">IF(AND($H70&lt;&gt;"",N($N70)&gt;0),COUNTIFS($H$6:$H70,"&lt;&gt;",$N$6:$N70,"&gt;0"),"")</f>
        <v/>
      </c>
      <c r="AA70" s="16" t="str">
        <f aca="false">IF(AND($H70&lt;&gt;"",N($N70)=0),COUNTIFS($H$6:$H70,"&lt;&gt;",$N$6:$N70,"&lt;=0"),"")</f>
        <v/>
      </c>
      <c r="AB70" s="16" t="str">
        <f aca="false">IF($C70="","",IF(COUNTIF($C$6:$C70,$C70)&gt;1,"",MAX($AB$5:AB69)+1))</f>
        <v/>
      </c>
      <c r="AC70" s="16" t="str">
        <f aca="false">IF($H70="","",IF(COUNTIF($H$6:$H70,$H70)&gt;1,"",MAX($AC$5:AC69)+1))</f>
        <v/>
      </c>
    </row>
    <row r="71" customFormat="false" ht="15" hidden="false" customHeight="false" outlineLevel="0" collapsed="false">
      <c r="A71" s="16" t="str">
        <f aca="false">IF($C71="","",COUNTA($C$6:$C71))</f>
        <v/>
      </c>
      <c r="B71" s="17"/>
      <c r="C71" s="8"/>
      <c r="D71" s="8"/>
      <c r="E71" s="8"/>
      <c r="F71" s="8"/>
      <c r="G71" s="8"/>
      <c r="H71" s="8"/>
      <c r="I71" s="9"/>
      <c r="J71" s="10" t="str">
        <f aca="false">IF($H71="","",IFERROR(VLOOKUP($H71,'BẢNG GIÁ GỐC'!$A$5:$D$204,3,FALSE()),""))</f>
        <v/>
      </c>
      <c r="K71" s="9"/>
      <c r="L71" s="10" t="str">
        <f aca="false">IF($C71="","",N($I71)*N($K71))</f>
        <v/>
      </c>
      <c r="M71" s="8"/>
      <c r="N71" s="11" t="str">
        <f aca="false">IF($C71="","",IF($M71="VAT 5%",0.05,IF($M71="VAT 8%",0.08,IF($M71="VAT 10%",0.1,0))))</f>
        <v/>
      </c>
      <c r="O71" s="10" t="str">
        <f aca="false">IF($C71="","",$L71*$N71)</f>
        <v/>
      </c>
      <c r="P71" s="10" t="str">
        <f aca="false">IF($C71="","",$L71+$O71)</f>
        <v/>
      </c>
      <c r="Q71" s="9"/>
      <c r="R71" s="10" t="str">
        <f aca="false">IF($C71="","",MAX(0,$P71-N($Q71)))</f>
        <v/>
      </c>
      <c r="S71" s="19" t="str">
        <f aca="false">IF(OR($C71="",$P71=0),"",IF(N($Q71)&lt;=0,"Chưa thanh toán",IF(N($Q71)&lt;$P71,"Thanh toán một phần","Đã thanh toán")))</f>
        <v/>
      </c>
      <c r="T71" s="10" t="str">
        <f aca="false">IF(OR($C71="",$J71=""),"",N($I71)*$J71)</f>
        <v/>
      </c>
      <c r="U71" s="10" t="str">
        <f aca="false">IF(OR($C71="",$T71=""),"",$L71-$T71)</f>
        <v/>
      </c>
      <c r="V71" s="11" t="str">
        <f aca="false">IF(OR($U71="",$L71=0),"",$U71/$L71)</f>
        <v/>
      </c>
      <c r="W71" s="8"/>
      <c r="X71" s="19" t="str">
        <f aca="false">IF($C71="","",IF(AND($H71="",N($I71)=0,N($K71)=0),"Dòng chỉ lưu thông tin khách (chưa có đơn); ",IF($B71="","Thiếu ngày đặt; ","")&amp;IF($H71="","Thiếu tên sản phẩm; ",IF($J71="","Sản phẩm chưa có trong BẢNG GIÁ GỐC; ",""))&amp;IF(N($I71)&lt;=0,"Thiếu số lượng; ","")&amp;IF(N($K71)&lt;=0,"Thiếu giá bán; ","")&amp;IF(AND($N71&gt;0,$F71=""),"Khách lấy VAT thiếu mã số thuế; ","")&amp;IF(N($Q71)&gt;$P71,"Đã thu vượt tổng phải thu; ","")&amp;IF(AND($L71&gt;0,$U71&lt;0),"CẢNH BÁO: ĐƠN NÀY ĐANG LỖ; ","")))</f>
        <v/>
      </c>
      <c r="Y71" s="16" t="str">
        <f aca="false">IF(AND($C71&lt;&gt;"",$R71&gt;0),COUNTIFS($C$6:$C71,"&lt;&gt;",$R$6:$R71,"&gt;0"),"")</f>
        <v/>
      </c>
      <c r="Z71" s="16" t="str">
        <f aca="false">IF(AND($H71&lt;&gt;"",N($N71)&gt;0),COUNTIFS($H$6:$H71,"&lt;&gt;",$N$6:$N71,"&gt;0"),"")</f>
        <v/>
      </c>
      <c r="AA71" s="16" t="str">
        <f aca="false">IF(AND($H71&lt;&gt;"",N($N71)=0),COUNTIFS($H$6:$H71,"&lt;&gt;",$N$6:$N71,"&lt;=0"),"")</f>
        <v/>
      </c>
      <c r="AB71" s="16" t="str">
        <f aca="false">IF($C71="","",IF(COUNTIF($C$6:$C71,$C71)&gt;1,"",MAX($AB$5:AB70)+1))</f>
        <v/>
      </c>
      <c r="AC71" s="16" t="str">
        <f aca="false">IF($H71="","",IF(COUNTIF($H$6:$H71,$H71)&gt;1,"",MAX($AC$5:AC70)+1))</f>
        <v/>
      </c>
    </row>
    <row r="72" customFormat="false" ht="15" hidden="false" customHeight="false" outlineLevel="0" collapsed="false">
      <c r="A72" s="16" t="str">
        <f aca="false">IF($C72="","",COUNTA($C$6:$C72))</f>
        <v/>
      </c>
      <c r="B72" s="17"/>
      <c r="C72" s="8"/>
      <c r="D72" s="8"/>
      <c r="E72" s="8"/>
      <c r="F72" s="8"/>
      <c r="G72" s="8"/>
      <c r="H72" s="8"/>
      <c r="I72" s="9"/>
      <c r="J72" s="10" t="str">
        <f aca="false">IF($H72="","",IFERROR(VLOOKUP($H72,'BẢNG GIÁ GỐC'!$A$5:$D$204,3,FALSE()),""))</f>
        <v/>
      </c>
      <c r="K72" s="9"/>
      <c r="L72" s="10" t="str">
        <f aca="false">IF($C72="","",N($I72)*N($K72))</f>
        <v/>
      </c>
      <c r="M72" s="8"/>
      <c r="N72" s="11" t="str">
        <f aca="false">IF($C72="","",IF($M72="VAT 5%",0.05,IF($M72="VAT 8%",0.08,IF($M72="VAT 10%",0.1,0))))</f>
        <v/>
      </c>
      <c r="O72" s="10" t="str">
        <f aca="false">IF($C72="","",$L72*$N72)</f>
        <v/>
      </c>
      <c r="P72" s="10" t="str">
        <f aca="false">IF($C72="","",$L72+$O72)</f>
        <v/>
      </c>
      <c r="Q72" s="9"/>
      <c r="R72" s="10" t="str">
        <f aca="false">IF($C72="","",MAX(0,$P72-N($Q72)))</f>
        <v/>
      </c>
      <c r="S72" s="19" t="str">
        <f aca="false">IF(OR($C72="",$P72=0),"",IF(N($Q72)&lt;=0,"Chưa thanh toán",IF(N($Q72)&lt;$P72,"Thanh toán một phần","Đã thanh toán")))</f>
        <v/>
      </c>
      <c r="T72" s="10" t="str">
        <f aca="false">IF(OR($C72="",$J72=""),"",N($I72)*$J72)</f>
        <v/>
      </c>
      <c r="U72" s="10" t="str">
        <f aca="false">IF(OR($C72="",$T72=""),"",$L72-$T72)</f>
        <v/>
      </c>
      <c r="V72" s="11" t="str">
        <f aca="false">IF(OR($U72="",$L72=0),"",$U72/$L72)</f>
        <v/>
      </c>
      <c r="W72" s="8"/>
      <c r="X72" s="19" t="str">
        <f aca="false">IF($C72="","",IF(AND($H72="",N($I72)=0,N($K72)=0),"Dòng chỉ lưu thông tin khách (chưa có đơn); ",IF($B72="","Thiếu ngày đặt; ","")&amp;IF($H72="","Thiếu tên sản phẩm; ",IF($J72="","Sản phẩm chưa có trong BẢNG GIÁ GỐC; ",""))&amp;IF(N($I72)&lt;=0,"Thiếu số lượng; ","")&amp;IF(N($K72)&lt;=0,"Thiếu giá bán; ","")&amp;IF(AND($N72&gt;0,$F72=""),"Khách lấy VAT thiếu mã số thuế; ","")&amp;IF(N($Q72)&gt;$P72,"Đã thu vượt tổng phải thu; ","")&amp;IF(AND($L72&gt;0,$U72&lt;0),"CẢNH BÁO: ĐƠN NÀY ĐANG LỖ; ","")))</f>
        <v/>
      </c>
      <c r="Y72" s="16" t="str">
        <f aca="false">IF(AND($C72&lt;&gt;"",$R72&gt;0),COUNTIFS($C$6:$C72,"&lt;&gt;",$R$6:$R72,"&gt;0"),"")</f>
        <v/>
      </c>
      <c r="Z72" s="16" t="str">
        <f aca="false">IF(AND($H72&lt;&gt;"",N($N72)&gt;0),COUNTIFS($H$6:$H72,"&lt;&gt;",$N$6:$N72,"&gt;0"),"")</f>
        <v/>
      </c>
      <c r="AA72" s="16" t="str">
        <f aca="false">IF(AND($H72&lt;&gt;"",N($N72)=0),COUNTIFS($H$6:$H72,"&lt;&gt;",$N$6:$N72,"&lt;=0"),"")</f>
        <v/>
      </c>
      <c r="AB72" s="16" t="str">
        <f aca="false">IF($C72="","",IF(COUNTIF($C$6:$C72,$C72)&gt;1,"",MAX($AB$5:AB71)+1))</f>
        <v/>
      </c>
      <c r="AC72" s="16" t="str">
        <f aca="false">IF($H72="","",IF(COUNTIF($H$6:$H72,$H72)&gt;1,"",MAX($AC$5:AC71)+1))</f>
        <v/>
      </c>
    </row>
    <row r="73" customFormat="false" ht="15" hidden="false" customHeight="false" outlineLevel="0" collapsed="false">
      <c r="A73" s="16" t="str">
        <f aca="false">IF($C73="","",COUNTA($C$6:$C73))</f>
        <v/>
      </c>
      <c r="B73" s="17"/>
      <c r="C73" s="8"/>
      <c r="D73" s="8"/>
      <c r="E73" s="8"/>
      <c r="F73" s="8"/>
      <c r="G73" s="8"/>
      <c r="H73" s="8"/>
      <c r="I73" s="9"/>
      <c r="J73" s="10" t="str">
        <f aca="false">IF($H73="","",IFERROR(VLOOKUP($H73,'BẢNG GIÁ GỐC'!$A$5:$D$204,3,FALSE()),""))</f>
        <v/>
      </c>
      <c r="K73" s="9"/>
      <c r="L73" s="10" t="str">
        <f aca="false">IF($C73="","",N($I73)*N($K73))</f>
        <v/>
      </c>
      <c r="M73" s="8"/>
      <c r="N73" s="11" t="str">
        <f aca="false">IF($C73="","",IF($M73="VAT 5%",0.05,IF($M73="VAT 8%",0.08,IF($M73="VAT 10%",0.1,0))))</f>
        <v/>
      </c>
      <c r="O73" s="10" t="str">
        <f aca="false">IF($C73="","",$L73*$N73)</f>
        <v/>
      </c>
      <c r="P73" s="10" t="str">
        <f aca="false">IF($C73="","",$L73+$O73)</f>
        <v/>
      </c>
      <c r="Q73" s="9"/>
      <c r="R73" s="10" t="str">
        <f aca="false">IF($C73="","",MAX(0,$P73-N($Q73)))</f>
        <v/>
      </c>
      <c r="S73" s="19" t="str">
        <f aca="false">IF(OR($C73="",$P73=0),"",IF(N($Q73)&lt;=0,"Chưa thanh toán",IF(N($Q73)&lt;$P73,"Thanh toán một phần","Đã thanh toán")))</f>
        <v/>
      </c>
      <c r="T73" s="10" t="str">
        <f aca="false">IF(OR($C73="",$J73=""),"",N($I73)*$J73)</f>
        <v/>
      </c>
      <c r="U73" s="10" t="str">
        <f aca="false">IF(OR($C73="",$T73=""),"",$L73-$T73)</f>
        <v/>
      </c>
      <c r="V73" s="11" t="str">
        <f aca="false">IF(OR($U73="",$L73=0),"",$U73/$L73)</f>
        <v/>
      </c>
      <c r="W73" s="8"/>
      <c r="X73" s="19" t="str">
        <f aca="false">IF($C73="","",IF(AND($H73="",N($I73)=0,N($K73)=0),"Dòng chỉ lưu thông tin khách (chưa có đơn); ",IF($B73="","Thiếu ngày đặt; ","")&amp;IF($H73="","Thiếu tên sản phẩm; ",IF($J73="","Sản phẩm chưa có trong BẢNG GIÁ GỐC; ",""))&amp;IF(N($I73)&lt;=0,"Thiếu số lượng; ","")&amp;IF(N($K73)&lt;=0,"Thiếu giá bán; ","")&amp;IF(AND($N73&gt;0,$F73=""),"Khách lấy VAT thiếu mã số thuế; ","")&amp;IF(N($Q73)&gt;$P73,"Đã thu vượt tổng phải thu; ","")&amp;IF(AND($L73&gt;0,$U73&lt;0),"CẢNH BÁO: ĐƠN NÀY ĐANG LỖ; ","")))</f>
        <v/>
      </c>
      <c r="Y73" s="16" t="str">
        <f aca="false">IF(AND($C73&lt;&gt;"",$R73&gt;0),COUNTIFS($C$6:$C73,"&lt;&gt;",$R$6:$R73,"&gt;0"),"")</f>
        <v/>
      </c>
      <c r="Z73" s="16" t="str">
        <f aca="false">IF(AND($H73&lt;&gt;"",N($N73)&gt;0),COUNTIFS($H$6:$H73,"&lt;&gt;",$N$6:$N73,"&gt;0"),"")</f>
        <v/>
      </c>
      <c r="AA73" s="16" t="str">
        <f aca="false">IF(AND($H73&lt;&gt;"",N($N73)=0),COUNTIFS($H$6:$H73,"&lt;&gt;",$N$6:$N73,"&lt;=0"),"")</f>
        <v/>
      </c>
      <c r="AB73" s="16" t="str">
        <f aca="false">IF($C73="","",IF(COUNTIF($C$6:$C73,$C73)&gt;1,"",MAX($AB$5:AB72)+1))</f>
        <v/>
      </c>
      <c r="AC73" s="16" t="str">
        <f aca="false">IF($H73="","",IF(COUNTIF($H$6:$H73,$H73)&gt;1,"",MAX($AC$5:AC72)+1))</f>
        <v/>
      </c>
    </row>
    <row r="74" customFormat="false" ht="15" hidden="false" customHeight="false" outlineLevel="0" collapsed="false">
      <c r="A74" s="16" t="str">
        <f aca="false">IF($C74="","",COUNTA($C$6:$C74))</f>
        <v/>
      </c>
      <c r="B74" s="17"/>
      <c r="C74" s="8"/>
      <c r="D74" s="8"/>
      <c r="E74" s="8"/>
      <c r="F74" s="8"/>
      <c r="G74" s="8"/>
      <c r="H74" s="8"/>
      <c r="I74" s="9"/>
      <c r="J74" s="10" t="str">
        <f aca="false">IF($H74="","",IFERROR(VLOOKUP($H74,'BẢNG GIÁ GỐC'!$A$5:$D$204,3,FALSE()),""))</f>
        <v/>
      </c>
      <c r="K74" s="9"/>
      <c r="L74" s="10" t="str">
        <f aca="false">IF($C74="","",N($I74)*N($K74))</f>
        <v/>
      </c>
      <c r="M74" s="8"/>
      <c r="N74" s="11" t="str">
        <f aca="false">IF($C74="","",IF($M74="VAT 5%",0.05,IF($M74="VAT 8%",0.08,IF($M74="VAT 10%",0.1,0))))</f>
        <v/>
      </c>
      <c r="O74" s="10" t="str">
        <f aca="false">IF($C74="","",$L74*$N74)</f>
        <v/>
      </c>
      <c r="P74" s="10" t="str">
        <f aca="false">IF($C74="","",$L74+$O74)</f>
        <v/>
      </c>
      <c r="Q74" s="9"/>
      <c r="R74" s="10" t="str">
        <f aca="false">IF($C74="","",MAX(0,$P74-N($Q74)))</f>
        <v/>
      </c>
      <c r="S74" s="19" t="str">
        <f aca="false">IF(OR($C74="",$P74=0),"",IF(N($Q74)&lt;=0,"Chưa thanh toán",IF(N($Q74)&lt;$P74,"Thanh toán một phần","Đã thanh toán")))</f>
        <v/>
      </c>
      <c r="T74" s="10" t="str">
        <f aca="false">IF(OR($C74="",$J74=""),"",N($I74)*$J74)</f>
        <v/>
      </c>
      <c r="U74" s="10" t="str">
        <f aca="false">IF(OR($C74="",$T74=""),"",$L74-$T74)</f>
        <v/>
      </c>
      <c r="V74" s="11" t="str">
        <f aca="false">IF(OR($U74="",$L74=0),"",$U74/$L74)</f>
        <v/>
      </c>
      <c r="W74" s="8"/>
      <c r="X74" s="19" t="str">
        <f aca="false">IF($C74="","",IF(AND($H74="",N($I74)=0,N($K74)=0),"Dòng chỉ lưu thông tin khách (chưa có đơn); ",IF($B74="","Thiếu ngày đặt; ","")&amp;IF($H74="","Thiếu tên sản phẩm; ",IF($J74="","Sản phẩm chưa có trong BẢNG GIÁ GỐC; ",""))&amp;IF(N($I74)&lt;=0,"Thiếu số lượng; ","")&amp;IF(N($K74)&lt;=0,"Thiếu giá bán; ","")&amp;IF(AND($N74&gt;0,$F74=""),"Khách lấy VAT thiếu mã số thuế; ","")&amp;IF(N($Q74)&gt;$P74,"Đã thu vượt tổng phải thu; ","")&amp;IF(AND($L74&gt;0,$U74&lt;0),"CẢNH BÁO: ĐƠN NÀY ĐANG LỖ; ","")))</f>
        <v/>
      </c>
      <c r="Y74" s="16" t="str">
        <f aca="false">IF(AND($C74&lt;&gt;"",$R74&gt;0),COUNTIFS($C$6:$C74,"&lt;&gt;",$R$6:$R74,"&gt;0"),"")</f>
        <v/>
      </c>
      <c r="Z74" s="16" t="str">
        <f aca="false">IF(AND($H74&lt;&gt;"",N($N74)&gt;0),COUNTIFS($H$6:$H74,"&lt;&gt;",$N$6:$N74,"&gt;0"),"")</f>
        <v/>
      </c>
      <c r="AA74" s="16" t="str">
        <f aca="false">IF(AND($H74&lt;&gt;"",N($N74)=0),COUNTIFS($H$6:$H74,"&lt;&gt;",$N$6:$N74,"&lt;=0"),"")</f>
        <v/>
      </c>
      <c r="AB74" s="16" t="str">
        <f aca="false">IF($C74="","",IF(COUNTIF($C$6:$C74,$C74)&gt;1,"",MAX($AB$5:AB73)+1))</f>
        <v/>
      </c>
      <c r="AC74" s="16" t="str">
        <f aca="false">IF($H74="","",IF(COUNTIF($H$6:$H74,$H74)&gt;1,"",MAX($AC$5:AC73)+1))</f>
        <v/>
      </c>
    </row>
    <row r="75" customFormat="false" ht="15" hidden="false" customHeight="false" outlineLevel="0" collapsed="false">
      <c r="A75" s="16" t="str">
        <f aca="false">IF($C75="","",COUNTA($C$6:$C75))</f>
        <v/>
      </c>
      <c r="B75" s="17"/>
      <c r="C75" s="8"/>
      <c r="D75" s="8"/>
      <c r="E75" s="8"/>
      <c r="F75" s="8"/>
      <c r="G75" s="8"/>
      <c r="H75" s="8"/>
      <c r="I75" s="9"/>
      <c r="J75" s="10" t="str">
        <f aca="false">IF($H75="","",IFERROR(VLOOKUP($H75,'BẢNG GIÁ GỐC'!$A$5:$D$204,3,FALSE()),""))</f>
        <v/>
      </c>
      <c r="K75" s="9"/>
      <c r="L75" s="10" t="str">
        <f aca="false">IF($C75="","",N($I75)*N($K75))</f>
        <v/>
      </c>
      <c r="M75" s="8"/>
      <c r="N75" s="11" t="str">
        <f aca="false">IF($C75="","",IF($M75="VAT 5%",0.05,IF($M75="VAT 8%",0.08,IF($M75="VAT 10%",0.1,0))))</f>
        <v/>
      </c>
      <c r="O75" s="10" t="str">
        <f aca="false">IF($C75="","",$L75*$N75)</f>
        <v/>
      </c>
      <c r="P75" s="10" t="str">
        <f aca="false">IF($C75="","",$L75+$O75)</f>
        <v/>
      </c>
      <c r="Q75" s="9"/>
      <c r="R75" s="10" t="str">
        <f aca="false">IF($C75="","",MAX(0,$P75-N($Q75)))</f>
        <v/>
      </c>
      <c r="S75" s="19" t="str">
        <f aca="false">IF(OR($C75="",$P75=0),"",IF(N($Q75)&lt;=0,"Chưa thanh toán",IF(N($Q75)&lt;$P75,"Thanh toán một phần","Đã thanh toán")))</f>
        <v/>
      </c>
      <c r="T75" s="10" t="str">
        <f aca="false">IF(OR($C75="",$J75=""),"",N($I75)*$J75)</f>
        <v/>
      </c>
      <c r="U75" s="10" t="str">
        <f aca="false">IF(OR($C75="",$T75=""),"",$L75-$T75)</f>
        <v/>
      </c>
      <c r="V75" s="11" t="str">
        <f aca="false">IF(OR($U75="",$L75=0),"",$U75/$L75)</f>
        <v/>
      </c>
      <c r="W75" s="8"/>
      <c r="X75" s="19" t="str">
        <f aca="false">IF($C75="","",IF(AND($H75="",N($I75)=0,N($K75)=0),"Dòng chỉ lưu thông tin khách (chưa có đơn); ",IF($B75="","Thiếu ngày đặt; ","")&amp;IF($H75="","Thiếu tên sản phẩm; ",IF($J75="","Sản phẩm chưa có trong BẢNG GIÁ GỐC; ",""))&amp;IF(N($I75)&lt;=0,"Thiếu số lượng; ","")&amp;IF(N($K75)&lt;=0,"Thiếu giá bán; ","")&amp;IF(AND($N75&gt;0,$F75=""),"Khách lấy VAT thiếu mã số thuế; ","")&amp;IF(N($Q75)&gt;$P75,"Đã thu vượt tổng phải thu; ","")&amp;IF(AND($L75&gt;0,$U75&lt;0),"CẢNH BÁO: ĐƠN NÀY ĐANG LỖ; ","")))</f>
        <v/>
      </c>
      <c r="Y75" s="16" t="str">
        <f aca="false">IF(AND($C75&lt;&gt;"",$R75&gt;0),COUNTIFS($C$6:$C75,"&lt;&gt;",$R$6:$R75,"&gt;0"),"")</f>
        <v/>
      </c>
      <c r="Z75" s="16" t="str">
        <f aca="false">IF(AND($H75&lt;&gt;"",N($N75)&gt;0),COUNTIFS($H$6:$H75,"&lt;&gt;",$N$6:$N75,"&gt;0"),"")</f>
        <v/>
      </c>
      <c r="AA75" s="16" t="str">
        <f aca="false">IF(AND($H75&lt;&gt;"",N($N75)=0),COUNTIFS($H$6:$H75,"&lt;&gt;",$N$6:$N75,"&lt;=0"),"")</f>
        <v/>
      </c>
      <c r="AB75" s="16" t="str">
        <f aca="false">IF($C75="","",IF(COUNTIF($C$6:$C75,$C75)&gt;1,"",MAX($AB$5:AB74)+1))</f>
        <v/>
      </c>
      <c r="AC75" s="16" t="str">
        <f aca="false">IF($H75="","",IF(COUNTIF($H$6:$H75,$H75)&gt;1,"",MAX($AC$5:AC74)+1))</f>
        <v/>
      </c>
    </row>
    <row r="76" customFormat="false" ht="15" hidden="false" customHeight="false" outlineLevel="0" collapsed="false">
      <c r="A76" s="16" t="str">
        <f aca="false">IF($C76="","",COUNTA($C$6:$C76))</f>
        <v/>
      </c>
      <c r="B76" s="17"/>
      <c r="C76" s="8"/>
      <c r="D76" s="8"/>
      <c r="E76" s="8"/>
      <c r="F76" s="8"/>
      <c r="G76" s="8"/>
      <c r="H76" s="8"/>
      <c r="I76" s="9"/>
      <c r="J76" s="10" t="str">
        <f aca="false">IF($H76="","",IFERROR(VLOOKUP($H76,'BẢNG GIÁ GỐC'!$A$5:$D$204,3,FALSE()),""))</f>
        <v/>
      </c>
      <c r="K76" s="9"/>
      <c r="L76" s="10" t="str">
        <f aca="false">IF($C76="","",N($I76)*N($K76))</f>
        <v/>
      </c>
      <c r="M76" s="8"/>
      <c r="N76" s="11" t="str">
        <f aca="false">IF($C76="","",IF($M76="VAT 5%",0.05,IF($M76="VAT 8%",0.08,IF($M76="VAT 10%",0.1,0))))</f>
        <v/>
      </c>
      <c r="O76" s="10" t="str">
        <f aca="false">IF($C76="","",$L76*$N76)</f>
        <v/>
      </c>
      <c r="P76" s="10" t="str">
        <f aca="false">IF($C76="","",$L76+$O76)</f>
        <v/>
      </c>
      <c r="Q76" s="9"/>
      <c r="R76" s="10" t="str">
        <f aca="false">IF($C76="","",MAX(0,$P76-N($Q76)))</f>
        <v/>
      </c>
      <c r="S76" s="19" t="str">
        <f aca="false">IF(OR($C76="",$P76=0),"",IF(N($Q76)&lt;=0,"Chưa thanh toán",IF(N($Q76)&lt;$P76,"Thanh toán một phần","Đã thanh toán")))</f>
        <v/>
      </c>
      <c r="T76" s="10" t="str">
        <f aca="false">IF(OR($C76="",$J76=""),"",N($I76)*$J76)</f>
        <v/>
      </c>
      <c r="U76" s="10" t="str">
        <f aca="false">IF(OR($C76="",$T76=""),"",$L76-$T76)</f>
        <v/>
      </c>
      <c r="V76" s="11" t="str">
        <f aca="false">IF(OR($U76="",$L76=0),"",$U76/$L76)</f>
        <v/>
      </c>
      <c r="W76" s="8"/>
      <c r="X76" s="19" t="str">
        <f aca="false">IF($C76="","",IF(AND($H76="",N($I76)=0,N($K76)=0),"Dòng chỉ lưu thông tin khách (chưa có đơn); ",IF($B76="","Thiếu ngày đặt; ","")&amp;IF($H76="","Thiếu tên sản phẩm; ",IF($J76="","Sản phẩm chưa có trong BẢNG GIÁ GỐC; ",""))&amp;IF(N($I76)&lt;=0,"Thiếu số lượng; ","")&amp;IF(N($K76)&lt;=0,"Thiếu giá bán; ","")&amp;IF(AND($N76&gt;0,$F76=""),"Khách lấy VAT thiếu mã số thuế; ","")&amp;IF(N($Q76)&gt;$P76,"Đã thu vượt tổng phải thu; ","")&amp;IF(AND($L76&gt;0,$U76&lt;0),"CẢNH BÁO: ĐƠN NÀY ĐANG LỖ; ","")))</f>
        <v/>
      </c>
      <c r="Y76" s="16" t="str">
        <f aca="false">IF(AND($C76&lt;&gt;"",$R76&gt;0),COUNTIFS($C$6:$C76,"&lt;&gt;",$R$6:$R76,"&gt;0"),"")</f>
        <v/>
      </c>
      <c r="Z76" s="16" t="str">
        <f aca="false">IF(AND($H76&lt;&gt;"",N($N76)&gt;0),COUNTIFS($H$6:$H76,"&lt;&gt;",$N$6:$N76,"&gt;0"),"")</f>
        <v/>
      </c>
      <c r="AA76" s="16" t="str">
        <f aca="false">IF(AND($H76&lt;&gt;"",N($N76)=0),COUNTIFS($H$6:$H76,"&lt;&gt;",$N$6:$N76,"&lt;=0"),"")</f>
        <v/>
      </c>
      <c r="AB76" s="16" t="str">
        <f aca="false">IF($C76="","",IF(COUNTIF($C$6:$C76,$C76)&gt;1,"",MAX($AB$5:AB75)+1))</f>
        <v/>
      </c>
      <c r="AC76" s="16" t="str">
        <f aca="false">IF($H76="","",IF(COUNTIF($H$6:$H76,$H76)&gt;1,"",MAX($AC$5:AC75)+1))</f>
        <v/>
      </c>
    </row>
    <row r="77" customFormat="false" ht="15" hidden="false" customHeight="false" outlineLevel="0" collapsed="false">
      <c r="A77" s="16" t="str">
        <f aca="false">IF($C77="","",COUNTA($C$6:$C77))</f>
        <v/>
      </c>
      <c r="B77" s="17"/>
      <c r="C77" s="8"/>
      <c r="D77" s="8"/>
      <c r="E77" s="8"/>
      <c r="F77" s="8"/>
      <c r="G77" s="8"/>
      <c r="H77" s="8"/>
      <c r="I77" s="9"/>
      <c r="J77" s="10" t="str">
        <f aca="false">IF($H77="","",IFERROR(VLOOKUP($H77,'BẢNG GIÁ GỐC'!$A$5:$D$204,3,FALSE()),""))</f>
        <v/>
      </c>
      <c r="K77" s="9"/>
      <c r="L77" s="10" t="str">
        <f aca="false">IF($C77="","",N($I77)*N($K77))</f>
        <v/>
      </c>
      <c r="M77" s="8"/>
      <c r="N77" s="11" t="str">
        <f aca="false">IF($C77="","",IF($M77="VAT 5%",0.05,IF($M77="VAT 8%",0.08,IF($M77="VAT 10%",0.1,0))))</f>
        <v/>
      </c>
      <c r="O77" s="10" t="str">
        <f aca="false">IF($C77="","",$L77*$N77)</f>
        <v/>
      </c>
      <c r="P77" s="10" t="str">
        <f aca="false">IF($C77="","",$L77+$O77)</f>
        <v/>
      </c>
      <c r="Q77" s="9"/>
      <c r="R77" s="10" t="str">
        <f aca="false">IF($C77="","",MAX(0,$P77-N($Q77)))</f>
        <v/>
      </c>
      <c r="S77" s="19" t="str">
        <f aca="false">IF(OR($C77="",$P77=0),"",IF(N($Q77)&lt;=0,"Chưa thanh toán",IF(N($Q77)&lt;$P77,"Thanh toán một phần","Đã thanh toán")))</f>
        <v/>
      </c>
      <c r="T77" s="10" t="str">
        <f aca="false">IF(OR($C77="",$J77=""),"",N($I77)*$J77)</f>
        <v/>
      </c>
      <c r="U77" s="10" t="str">
        <f aca="false">IF(OR($C77="",$T77=""),"",$L77-$T77)</f>
        <v/>
      </c>
      <c r="V77" s="11" t="str">
        <f aca="false">IF(OR($U77="",$L77=0),"",$U77/$L77)</f>
        <v/>
      </c>
      <c r="W77" s="8"/>
      <c r="X77" s="19" t="str">
        <f aca="false">IF($C77="","",IF(AND($H77="",N($I77)=0,N($K77)=0),"Dòng chỉ lưu thông tin khách (chưa có đơn); ",IF($B77="","Thiếu ngày đặt; ","")&amp;IF($H77="","Thiếu tên sản phẩm; ",IF($J77="","Sản phẩm chưa có trong BẢNG GIÁ GỐC; ",""))&amp;IF(N($I77)&lt;=0,"Thiếu số lượng; ","")&amp;IF(N($K77)&lt;=0,"Thiếu giá bán; ","")&amp;IF(AND($N77&gt;0,$F77=""),"Khách lấy VAT thiếu mã số thuế; ","")&amp;IF(N($Q77)&gt;$P77,"Đã thu vượt tổng phải thu; ","")&amp;IF(AND($L77&gt;0,$U77&lt;0),"CẢNH BÁO: ĐƠN NÀY ĐANG LỖ; ","")))</f>
        <v/>
      </c>
      <c r="Y77" s="16" t="str">
        <f aca="false">IF(AND($C77&lt;&gt;"",$R77&gt;0),COUNTIFS($C$6:$C77,"&lt;&gt;",$R$6:$R77,"&gt;0"),"")</f>
        <v/>
      </c>
      <c r="Z77" s="16" t="str">
        <f aca="false">IF(AND($H77&lt;&gt;"",N($N77)&gt;0),COUNTIFS($H$6:$H77,"&lt;&gt;",$N$6:$N77,"&gt;0"),"")</f>
        <v/>
      </c>
      <c r="AA77" s="16" t="str">
        <f aca="false">IF(AND($H77&lt;&gt;"",N($N77)=0),COUNTIFS($H$6:$H77,"&lt;&gt;",$N$6:$N77,"&lt;=0"),"")</f>
        <v/>
      </c>
      <c r="AB77" s="16" t="str">
        <f aca="false">IF($C77="","",IF(COUNTIF($C$6:$C77,$C77)&gt;1,"",MAX($AB$5:AB76)+1))</f>
        <v/>
      </c>
      <c r="AC77" s="16" t="str">
        <f aca="false">IF($H77="","",IF(COUNTIF($H$6:$H77,$H77)&gt;1,"",MAX($AC$5:AC76)+1))</f>
        <v/>
      </c>
    </row>
    <row r="78" customFormat="false" ht="15" hidden="false" customHeight="false" outlineLevel="0" collapsed="false">
      <c r="A78" s="16" t="str">
        <f aca="false">IF($C78="","",COUNTA($C$6:$C78))</f>
        <v/>
      </c>
      <c r="B78" s="17"/>
      <c r="C78" s="8"/>
      <c r="D78" s="8"/>
      <c r="E78" s="8"/>
      <c r="F78" s="8"/>
      <c r="G78" s="8"/>
      <c r="H78" s="8"/>
      <c r="I78" s="9"/>
      <c r="J78" s="10" t="str">
        <f aca="false">IF($H78="","",IFERROR(VLOOKUP($H78,'BẢNG GIÁ GỐC'!$A$5:$D$204,3,FALSE()),""))</f>
        <v/>
      </c>
      <c r="K78" s="9"/>
      <c r="L78" s="10" t="str">
        <f aca="false">IF($C78="","",N($I78)*N($K78))</f>
        <v/>
      </c>
      <c r="M78" s="8"/>
      <c r="N78" s="11" t="str">
        <f aca="false">IF($C78="","",IF($M78="VAT 5%",0.05,IF($M78="VAT 8%",0.08,IF($M78="VAT 10%",0.1,0))))</f>
        <v/>
      </c>
      <c r="O78" s="10" t="str">
        <f aca="false">IF($C78="","",$L78*$N78)</f>
        <v/>
      </c>
      <c r="P78" s="10" t="str">
        <f aca="false">IF($C78="","",$L78+$O78)</f>
        <v/>
      </c>
      <c r="Q78" s="9"/>
      <c r="R78" s="10" t="str">
        <f aca="false">IF($C78="","",MAX(0,$P78-N($Q78)))</f>
        <v/>
      </c>
      <c r="S78" s="19" t="str">
        <f aca="false">IF(OR($C78="",$P78=0),"",IF(N($Q78)&lt;=0,"Chưa thanh toán",IF(N($Q78)&lt;$P78,"Thanh toán một phần","Đã thanh toán")))</f>
        <v/>
      </c>
      <c r="T78" s="10" t="str">
        <f aca="false">IF(OR($C78="",$J78=""),"",N($I78)*$J78)</f>
        <v/>
      </c>
      <c r="U78" s="10" t="str">
        <f aca="false">IF(OR($C78="",$T78=""),"",$L78-$T78)</f>
        <v/>
      </c>
      <c r="V78" s="11" t="str">
        <f aca="false">IF(OR($U78="",$L78=0),"",$U78/$L78)</f>
        <v/>
      </c>
      <c r="W78" s="8"/>
      <c r="X78" s="19" t="str">
        <f aca="false">IF($C78="","",IF(AND($H78="",N($I78)=0,N($K78)=0),"Dòng chỉ lưu thông tin khách (chưa có đơn); ",IF($B78="","Thiếu ngày đặt; ","")&amp;IF($H78="","Thiếu tên sản phẩm; ",IF($J78="","Sản phẩm chưa có trong BẢNG GIÁ GỐC; ",""))&amp;IF(N($I78)&lt;=0,"Thiếu số lượng; ","")&amp;IF(N($K78)&lt;=0,"Thiếu giá bán; ","")&amp;IF(AND($N78&gt;0,$F78=""),"Khách lấy VAT thiếu mã số thuế; ","")&amp;IF(N($Q78)&gt;$P78,"Đã thu vượt tổng phải thu; ","")&amp;IF(AND($L78&gt;0,$U78&lt;0),"CẢNH BÁO: ĐƠN NÀY ĐANG LỖ; ","")))</f>
        <v/>
      </c>
      <c r="Y78" s="16" t="str">
        <f aca="false">IF(AND($C78&lt;&gt;"",$R78&gt;0),COUNTIFS($C$6:$C78,"&lt;&gt;",$R$6:$R78,"&gt;0"),"")</f>
        <v/>
      </c>
      <c r="Z78" s="16" t="str">
        <f aca="false">IF(AND($H78&lt;&gt;"",N($N78)&gt;0),COUNTIFS($H$6:$H78,"&lt;&gt;",$N$6:$N78,"&gt;0"),"")</f>
        <v/>
      </c>
      <c r="AA78" s="16" t="str">
        <f aca="false">IF(AND($H78&lt;&gt;"",N($N78)=0),COUNTIFS($H$6:$H78,"&lt;&gt;",$N$6:$N78,"&lt;=0"),"")</f>
        <v/>
      </c>
      <c r="AB78" s="16" t="str">
        <f aca="false">IF($C78="","",IF(COUNTIF($C$6:$C78,$C78)&gt;1,"",MAX($AB$5:AB77)+1))</f>
        <v/>
      </c>
      <c r="AC78" s="16" t="str">
        <f aca="false">IF($H78="","",IF(COUNTIF($H$6:$H78,$H78)&gt;1,"",MAX($AC$5:AC77)+1))</f>
        <v/>
      </c>
    </row>
    <row r="79" customFormat="false" ht="15" hidden="false" customHeight="false" outlineLevel="0" collapsed="false">
      <c r="A79" s="16" t="str">
        <f aca="false">IF($C79="","",COUNTA($C$6:$C79))</f>
        <v/>
      </c>
      <c r="B79" s="17"/>
      <c r="C79" s="8"/>
      <c r="D79" s="8"/>
      <c r="E79" s="8"/>
      <c r="F79" s="8"/>
      <c r="G79" s="8"/>
      <c r="H79" s="8"/>
      <c r="I79" s="9"/>
      <c r="J79" s="10" t="str">
        <f aca="false">IF($H79="","",IFERROR(VLOOKUP($H79,'BẢNG GIÁ GỐC'!$A$5:$D$204,3,FALSE()),""))</f>
        <v/>
      </c>
      <c r="K79" s="9"/>
      <c r="L79" s="10" t="str">
        <f aca="false">IF($C79="","",N($I79)*N($K79))</f>
        <v/>
      </c>
      <c r="M79" s="8"/>
      <c r="N79" s="11" t="str">
        <f aca="false">IF($C79="","",IF($M79="VAT 5%",0.05,IF($M79="VAT 8%",0.08,IF($M79="VAT 10%",0.1,0))))</f>
        <v/>
      </c>
      <c r="O79" s="10" t="str">
        <f aca="false">IF($C79="","",$L79*$N79)</f>
        <v/>
      </c>
      <c r="P79" s="10" t="str">
        <f aca="false">IF($C79="","",$L79+$O79)</f>
        <v/>
      </c>
      <c r="Q79" s="9"/>
      <c r="R79" s="10" t="str">
        <f aca="false">IF($C79="","",MAX(0,$P79-N($Q79)))</f>
        <v/>
      </c>
      <c r="S79" s="19" t="str">
        <f aca="false">IF(OR($C79="",$P79=0),"",IF(N($Q79)&lt;=0,"Chưa thanh toán",IF(N($Q79)&lt;$P79,"Thanh toán một phần","Đã thanh toán")))</f>
        <v/>
      </c>
      <c r="T79" s="10" t="str">
        <f aca="false">IF(OR($C79="",$J79=""),"",N($I79)*$J79)</f>
        <v/>
      </c>
      <c r="U79" s="10" t="str">
        <f aca="false">IF(OR($C79="",$T79=""),"",$L79-$T79)</f>
        <v/>
      </c>
      <c r="V79" s="11" t="str">
        <f aca="false">IF(OR($U79="",$L79=0),"",$U79/$L79)</f>
        <v/>
      </c>
      <c r="W79" s="8"/>
      <c r="X79" s="19" t="str">
        <f aca="false">IF($C79="","",IF(AND($H79="",N($I79)=0,N($K79)=0),"Dòng chỉ lưu thông tin khách (chưa có đơn); ",IF($B79="","Thiếu ngày đặt; ","")&amp;IF($H79="","Thiếu tên sản phẩm; ",IF($J79="","Sản phẩm chưa có trong BẢNG GIÁ GỐC; ",""))&amp;IF(N($I79)&lt;=0,"Thiếu số lượng; ","")&amp;IF(N($K79)&lt;=0,"Thiếu giá bán; ","")&amp;IF(AND($N79&gt;0,$F79=""),"Khách lấy VAT thiếu mã số thuế; ","")&amp;IF(N($Q79)&gt;$P79,"Đã thu vượt tổng phải thu; ","")&amp;IF(AND($L79&gt;0,$U79&lt;0),"CẢNH BÁO: ĐƠN NÀY ĐANG LỖ; ","")))</f>
        <v/>
      </c>
      <c r="Y79" s="16" t="str">
        <f aca="false">IF(AND($C79&lt;&gt;"",$R79&gt;0),COUNTIFS($C$6:$C79,"&lt;&gt;",$R$6:$R79,"&gt;0"),"")</f>
        <v/>
      </c>
      <c r="Z79" s="16" t="str">
        <f aca="false">IF(AND($H79&lt;&gt;"",N($N79)&gt;0),COUNTIFS($H$6:$H79,"&lt;&gt;",$N$6:$N79,"&gt;0"),"")</f>
        <v/>
      </c>
      <c r="AA79" s="16" t="str">
        <f aca="false">IF(AND($H79&lt;&gt;"",N($N79)=0),COUNTIFS($H$6:$H79,"&lt;&gt;",$N$6:$N79,"&lt;=0"),"")</f>
        <v/>
      </c>
      <c r="AB79" s="16" t="str">
        <f aca="false">IF($C79="","",IF(COUNTIF($C$6:$C79,$C79)&gt;1,"",MAX($AB$5:AB78)+1))</f>
        <v/>
      </c>
      <c r="AC79" s="16" t="str">
        <f aca="false">IF($H79="","",IF(COUNTIF($H$6:$H79,$H79)&gt;1,"",MAX($AC$5:AC78)+1))</f>
        <v/>
      </c>
    </row>
    <row r="80" customFormat="false" ht="15" hidden="false" customHeight="false" outlineLevel="0" collapsed="false">
      <c r="A80" s="16" t="str">
        <f aca="false">IF($C80="","",COUNTA($C$6:$C80))</f>
        <v/>
      </c>
      <c r="B80" s="17"/>
      <c r="C80" s="8"/>
      <c r="D80" s="8"/>
      <c r="E80" s="8"/>
      <c r="F80" s="8"/>
      <c r="G80" s="8"/>
      <c r="H80" s="8"/>
      <c r="I80" s="9"/>
      <c r="J80" s="10" t="str">
        <f aca="false">IF($H80="","",IFERROR(VLOOKUP($H80,'BẢNG GIÁ GỐC'!$A$5:$D$204,3,FALSE()),""))</f>
        <v/>
      </c>
      <c r="K80" s="9"/>
      <c r="L80" s="10" t="str">
        <f aca="false">IF($C80="","",N($I80)*N($K80))</f>
        <v/>
      </c>
      <c r="M80" s="8"/>
      <c r="N80" s="11" t="str">
        <f aca="false">IF($C80="","",IF($M80="VAT 5%",0.05,IF($M80="VAT 8%",0.08,IF($M80="VAT 10%",0.1,0))))</f>
        <v/>
      </c>
      <c r="O80" s="10" t="str">
        <f aca="false">IF($C80="","",$L80*$N80)</f>
        <v/>
      </c>
      <c r="P80" s="10" t="str">
        <f aca="false">IF($C80="","",$L80+$O80)</f>
        <v/>
      </c>
      <c r="Q80" s="9"/>
      <c r="R80" s="10" t="str">
        <f aca="false">IF($C80="","",MAX(0,$P80-N($Q80)))</f>
        <v/>
      </c>
      <c r="S80" s="19" t="str">
        <f aca="false">IF(OR($C80="",$P80=0),"",IF(N($Q80)&lt;=0,"Chưa thanh toán",IF(N($Q80)&lt;$P80,"Thanh toán một phần","Đã thanh toán")))</f>
        <v/>
      </c>
      <c r="T80" s="10" t="str">
        <f aca="false">IF(OR($C80="",$J80=""),"",N($I80)*$J80)</f>
        <v/>
      </c>
      <c r="U80" s="10" t="str">
        <f aca="false">IF(OR($C80="",$T80=""),"",$L80-$T80)</f>
        <v/>
      </c>
      <c r="V80" s="11" t="str">
        <f aca="false">IF(OR($U80="",$L80=0),"",$U80/$L80)</f>
        <v/>
      </c>
      <c r="W80" s="8"/>
      <c r="X80" s="19" t="str">
        <f aca="false">IF($C80="","",IF(AND($H80="",N($I80)=0,N($K80)=0),"Dòng chỉ lưu thông tin khách (chưa có đơn); ",IF($B80="","Thiếu ngày đặt; ","")&amp;IF($H80="","Thiếu tên sản phẩm; ",IF($J80="","Sản phẩm chưa có trong BẢNG GIÁ GỐC; ",""))&amp;IF(N($I80)&lt;=0,"Thiếu số lượng; ","")&amp;IF(N($K80)&lt;=0,"Thiếu giá bán; ","")&amp;IF(AND($N80&gt;0,$F80=""),"Khách lấy VAT thiếu mã số thuế; ","")&amp;IF(N($Q80)&gt;$P80,"Đã thu vượt tổng phải thu; ","")&amp;IF(AND($L80&gt;0,$U80&lt;0),"CẢNH BÁO: ĐƠN NÀY ĐANG LỖ; ","")))</f>
        <v/>
      </c>
      <c r="Y80" s="16" t="str">
        <f aca="false">IF(AND($C80&lt;&gt;"",$R80&gt;0),COUNTIFS($C$6:$C80,"&lt;&gt;",$R$6:$R80,"&gt;0"),"")</f>
        <v/>
      </c>
      <c r="Z80" s="16" t="str">
        <f aca="false">IF(AND($H80&lt;&gt;"",N($N80)&gt;0),COUNTIFS($H$6:$H80,"&lt;&gt;",$N$6:$N80,"&gt;0"),"")</f>
        <v/>
      </c>
      <c r="AA80" s="16" t="str">
        <f aca="false">IF(AND($H80&lt;&gt;"",N($N80)=0),COUNTIFS($H$6:$H80,"&lt;&gt;",$N$6:$N80,"&lt;=0"),"")</f>
        <v/>
      </c>
      <c r="AB80" s="16" t="str">
        <f aca="false">IF($C80="","",IF(COUNTIF($C$6:$C80,$C80)&gt;1,"",MAX($AB$5:AB79)+1))</f>
        <v/>
      </c>
      <c r="AC80" s="16" t="str">
        <f aca="false">IF($H80="","",IF(COUNTIF($H$6:$H80,$H80)&gt;1,"",MAX($AC$5:AC79)+1))</f>
        <v/>
      </c>
    </row>
    <row r="81" customFormat="false" ht="15" hidden="false" customHeight="false" outlineLevel="0" collapsed="false">
      <c r="A81" s="16" t="str">
        <f aca="false">IF($C81="","",COUNTA($C$6:$C81))</f>
        <v/>
      </c>
      <c r="B81" s="17"/>
      <c r="C81" s="8"/>
      <c r="D81" s="8"/>
      <c r="E81" s="8"/>
      <c r="F81" s="8"/>
      <c r="G81" s="8"/>
      <c r="H81" s="8"/>
      <c r="I81" s="9"/>
      <c r="J81" s="10" t="str">
        <f aca="false">IF($H81="","",IFERROR(VLOOKUP($H81,'BẢNG GIÁ GỐC'!$A$5:$D$204,3,FALSE()),""))</f>
        <v/>
      </c>
      <c r="K81" s="9"/>
      <c r="L81" s="10" t="str">
        <f aca="false">IF($C81="","",N($I81)*N($K81))</f>
        <v/>
      </c>
      <c r="M81" s="8"/>
      <c r="N81" s="11" t="str">
        <f aca="false">IF($C81="","",IF($M81="VAT 5%",0.05,IF($M81="VAT 8%",0.08,IF($M81="VAT 10%",0.1,0))))</f>
        <v/>
      </c>
      <c r="O81" s="10" t="str">
        <f aca="false">IF($C81="","",$L81*$N81)</f>
        <v/>
      </c>
      <c r="P81" s="10" t="str">
        <f aca="false">IF($C81="","",$L81+$O81)</f>
        <v/>
      </c>
      <c r="Q81" s="9"/>
      <c r="R81" s="10" t="str">
        <f aca="false">IF($C81="","",MAX(0,$P81-N($Q81)))</f>
        <v/>
      </c>
      <c r="S81" s="19" t="str">
        <f aca="false">IF(OR($C81="",$P81=0),"",IF(N($Q81)&lt;=0,"Chưa thanh toán",IF(N($Q81)&lt;$P81,"Thanh toán một phần","Đã thanh toán")))</f>
        <v/>
      </c>
      <c r="T81" s="10" t="str">
        <f aca="false">IF(OR($C81="",$J81=""),"",N($I81)*$J81)</f>
        <v/>
      </c>
      <c r="U81" s="10" t="str">
        <f aca="false">IF(OR($C81="",$T81=""),"",$L81-$T81)</f>
        <v/>
      </c>
      <c r="V81" s="11" t="str">
        <f aca="false">IF(OR($U81="",$L81=0),"",$U81/$L81)</f>
        <v/>
      </c>
      <c r="W81" s="8"/>
      <c r="X81" s="19" t="str">
        <f aca="false">IF($C81="","",IF(AND($H81="",N($I81)=0,N($K81)=0),"Dòng chỉ lưu thông tin khách (chưa có đơn); ",IF($B81="","Thiếu ngày đặt; ","")&amp;IF($H81="","Thiếu tên sản phẩm; ",IF($J81="","Sản phẩm chưa có trong BẢNG GIÁ GỐC; ",""))&amp;IF(N($I81)&lt;=0,"Thiếu số lượng; ","")&amp;IF(N($K81)&lt;=0,"Thiếu giá bán; ","")&amp;IF(AND($N81&gt;0,$F81=""),"Khách lấy VAT thiếu mã số thuế; ","")&amp;IF(N($Q81)&gt;$P81,"Đã thu vượt tổng phải thu; ","")&amp;IF(AND($L81&gt;0,$U81&lt;0),"CẢNH BÁO: ĐƠN NÀY ĐANG LỖ; ","")))</f>
        <v/>
      </c>
      <c r="Y81" s="16" t="str">
        <f aca="false">IF(AND($C81&lt;&gt;"",$R81&gt;0),COUNTIFS($C$6:$C81,"&lt;&gt;",$R$6:$R81,"&gt;0"),"")</f>
        <v/>
      </c>
      <c r="Z81" s="16" t="str">
        <f aca="false">IF(AND($H81&lt;&gt;"",N($N81)&gt;0),COUNTIFS($H$6:$H81,"&lt;&gt;",$N$6:$N81,"&gt;0"),"")</f>
        <v/>
      </c>
      <c r="AA81" s="16" t="str">
        <f aca="false">IF(AND($H81&lt;&gt;"",N($N81)=0),COUNTIFS($H$6:$H81,"&lt;&gt;",$N$6:$N81,"&lt;=0"),"")</f>
        <v/>
      </c>
      <c r="AB81" s="16" t="str">
        <f aca="false">IF($C81="","",IF(COUNTIF($C$6:$C81,$C81)&gt;1,"",MAX($AB$5:AB80)+1))</f>
        <v/>
      </c>
      <c r="AC81" s="16" t="str">
        <f aca="false">IF($H81="","",IF(COUNTIF($H$6:$H81,$H81)&gt;1,"",MAX($AC$5:AC80)+1))</f>
        <v/>
      </c>
    </row>
    <row r="82" customFormat="false" ht="15" hidden="false" customHeight="false" outlineLevel="0" collapsed="false">
      <c r="A82" s="16" t="str">
        <f aca="false">IF($C82="","",COUNTA($C$6:$C82))</f>
        <v/>
      </c>
      <c r="B82" s="17"/>
      <c r="C82" s="8"/>
      <c r="D82" s="8"/>
      <c r="E82" s="8"/>
      <c r="F82" s="8"/>
      <c r="G82" s="8"/>
      <c r="H82" s="8"/>
      <c r="I82" s="9"/>
      <c r="J82" s="10" t="str">
        <f aca="false">IF($H82="","",IFERROR(VLOOKUP($H82,'BẢNG GIÁ GỐC'!$A$5:$D$204,3,FALSE()),""))</f>
        <v/>
      </c>
      <c r="K82" s="9"/>
      <c r="L82" s="10" t="str">
        <f aca="false">IF($C82="","",N($I82)*N($K82))</f>
        <v/>
      </c>
      <c r="M82" s="8"/>
      <c r="N82" s="11" t="str">
        <f aca="false">IF($C82="","",IF($M82="VAT 5%",0.05,IF($M82="VAT 8%",0.08,IF($M82="VAT 10%",0.1,0))))</f>
        <v/>
      </c>
      <c r="O82" s="10" t="str">
        <f aca="false">IF($C82="","",$L82*$N82)</f>
        <v/>
      </c>
      <c r="P82" s="10" t="str">
        <f aca="false">IF($C82="","",$L82+$O82)</f>
        <v/>
      </c>
      <c r="Q82" s="9"/>
      <c r="R82" s="10" t="str">
        <f aca="false">IF($C82="","",MAX(0,$P82-N($Q82)))</f>
        <v/>
      </c>
      <c r="S82" s="19" t="str">
        <f aca="false">IF(OR($C82="",$P82=0),"",IF(N($Q82)&lt;=0,"Chưa thanh toán",IF(N($Q82)&lt;$P82,"Thanh toán một phần","Đã thanh toán")))</f>
        <v/>
      </c>
      <c r="T82" s="10" t="str">
        <f aca="false">IF(OR($C82="",$J82=""),"",N($I82)*$J82)</f>
        <v/>
      </c>
      <c r="U82" s="10" t="str">
        <f aca="false">IF(OR($C82="",$T82=""),"",$L82-$T82)</f>
        <v/>
      </c>
      <c r="V82" s="11" t="str">
        <f aca="false">IF(OR($U82="",$L82=0),"",$U82/$L82)</f>
        <v/>
      </c>
      <c r="W82" s="8"/>
      <c r="X82" s="19" t="str">
        <f aca="false">IF($C82="","",IF(AND($H82="",N($I82)=0,N($K82)=0),"Dòng chỉ lưu thông tin khách (chưa có đơn); ",IF($B82="","Thiếu ngày đặt; ","")&amp;IF($H82="","Thiếu tên sản phẩm; ",IF($J82="","Sản phẩm chưa có trong BẢNG GIÁ GỐC; ",""))&amp;IF(N($I82)&lt;=0,"Thiếu số lượng; ","")&amp;IF(N($K82)&lt;=0,"Thiếu giá bán; ","")&amp;IF(AND($N82&gt;0,$F82=""),"Khách lấy VAT thiếu mã số thuế; ","")&amp;IF(N($Q82)&gt;$P82,"Đã thu vượt tổng phải thu; ","")&amp;IF(AND($L82&gt;0,$U82&lt;0),"CẢNH BÁO: ĐƠN NÀY ĐANG LỖ; ","")))</f>
        <v/>
      </c>
      <c r="Y82" s="16" t="str">
        <f aca="false">IF(AND($C82&lt;&gt;"",$R82&gt;0),COUNTIFS($C$6:$C82,"&lt;&gt;",$R$6:$R82,"&gt;0"),"")</f>
        <v/>
      </c>
      <c r="Z82" s="16" t="str">
        <f aca="false">IF(AND($H82&lt;&gt;"",N($N82)&gt;0),COUNTIFS($H$6:$H82,"&lt;&gt;",$N$6:$N82,"&gt;0"),"")</f>
        <v/>
      </c>
      <c r="AA82" s="16" t="str">
        <f aca="false">IF(AND($H82&lt;&gt;"",N($N82)=0),COUNTIFS($H$6:$H82,"&lt;&gt;",$N$6:$N82,"&lt;=0"),"")</f>
        <v/>
      </c>
      <c r="AB82" s="16" t="str">
        <f aca="false">IF($C82="","",IF(COUNTIF($C$6:$C82,$C82)&gt;1,"",MAX($AB$5:AB81)+1))</f>
        <v/>
      </c>
      <c r="AC82" s="16" t="str">
        <f aca="false">IF($H82="","",IF(COUNTIF($H$6:$H82,$H82)&gt;1,"",MAX($AC$5:AC81)+1))</f>
        <v/>
      </c>
    </row>
    <row r="83" customFormat="false" ht="15" hidden="false" customHeight="false" outlineLevel="0" collapsed="false">
      <c r="A83" s="16" t="str">
        <f aca="false">IF($C83="","",COUNTA($C$6:$C83))</f>
        <v/>
      </c>
      <c r="B83" s="17"/>
      <c r="C83" s="8"/>
      <c r="D83" s="8"/>
      <c r="E83" s="8"/>
      <c r="F83" s="8"/>
      <c r="G83" s="8"/>
      <c r="H83" s="8"/>
      <c r="I83" s="9"/>
      <c r="J83" s="10" t="str">
        <f aca="false">IF($H83="","",IFERROR(VLOOKUP($H83,'BẢNG GIÁ GỐC'!$A$5:$D$204,3,FALSE()),""))</f>
        <v/>
      </c>
      <c r="K83" s="9"/>
      <c r="L83" s="10" t="str">
        <f aca="false">IF($C83="","",N($I83)*N($K83))</f>
        <v/>
      </c>
      <c r="M83" s="8"/>
      <c r="N83" s="11" t="str">
        <f aca="false">IF($C83="","",IF($M83="VAT 5%",0.05,IF($M83="VAT 8%",0.08,IF($M83="VAT 10%",0.1,0))))</f>
        <v/>
      </c>
      <c r="O83" s="10" t="str">
        <f aca="false">IF($C83="","",$L83*$N83)</f>
        <v/>
      </c>
      <c r="P83" s="10" t="str">
        <f aca="false">IF($C83="","",$L83+$O83)</f>
        <v/>
      </c>
      <c r="Q83" s="9"/>
      <c r="R83" s="10" t="str">
        <f aca="false">IF($C83="","",MAX(0,$P83-N($Q83)))</f>
        <v/>
      </c>
      <c r="S83" s="19" t="str">
        <f aca="false">IF(OR($C83="",$P83=0),"",IF(N($Q83)&lt;=0,"Chưa thanh toán",IF(N($Q83)&lt;$P83,"Thanh toán một phần","Đã thanh toán")))</f>
        <v/>
      </c>
      <c r="T83" s="10" t="str">
        <f aca="false">IF(OR($C83="",$J83=""),"",N($I83)*$J83)</f>
        <v/>
      </c>
      <c r="U83" s="10" t="str">
        <f aca="false">IF(OR($C83="",$T83=""),"",$L83-$T83)</f>
        <v/>
      </c>
      <c r="V83" s="11" t="str">
        <f aca="false">IF(OR($U83="",$L83=0),"",$U83/$L83)</f>
        <v/>
      </c>
      <c r="W83" s="8"/>
      <c r="X83" s="19" t="str">
        <f aca="false">IF($C83="","",IF(AND($H83="",N($I83)=0,N($K83)=0),"Dòng chỉ lưu thông tin khách (chưa có đơn); ",IF($B83="","Thiếu ngày đặt; ","")&amp;IF($H83="","Thiếu tên sản phẩm; ",IF($J83="","Sản phẩm chưa có trong BẢNG GIÁ GỐC; ",""))&amp;IF(N($I83)&lt;=0,"Thiếu số lượng; ","")&amp;IF(N($K83)&lt;=0,"Thiếu giá bán; ","")&amp;IF(AND($N83&gt;0,$F83=""),"Khách lấy VAT thiếu mã số thuế; ","")&amp;IF(N($Q83)&gt;$P83,"Đã thu vượt tổng phải thu; ","")&amp;IF(AND($L83&gt;0,$U83&lt;0),"CẢNH BÁO: ĐƠN NÀY ĐANG LỖ; ","")))</f>
        <v/>
      </c>
      <c r="Y83" s="16" t="str">
        <f aca="false">IF(AND($C83&lt;&gt;"",$R83&gt;0),COUNTIFS($C$6:$C83,"&lt;&gt;",$R$6:$R83,"&gt;0"),"")</f>
        <v/>
      </c>
      <c r="Z83" s="16" t="str">
        <f aca="false">IF(AND($H83&lt;&gt;"",N($N83)&gt;0),COUNTIFS($H$6:$H83,"&lt;&gt;",$N$6:$N83,"&gt;0"),"")</f>
        <v/>
      </c>
      <c r="AA83" s="16" t="str">
        <f aca="false">IF(AND($H83&lt;&gt;"",N($N83)=0),COUNTIFS($H$6:$H83,"&lt;&gt;",$N$6:$N83,"&lt;=0"),"")</f>
        <v/>
      </c>
      <c r="AB83" s="16" t="str">
        <f aca="false">IF($C83="","",IF(COUNTIF($C$6:$C83,$C83)&gt;1,"",MAX($AB$5:AB82)+1))</f>
        <v/>
      </c>
      <c r="AC83" s="16" t="str">
        <f aca="false">IF($H83="","",IF(COUNTIF($H$6:$H83,$H83)&gt;1,"",MAX($AC$5:AC82)+1))</f>
        <v/>
      </c>
    </row>
    <row r="84" customFormat="false" ht="15" hidden="false" customHeight="false" outlineLevel="0" collapsed="false">
      <c r="A84" s="16" t="str">
        <f aca="false">IF($C84="","",COUNTA($C$6:$C84))</f>
        <v/>
      </c>
      <c r="B84" s="17"/>
      <c r="C84" s="8"/>
      <c r="D84" s="8"/>
      <c r="E84" s="8"/>
      <c r="F84" s="8"/>
      <c r="G84" s="8"/>
      <c r="H84" s="8"/>
      <c r="I84" s="9"/>
      <c r="J84" s="10" t="str">
        <f aca="false">IF($H84="","",IFERROR(VLOOKUP($H84,'BẢNG GIÁ GỐC'!$A$5:$D$204,3,FALSE()),""))</f>
        <v/>
      </c>
      <c r="K84" s="9"/>
      <c r="L84" s="10" t="str">
        <f aca="false">IF($C84="","",N($I84)*N($K84))</f>
        <v/>
      </c>
      <c r="M84" s="8"/>
      <c r="N84" s="11" t="str">
        <f aca="false">IF($C84="","",IF($M84="VAT 5%",0.05,IF($M84="VAT 8%",0.08,IF($M84="VAT 10%",0.1,0))))</f>
        <v/>
      </c>
      <c r="O84" s="10" t="str">
        <f aca="false">IF($C84="","",$L84*$N84)</f>
        <v/>
      </c>
      <c r="P84" s="10" t="str">
        <f aca="false">IF($C84="","",$L84+$O84)</f>
        <v/>
      </c>
      <c r="Q84" s="9"/>
      <c r="R84" s="10" t="str">
        <f aca="false">IF($C84="","",MAX(0,$P84-N($Q84)))</f>
        <v/>
      </c>
      <c r="S84" s="19" t="str">
        <f aca="false">IF(OR($C84="",$P84=0),"",IF(N($Q84)&lt;=0,"Chưa thanh toán",IF(N($Q84)&lt;$P84,"Thanh toán một phần","Đã thanh toán")))</f>
        <v/>
      </c>
      <c r="T84" s="10" t="str">
        <f aca="false">IF(OR($C84="",$J84=""),"",N($I84)*$J84)</f>
        <v/>
      </c>
      <c r="U84" s="10" t="str">
        <f aca="false">IF(OR($C84="",$T84=""),"",$L84-$T84)</f>
        <v/>
      </c>
      <c r="V84" s="11" t="str">
        <f aca="false">IF(OR($U84="",$L84=0),"",$U84/$L84)</f>
        <v/>
      </c>
      <c r="W84" s="8"/>
      <c r="X84" s="19" t="str">
        <f aca="false">IF($C84="","",IF(AND($H84="",N($I84)=0,N($K84)=0),"Dòng chỉ lưu thông tin khách (chưa có đơn); ",IF($B84="","Thiếu ngày đặt; ","")&amp;IF($H84="","Thiếu tên sản phẩm; ",IF($J84="","Sản phẩm chưa có trong BẢNG GIÁ GỐC; ",""))&amp;IF(N($I84)&lt;=0,"Thiếu số lượng; ","")&amp;IF(N($K84)&lt;=0,"Thiếu giá bán; ","")&amp;IF(AND($N84&gt;0,$F84=""),"Khách lấy VAT thiếu mã số thuế; ","")&amp;IF(N($Q84)&gt;$P84,"Đã thu vượt tổng phải thu; ","")&amp;IF(AND($L84&gt;0,$U84&lt;0),"CẢNH BÁO: ĐƠN NÀY ĐANG LỖ; ","")))</f>
        <v/>
      </c>
      <c r="Y84" s="16" t="str">
        <f aca="false">IF(AND($C84&lt;&gt;"",$R84&gt;0),COUNTIFS($C$6:$C84,"&lt;&gt;",$R$6:$R84,"&gt;0"),"")</f>
        <v/>
      </c>
      <c r="Z84" s="16" t="str">
        <f aca="false">IF(AND($H84&lt;&gt;"",N($N84)&gt;0),COUNTIFS($H$6:$H84,"&lt;&gt;",$N$6:$N84,"&gt;0"),"")</f>
        <v/>
      </c>
      <c r="AA84" s="16" t="str">
        <f aca="false">IF(AND($H84&lt;&gt;"",N($N84)=0),COUNTIFS($H$6:$H84,"&lt;&gt;",$N$6:$N84,"&lt;=0"),"")</f>
        <v/>
      </c>
      <c r="AB84" s="16" t="str">
        <f aca="false">IF($C84="","",IF(COUNTIF($C$6:$C84,$C84)&gt;1,"",MAX($AB$5:AB83)+1))</f>
        <v/>
      </c>
      <c r="AC84" s="16" t="str">
        <f aca="false">IF($H84="","",IF(COUNTIF($H$6:$H84,$H84)&gt;1,"",MAX($AC$5:AC83)+1))</f>
        <v/>
      </c>
    </row>
    <row r="85" customFormat="false" ht="15" hidden="false" customHeight="false" outlineLevel="0" collapsed="false">
      <c r="A85" s="16" t="str">
        <f aca="false">IF($C85="","",COUNTA($C$6:$C85))</f>
        <v/>
      </c>
      <c r="B85" s="17"/>
      <c r="C85" s="8"/>
      <c r="D85" s="8"/>
      <c r="E85" s="8"/>
      <c r="F85" s="8"/>
      <c r="G85" s="8"/>
      <c r="H85" s="8"/>
      <c r="I85" s="9"/>
      <c r="J85" s="10" t="str">
        <f aca="false">IF($H85="","",IFERROR(VLOOKUP($H85,'BẢNG GIÁ GỐC'!$A$5:$D$204,3,FALSE()),""))</f>
        <v/>
      </c>
      <c r="K85" s="9"/>
      <c r="L85" s="10" t="str">
        <f aca="false">IF($C85="","",N($I85)*N($K85))</f>
        <v/>
      </c>
      <c r="M85" s="8"/>
      <c r="N85" s="11" t="str">
        <f aca="false">IF($C85="","",IF($M85="VAT 5%",0.05,IF($M85="VAT 8%",0.08,IF($M85="VAT 10%",0.1,0))))</f>
        <v/>
      </c>
      <c r="O85" s="10" t="str">
        <f aca="false">IF($C85="","",$L85*$N85)</f>
        <v/>
      </c>
      <c r="P85" s="10" t="str">
        <f aca="false">IF($C85="","",$L85+$O85)</f>
        <v/>
      </c>
      <c r="Q85" s="9"/>
      <c r="R85" s="10" t="str">
        <f aca="false">IF($C85="","",MAX(0,$P85-N($Q85)))</f>
        <v/>
      </c>
      <c r="S85" s="19" t="str">
        <f aca="false">IF(OR($C85="",$P85=0),"",IF(N($Q85)&lt;=0,"Chưa thanh toán",IF(N($Q85)&lt;$P85,"Thanh toán một phần","Đã thanh toán")))</f>
        <v/>
      </c>
      <c r="T85" s="10" t="str">
        <f aca="false">IF(OR($C85="",$J85=""),"",N($I85)*$J85)</f>
        <v/>
      </c>
      <c r="U85" s="10" t="str">
        <f aca="false">IF(OR($C85="",$T85=""),"",$L85-$T85)</f>
        <v/>
      </c>
      <c r="V85" s="11" t="str">
        <f aca="false">IF(OR($U85="",$L85=0),"",$U85/$L85)</f>
        <v/>
      </c>
      <c r="W85" s="8"/>
      <c r="X85" s="19" t="str">
        <f aca="false">IF($C85="","",IF(AND($H85="",N($I85)=0,N($K85)=0),"Dòng chỉ lưu thông tin khách (chưa có đơn); ",IF($B85="","Thiếu ngày đặt; ","")&amp;IF($H85="","Thiếu tên sản phẩm; ",IF($J85="","Sản phẩm chưa có trong BẢNG GIÁ GỐC; ",""))&amp;IF(N($I85)&lt;=0,"Thiếu số lượng; ","")&amp;IF(N($K85)&lt;=0,"Thiếu giá bán; ","")&amp;IF(AND($N85&gt;0,$F85=""),"Khách lấy VAT thiếu mã số thuế; ","")&amp;IF(N($Q85)&gt;$P85,"Đã thu vượt tổng phải thu; ","")&amp;IF(AND($L85&gt;0,$U85&lt;0),"CẢNH BÁO: ĐƠN NÀY ĐANG LỖ; ","")))</f>
        <v/>
      </c>
      <c r="Y85" s="16" t="str">
        <f aca="false">IF(AND($C85&lt;&gt;"",$R85&gt;0),COUNTIFS($C$6:$C85,"&lt;&gt;",$R$6:$R85,"&gt;0"),"")</f>
        <v/>
      </c>
      <c r="Z85" s="16" t="str">
        <f aca="false">IF(AND($H85&lt;&gt;"",N($N85)&gt;0),COUNTIFS($H$6:$H85,"&lt;&gt;",$N$6:$N85,"&gt;0"),"")</f>
        <v/>
      </c>
      <c r="AA85" s="16" t="str">
        <f aca="false">IF(AND($H85&lt;&gt;"",N($N85)=0),COUNTIFS($H$6:$H85,"&lt;&gt;",$N$6:$N85,"&lt;=0"),"")</f>
        <v/>
      </c>
      <c r="AB85" s="16" t="str">
        <f aca="false">IF($C85="","",IF(COUNTIF($C$6:$C85,$C85)&gt;1,"",MAX($AB$5:AB84)+1))</f>
        <v/>
      </c>
      <c r="AC85" s="16" t="str">
        <f aca="false">IF($H85="","",IF(COUNTIF($H$6:$H85,$H85)&gt;1,"",MAX($AC$5:AC84)+1))</f>
        <v/>
      </c>
    </row>
    <row r="86" customFormat="false" ht="15" hidden="false" customHeight="false" outlineLevel="0" collapsed="false">
      <c r="A86" s="16" t="str">
        <f aca="false">IF($C86="","",COUNTA($C$6:$C86))</f>
        <v/>
      </c>
      <c r="B86" s="17"/>
      <c r="C86" s="8"/>
      <c r="D86" s="8"/>
      <c r="E86" s="8"/>
      <c r="F86" s="8"/>
      <c r="G86" s="8"/>
      <c r="H86" s="8"/>
      <c r="I86" s="9"/>
      <c r="J86" s="10" t="str">
        <f aca="false">IF($H86="","",IFERROR(VLOOKUP($H86,'BẢNG GIÁ GỐC'!$A$5:$D$204,3,FALSE()),""))</f>
        <v/>
      </c>
      <c r="K86" s="9"/>
      <c r="L86" s="10" t="str">
        <f aca="false">IF($C86="","",N($I86)*N($K86))</f>
        <v/>
      </c>
      <c r="M86" s="8"/>
      <c r="N86" s="11" t="str">
        <f aca="false">IF($C86="","",IF($M86="VAT 5%",0.05,IF($M86="VAT 8%",0.08,IF($M86="VAT 10%",0.1,0))))</f>
        <v/>
      </c>
      <c r="O86" s="10" t="str">
        <f aca="false">IF($C86="","",$L86*$N86)</f>
        <v/>
      </c>
      <c r="P86" s="10" t="str">
        <f aca="false">IF($C86="","",$L86+$O86)</f>
        <v/>
      </c>
      <c r="Q86" s="9"/>
      <c r="R86" s="10" t="str">
        <f aca="false">IF($C86="","",MAX(0,$P86-N($Q86)))</f>
        <v/>
      </c>
      <c r="S86" s="19" t="str">
        <f aca="false">IF(OR($C86="",$P86=0),"",IF(N($Q86)&lt;=0,"Chưa thanh toán",IF(N($Q86)&lt;$P86,"Thanh toán một phần","Đã thanh toán")))</f>
        <v/>
      </c>
      <c r="T86" s="10" t="str">
        <f aca="false">IF(OR($C86="",$J86=""),"",N($I86)*$J86)</f>
        <v/>
      </c>
      <c r="U86" s="10" t="str">
        <f aca="false">IF(OR($C86="",$T86=""),"",$L86-$T86)</f>
        <v/>
      </c>
      <c r="V86" s="11" t="str">
        <f aca="false">IF(OR($U86="",$L86=0),"",$U86/$L86)</f>
        <v/>
      </c>
      <c r="W86" s="8"/>
      <c r="X86" s="19" t="str">
        <f aca="false">IF($C86="","",IF(AND($H86="",N($I86)=0,N($K86)=0),"Dòng chỉ lưu thông tin khách (chưa có đơn); ",IF($B86="","Thiếu ngày đặt; ","")&amp;IF($H86="","Thiếu tên sản phẩm; ",IF($J86="","Sản phẩm chưa có trong BẢNG GIÁ GỐC; ",""))&amp;IF(N($I86)&lt;=0,"Thiếu số lượng; ","")&amp;IF(N($K86)&lt;=0,"Thiếu giá bán; ","")&amp;IF(AND($N86&gt;0,$F86=""),"Khách lấy VAT thiếu mã số thuế; ","")&amp;IF(N($Q86)&gt;$P86,"Đã thu vượt tổng phải thu; ","")&amp;IF(AND($L86&gt;0,$U86&lt;0),"CẢNH BÁO: ĐƠN NÀY ĐANG LỖ; ","")))</f>
        <v/>
      </c>
      <c r="Y86" s="16" t="str">
        <f aca="false">IF(AND($C86&lt;&gt;"",$R86&gt;0),COUNTIFS($C$6:$C86,"&lt;&gt;",$R$6:$R86,"&gt;0"),"")</f>
        <v/>
      </c>
      <c r="Z86" s="16" t="str">
        <f aca="false">IF(AND($H86&lt;&gt;"",N($N86)&gt;0),COUNTIFS($H$6:$H86,"&lt;&gt;",$N$6:$N86,"&gt;0"),"")</f>
        <v/>
      </c>
      <c r="AA86" s="16" t="str">
        <f aca="false">IF(AND($H86&lt;&gt;"",N($N86)=0),COUNTIFS($H$6:$H86,"&lt;&gt;",$N$6:$N86,"&lt;=0"),"")</f>
        <v/>
      </c>
      <c r="AB86" s="16" t="str">
        <f aca="false">IF($C86="","",IF(COUNTIF($C$6:$C86,$C86)&gt;1,"",MAX($AB$5:AB85)+1))</f>
        <v/>
      </c>
      <c r="AC86" s="16" t="str">
        <f aca="false">IF($H86="","",IF(COUNTIF($H$6:$H86,$H86)&gt;1,"",MAX($AC$5:AC85)+1))</f>
        <v/>
      </c>
    </row>
    <row r="87" customFormat="false" ht="15" hidden="false" customHeight="false" outlineLevel="0" collapsed="false">
      <c r="A87" s="16" t="str">
        <f aca="false">IF($C87="","",COUNTA($C$6:$C87))</f>
        <v/>
      </c>
      <c r="B87" s="17"/>
      <c r="C87" s="8"/>
      <c r="D87" s="8"/>
      <c r="E87" s="8"/>
      <c r="F87" s="8"/>
      <c r="G87" s="8"/>
      <c r="H87" s="8"/>
      <c r="I87" s="9"/>
      <c r="J87" s="10" t="str">
        <f aca="false">IF($H87="","",IFERROR(VLOOKUP($H87,'BẢNG GIÁ GỐC'!$A$5:$D$204,3,FALSE()),""))</f>
        <v/>
      </c>
      <c r="K87" s="9"/>
      <c r="L87" s="10" t="str">
        <f aca="false">IF($C87="","",N($I87)*N($K87))</f>
        <v/>
      </c>
      <c r="M87" s="8"/>
      <c r="N87" s="11" t="str">
        <f aca="false">IF($C87="","",IF($M87="VAT 5%",0.05,IF($M87="VAT 8%",0.08,IF($M87="VAT 10%",0.1,0))))</f>
        <v/>
      </c>
      <c r="O87" s="10" t="str">
        <f aca="false">IF($C87="","",$L87*$N87)</f>
        <v/>
      </c>
      <c r="P87" s="10" t="str">
        <f aca="false">IF($C87="","",$L87+$O87)</f>
        <v/>
      </c>
      <c r="Q87" s="9"/>
      <c r="R87" s="10" t="str">
        <f aca="false">IF($C87="","",MAX(0,$P87-N($Q87)))</f>
        <v/>
      </c>
      <c r="S87" s="19" t="str">
        <f aca="false">IF(OR($C87="",$P87=0),"",IF(N($Q87)&lt;=0,"Chưa thanh toán",IF(N($Q87)&lt;$P87,"Thanh toán một phần","Đã thanh toán")))</f>
        <v/>
      </c>
      <c r="T87" s="10" t="str">
        <f aca="false">IF(OR($C87="",$J87=""),"",N($I87)*$J87)</f>
        <v/>
      </c>
      <c r="U87" s="10" t="str">
        <f aca="false">IF(OR($C87="",$T87=""),"",$L87-$T87)</f>
        <v/>
      </c>
      <c r="V87" s="11" t="str">
        <f aca="false">IF(OR($U87="",$L87=0),"",$U87/$L87)</f>
        <v/>
      </c>
      <c r="W87" s="8"/>
      <c r="X87" s="19" t="str">
        <f aca="false">IF($C87="","",IF(AND($H87="",N($I87)=0,N($K87)=0),"Dòng chỉ lưu thông tin khách (chưa có đơn); ",IF($B87="","Thiếu ngày đặt; ","")&amp;IF($H87="","Thiếu tên sản phẩm; ",IF($J87="","Sản phẩm chưa có trong BẢNG GIÁ GỐC; ",""))&amp;IF(N($I87)&lt;=0,"Thiếu số lượng; ","")&amp;IF(N($K87)&lt;=0,"Thiếu giá bán; ","")&amp;IF(AND($N87&gt;0,$F87=""),"Khách lấy VAT thiếu mã số thuế; ","")&amp;IF(N($Q87)&gt;$P87,"Đã thu vượt tổng phải thu; ","")&amp;IF(AND($L87&gt;0,$U87&lt;0),"CẢNH BÁO: ĐƠN NÀY ĐANG LỖ; ","")))</f>
        <v/>
      </c>
      <c r="Y87" s="16" t="str">
        <f aca="false">IF(AND($C87&lt;&gt;"",$R87&gt;0),COUNTIFS($C$6:$C87,"&lt;&gt;",$R$6:$R87,"&gt;0"),"")</f>
        <v/>
      </c>
      <c r="Z87" s="16" t="str">
        <f aca="false">IF(AND($H87&lt;&gt;"",N($N87)&gt;0),COUNTIFS($H$6:$H87,"&lt;&gt;",$N$6:$N87,"&gt;0"),"")</f>
        <v/>
      </c>
      <c r="AA87" s="16" t="str">
        <f aca="false">IF(AND($H87&lt;&gt;"",N($N87)=0),COUNTIFS($H$6:$H87,"&lt;&gt;",$N$6:$N87,"&lt;=0"),"")</f>
        <v/>
      </c>
      <c r="AB87" s="16" t="str">
        <f aca="false">IF($C87="","",IF(COUNTIF($C$6:$C87,$C87)&gt;1,"",MAX($AB$5:AB86)+1))</f>
        <v/>
      </c>
      <c r="AC87" s="16" t="str">
        <f aca="false">IF($H87="","",IF(COUNTIF($H$6:$H87,$H87)&gt;1,"",MAX($AC$5:AC86)+1))</f>
        <v/>
      </c>
    </row>
    <row r="88" customFormat="false" ht="15" hidden="false" customHeight="false" outlineLevel="0" collapsed="false">
      <c r="A88" s="16" t="str">
        <f aca="false">IF($C88="","",COUNTA($C$6:$C88))</f>
        <v/>
      </c>
      <c r="B88" s="17"/>
      <c r="C88" s="8"/>
      <c r="D88" s="8"/>
      <c r="E88" s="8"/>
      <c r="F88" s="8"/>
      <c r="G88" s="8"/>
      <c r="H88" s="8"/>
      <c r="I88" s="9"/>
      <c r="J88" s="10" t="str">
        <f aca="false">IF($H88="","",IFERROR(VLOOKUP($H88,'BẢNG GIÁ GỐC'!$A$5:$D$204,3,FALSE()),""))</f>
        <v/>
      </c>
      <c r="K88" s="9"/>
      <c r="L88" s="10" t="str">
        <f aca="false">IF($C88="","",N($I88)*N($K88))</f>
        <v/>
      </c>
      <c r="M88" s="8"/>
      <c r="N88" s="11" t="str">
        <f aca="false">IF($C88="","",IF($M88="VAT 5%",0.05,IF($M88="VAT 8%",0.08,IF($M88="VAT 10%",0.1,0))))</f>
        <v/>
      </c>
      <c r="O88" s="10" t="str">
        <f aca="false">IF($C88="","",$L88*$N88)</f>
        <v/>
      </c>
      <c r="P88" s="10" t="str">
        <f aca="false">IF($C88="","",$L88+$O88)</f>
        <v/>
      </c>
      <c r="Q88" s="9"/>
      <c r="R88" s="10" t="str">
        <f aca="false">IF($C88="","",MAX(0,$P88-N($Q88)))</f>
        <v/>
      </c>
      <c r="S88" s="19" t="str">
        <f aca="false">IF(OR($C88="",$P88=0),"",IF(N($Q88)&lt;=0,"Chưa thanh toán",IF(N($Q88)&lt;$P88,"Thanh toán một phần","Đã thanh toán")))</f>
        <v/>
      </c>
      <c r="T88" s="10" t="str">
        <f aca="false">IF(OR($C88="",$J88=""),"",N($I88)*$J88)</f>
        <v/>
      </c>
      <c r="U88" s="10" t="str">
        <f aca="false">IF(OR($C88="",$T88=""),"",$L88-$T88)</f>
        <v/>
      </c>
      <c r="V88" s="11" t="str">
        <f aca="false">IF(OR($U88="",$L88=0),"",$U88/$L88)</f>
        <v/>
      </c>
      <c r="W88" s="8"/>
      <c r="X88" s="19" t="str">
        <f aca="false">IF($C88="","",IF(AND($H88="",N($I88)=0,N($K88)=0),"Dòng chỉ lưu thông tin khách (chưa có đơn); ",IF($B88="","Thiếu ngày đặt; ","")&amp;IF($H88="","Thiếu tên sản phẩm; ",IF($J88="","Sản phẩm chưa có trong BẢNG GIÁ GỐC; ",""))&amp;IF(N($I88)&lt;=0,"Thiếu số lượng; ","")&amp;IF(N($K88)&lt;=0,"Thiếu giá bán; ","")&amp;IF(AND($N88&gt;0,$F88=""),"Khách lấy VAT thiếu mã số thuế; ","")&amp;IF(N($Q88)&gt;$P88,"Đã thu vượt tổng phải thu; ","")&amp;IF(AND($L88&gt;0,$U88&lt;0),"CẢNH BÁO: ĐƠN NÀY ĐANG LỖ; ","")))</f>
        <v/>
      </c>
      <c r="Y88" s="16" t="str">
        <f aca="false">IF(AND($C88&lt;&gt;"",$R88&gt;0),COUNTIFS($C$6:$C88,"&lt;&gt;",$R$6:$R88,"&gt;0"),"")</f>
        <v/>
      </c>
      <c r="Z88" s="16" t="str">
        <f aca="false">IF(AND($H88&lt;&gt;"",N($N88)&gt;0),COUNTIFS($H$6:$H88,"&lt;&gt;",$N$6:$N88,"&gt;0"),"")</f>
        <v/>
      </c>
      <c r="AA88" s="16" t="str">
        <f aca="false">IF(AND($H88&lt;&gt;"",N($N88)=0),COUNTIFS($H$6:$H88,"&lt;&gt;",$N$6:$N88,"&lt;=0"),"")</f>
        <v/>
      </c>
      <c r="AB88" s="16" t="str">
        <f aca="false">IF($C88="","",IF(COUNTIF($C$6:$C88,$C88)&gt;1,"",MAX($AB$5:AB87)+1))</f>
        <v/>
      </c>
      <c r="AC88" s="16" t="str">
        <f aca="false">IF($H88="","",IF(COUNTIF($H$6:$H88,$H88)&gt;1,"",MAX($AC$5:AC87)+1))</f>
        <v/>
      </c>
    </row>
    <row r="89" customFormat="false" ht="15" hidden="false" customHeight="false" outlineLevel="0" collapsed="false">
      <c r="A89" s="16" t="str">
        <f aca="false">IF($C89="","",COUNTA($C$6:$C89))</f>
        <v/>
      </c>
      <c r="B89" s="17"/>
      <c r="C89" s="8"/>
      <c r="D89" s="8"/>
      <c r="E89" s="8"/>
      <c r="F89" s="8"/>
      <c r="G89" s="8"/>
      <c r="H89" s="8"/>
      <c r="I89" s="9"/>
      <c r="J89" s="10" t="str">
        <f aca="false">IF($H89="","",IFERROR(VLOOKUP($H89,'BẢNG GIÁ GỐC'!$A$5:$D$204,3,FALSE()),""))</f>
        <v/>
      </c>
      <c r="K89" s="9"/>
      <c r="L89" s="10" t="str">
        <f aca="false">IF($C89="","",N($I89)*N($K89))</f>
        <v/>
      </c>
      <c r="M89" s="8"/>
      <c r="N89" s="11" t="str">
        <f aca="false">IF($C89="","",IF($M89="VAT 5%",0.05,IF($M89="VAT 8%",0.08,IF($M89="VAT 10%",0.1,0))))</f>
        <v/>
      </c>
      <c r="O89" s="10" t="str">
        <f aca="false">IF($C89="","",$L89*$N89)</f>
        <v/>
      </c>
      <c r="P89" s="10" t="str">
        <f aca="false">IF($C89="","",$L89+$O89)</f>
        <v/>
      </c>
      <c r="Q89" s="9"/>
      <c r="R89" s="10" t="str">
        <f aca="false">IF($C89="","",MAX(0,$P89-N($Q89)))</f>
        <v/>
      </c>
      <c r="S89" s="19" t="str">
        <f aca="false">IF(OR($C89="",$P89=0),"",IF(N($Q89)&lt;=0,"Chưa thanh toán",IF(N($Q89)&lt;$P89,"Thanh toán một phần","Đã thanh toán")))</f>
        <v/>
      </c>
      <c r="T89" s="10" t="str">
        <f aca="false">IF(OR($C89="",$J89=""),"",N($I89)*$J89)</f>
        <v/>
      </c>
      <c r="U89" s="10" t="str">
        <f aca="false">IF(OR($C89="",$T89=""),"",$L89-$T89)</f>
        <v/>
      </c>
      <c r="V89" s="11" t="str">
        <f aca="false">IF(OR($U89="",$L89=0),"",$U89/$L89)</f>
        <v/>
      </c>
      <c r="W89" s="8"/>
      <c r="X89" s="19" t="str">
        <f aca="false">IF($C89="","",IF(AND($H89="",N($I89)=0,N($K89)=0),"Dòng chỉ lưu thông tin khách (chưa có đơn); ",IF($B89="","Thiếu ngày đặt; ","")&amp;IF($H89="","Thiếu tên sản phẩm; ",IF($J89="","Sản phẩm chưa có trong BẢNG GIÁ GỐC; ",""))&amp;IF(N($I89)&lt;=0,"Thiếu số lượng; ","")&amp;IF(N($K89)&lt;=0,"Thiếu giá bán; ","")&amp;IF(AND($N89&gt;0,$F89=""),"Khách lấy VAT thiếu mã số thuế; ","")&amp;IF(N($Q89)&gt;$P89,"Đã thu vượt tổng phải thu; ","")&amp;IF(AND($L89&gt;0,$U89&lt;0),"CẢNH BÁO: ĐƠN NÀY ĐANG LỖ; ","")))</f>
        <v/>
      </c>
      <c r="Y89" s="16" t="str">
        <f aca="false">IF(AND($C89&lt;&gt;"",$R89&gt;0),COUNTIFS($C$6:$C89,"&lt;&gt;",$R$6:$R89,"&gt;0"),"")</f>
        <v/>
      </c>
      <c r="Z89" s="16" t="str">
        <f aca="false">IF(AND($H89&lt;&gt;"",N($N89)&gt;0),COUNTIFS($H$6:$H89,"&lt;&gt;",$N$6:$N89,"&gt;0"),"")</f>
        <v/>
      </c>
      <c r="AA89" s="16" t="str">
        <f aca="false">IF(AND($H89&lt;&gt;"",N($N89)=0),COUNTIFS($H$6:$H89,"&lt;&gt;",$N$6:$N89,"&lt;=0"),"")</f>
        <v/>
      </c>
      <c r="AB89" s="16" t="str">
        <f aca="false">IF($C89="","",IF(COUNTIF($C$6:$C89,$C89)&gt;1,"",MAX($AB$5:AB88)+1))</f>
        <v/>
      </c>
      <c r="AC89" s="16" t="str">
        <f aca="false">IF($H89="","",IF(COUNTIF($H$6:$H89,$H89)&gt;1,"",MAX($AC$5:AC88)+1))</f>
        <v/>
      </c>
    </row>
    <row r="90" customFormat="false" ht="15" hidden="false" customHeight="false" outlineLevel="0" collapsed="false">
      <c r="A90" s="16" t="str">
        <f aca="false">IF($C90="","",COUNTA($C$6:$C90))</f>
        <v/>
      </c>
      <c r="B90" s="17"/>
      <c r="C90" s="8"/>
      <c r="D90" s="8"/>
      <c r="E90" s="8"/>
      <c r="F90" s="8"/>
      <c r="G90" s="8"/>
      <c r="H90" s="8"/>
      <c r="I90" s="9"/>
      <c r="J90" s="10" t="str">
        <f aca="false">IF($H90="","",IFERROR(VLOOKUP($H90,'BẢNG GIÁ GỐC'!$A$5:$D$204,3,FALSE()),""))</f>
        <v/>
      </c>
      <c r="K90" s="9"/>
      <c r="L90" s="10" t="str">
        <f aca="false">IF($C90="","",N($I90)*N($K90))</f>
        <v/>
      </c>
      <c r="M90" s="8"/>
      <c r="N90" s="11" t="str">
        <f aca="false">IF($C90="","",IF($M90="VAT 5%",0.05,IF($M90="VAT 8%",0.08,IF($M90="VAT 10%",0.1,0))))</f>
        <v/>
      </c>
      <c r="O90" s="10" t="str">
        <f aca="false">IF($C90="","",$L90*$N90)</f>
        <v/>
      </c>
      <c r="P90" s="10" t="str">
        <f aca="false">IF($C90="","",$L90+$O90)</f>
        <v/>
      </c>
      <c r="Q90" s="9"/>
      <c r="R90" s="10" t="str">
        <f aca="false">IF($C90="","",MAX(0,$P90-N($Q90)))</f>
        <v/>
      </c>
      <c r="S90" s="19" t="str">
        <f aca="false">IF(OR($C90="",$P90=0),"",IF(N($Q90)&lt;=0,"Chưa thanh toán",IF(N($Q90)&lt;$P90,"Thanh toán một phần","Đã thanh toán")))</f>
        <v/>
      </c>
      <c r="T90" s="10" t="str">
        <f aca="false">IF(OR($C90="",$J90=""),"",N($I90)*$J90)</f>
        <v/>
      </c>
      <c r="U90" s="10" t="str">
        <f aca="false">IF(OR($C90="",$T90=""),"",$L90-$T90)</f>
        <v/>
      </c>
      <c r="V90" s="11" t="str">
        <f aca="false">IF(OR($U90="",$L90=0),"",$U90/$L90)</f>
        <v/>
      </c>
      <c r="W90" s="8"/>
      <c r="X90" s="19" t="str">
        <f aca="false">IF($C90="","",IF(AND($H90="",N($I90)=0,N($K90)=0),"Dòng chỉ lưu thông tin khách (chưa có đơn); ",IF($B90="","Thiếu ngày đặt; ","")&amp;IF($H90="","Thiếu tên sản phẩm; ",IF($J90="","Sản phẩm chưa có trong BẢNG GIÁ GỐC; ",""))&amp;IF(N($I90)&lt;=0,"Thiếu số lượng; ","")&amp;IF(N($K90)&lt;=0,"Thiếu giá bán; ","")&amp;IF(AND($N90&gt;0,$F90=""),"Khách lấy VAT thiếu mã số thuế; ","")&amp;IF(N($Q90)&gt;$P90,"Đã thu vượt tổng phải thu; ","")&amp;IF(AND($L90&gt;0,$U90&lt;0),"CẢNH BÁO: ĐƠN NÀY ĐANG LỖ; ","")))</f>
        <v/>
      </c>
      <c r="Y90" s="16" t="str">
        <f aca="false">IF(AND($C90&lt;&gt;"",$R90&gt;0),COUNTIFS($C$6:$C90,"&lt;&gt;",$R$6:$R90,"&gt;0"),"")</f>
        <v/>
      </c>
      <c r="Z90" s="16" t="str">
        <f aca="false">IF(AND($H90&lt;&gt;"",N($N90)&gt;0),COUNTIFS($H$6:$H90,"&lt;&gt;",$N$6:$N90,"&gt;0"),"")</f>
        <v/>
      </c>
      <c r="AA90" s="16" t="str">
        <f aca="false">IF(AND($H90&lt;&gt;"",N($N90)=0),COUNTIFS($H$6:$H90,"&lt;&gt;",$N$6:$N90,"&lt;=0"),"")</f>
        <v/>
      </c>
      <c r="AB90" s="16" t="str">
        <f aca="false">IF($C90="","",IF(COUNTIF($C$6:$C90,$C90)&gt;1,"",MAX($AB$5:AB89)+1))</f>
        <v/>
      </c>
      <c r="AC90" s="16" t="str">
        <f aca="false">IF($H90="","",IF(COUNTIF($H$6:$H90,$H90)&gt;1,"",MAX($AC$5:AC89)+1))</f>
        <v/>
      </c>
    </row>
    <row r="91" customFormat="false" ht="15" hidden="false" customHeight="false" outlineLevel="0" collapsed="false">
      <c r="A91" s="16" t="str">
        <f aca="false">IF($C91="","",COUNTA($C$6:$C91))</f>
        <v/>
      </c>
      <c r="B91" s="17"/>
      <c r="C91" s="8"/>
      <c r="D91" s="8"/>
      <c r="E91" s="8"/>
      <c r="F91" s="8"/>
      <c r="G91" s="8"/>
      <c r="H91" s="8"/>
      <c r="I91" s="9"/>
      <c r="J91" s="10" t="str">
        <f aca="false">IF($H91="","",IFERROR(VLOOKUP($H91,'BẢNG GIÁ GỐC'!$A$5:$D$204,3,FALSE()),""))</f>
        <v/>
      </c>
      <c r="K91" s="9"/>
      <c r="L91" s="10" t="str">
        <f aca="false">IF($C91="","",N($I91)*N($K91))</f>
        <v/>
      </c>
      <c r="M91" s="8"/>
      <c r="N91" s="11" t="str">
        <f aca="false">IF($C91="","",IF($M91="VAT 5%",0.05,IF($M91="VAT 8%",0.08,IF($M91="VAT 10%",0.1,0))))</f>
        <v/>
      </c>
      <c r="O91" s="10" t="str">
        <f aca="false">IF($C91="","",$L91*$N91)</f>
        <v/>
      </c>
      <c r="P91" s="10" t="str">
        <f aca="false">IF($C91="","",$L91+$O91)</f>
        <v/>
      </c>
      <c r="Q91" s="9"/>
      <c r="R91" s="10" t="str">
        <f aca="false">IF($C91="","",MAX(0,$P91-N($Q91)))</f>
        <v/>
      </c>
      <c r="S91" s="19" t="str">
        <f aca="false">IF(OR($C91="",$P91=0),"",IF(N($Q91)&lt;=0,"Chưa thanh toán",IF(N($Q91)&lt;$P91,"Thanh toán một phần","Đã thanh toán")))</f>
        <v/>
      </c>
      <c r="T91" s="10" t="str">
        <f aca="false">IF(OR($C91="",$J91=""),"",N($I91)*$J91)</f>
        <v/>
      </c>
      <c r="U91" s="10" t="str">
        <f aca="false">IF(OR($C91="",$T91=""),"",$L91-$T91)</f>
        <v/>
      </c>
      <c r="V91" s="11" t="str">
        <f aca="false">IF(OR($U91="",$L91=0),"",$U91/$L91)</f>
        <v/>
      </c>
      <c r="W91" s="8"/>
      <c r="X91" s="19" t="str">
        <f aca="false">IF($C91="","",IF(AND($H91="",N($I91)=0,N($K91)=0),"Dòng chỉ lưu thông tin khách (chưa có đơn); ",IF($B91="","Thiếu ngày đặt; ","")&amp;IF($H91="","Thiếu tên sản phẩm; ",IF($J91="","Sản phẩm chưa có trong BẢNG GIÁ GỐC; ",""))&amp;IF(N($I91)&lt;=0,"Thiếu số lượng; ","")&amp;IF(N($K91)&lt;=0,"Thiếu giá bán; ","")&amp;IF(AND($N91&gt;0,$F91=""),"Khách lấy VAT thiếu mã số thuế; ","")&amp;IF(N($Q91)&gt;$P91,"Đã thu vượt tổng phải thu; ","")&amp;IF(AND($L91&gt;0,$U91&lt;0),"CẢNH BÁO: ĐƠN NÀY ĐANG LỖ; ","")))</f>
        <v/>
      </c>
      <c r="Y91" s="16" t="str">
        <f aca="false">IF(AND($C91&lt;&gt;"",$R91&gt;0),COUNTIFS($C$6:$C91,"&lt;&gt;",$R$6:$R91,"&gt;0"),"")</f>
        <v/>
      </c>
      <c r="Z91" s="16" t="str">
        <f aca="false">IF(AND($H91&lt;&gt;"",N($N91)&gt;0),COUNTIFS($H$6:$H91,"&lt;&gt;",$N$6:$N91,"&gt;0"),"")</f>
        <v/>
      </c>
      <c r="AA91" s="16" t="str">
        <f aca="false">IF(AND($H91&lt;&gt;"",N($N91)=0),COUNTIFS($H$6:$H91,"&lt;&gt;",$N$6:$N91,"&lt;=0"),"")</f>
        <v/>
      </c>
      <c r="AB91" s="16" t="str">
        <f aca="false">IF($C91="","",IF(COUNTIF($C$6:$C91,$C91)&gt;1,"",MAX($AB$5:AB90)+1))</f>
        <v/>
      </c>
      <c r="AC91" s="16" t="str">
        <f aca="false">IF($H91="","",IF(COUNTIF($H$6:$H91,$H91)&gt;1,"",MAX($AC$5:AC90)+1))</f>
        <v/>
      </c>
    </row>
    <row r="92" customFormat="false" ht="15" hidden="false" customHeight="false" outlineLevel="0" collapsed="false">
      <c r="A92" s="16" t="str">
        <f aca="false">IF($C92="","",COUNTA($C$6:$C92))</f>
        <v/>
      </c>
      <c r="B92" s="17"/>
      <c r="C92" s="8"/>
      <c r="D92" s="8"/>
      <c r="E92" s="8"/>
      <c r="F92" s="8"/>
      <c r="G92" s="8"/>
      <c r="H92" s="8"/>
      <c r="I92" s="9"/>
      <c r="J92" s="10" t="str">
        <f aca="false">IF($H92="","",IFERROR(VLOOKUP($H92,'BẢNG GIÁ GỐC'!$A$5:$D$204,3,FALSE()),""))</f>
        <v/>
      </c>
      <c r="K92" s="9"/>
      <c r="L92" s="10" t="str">
        <f aca="false">IF($C92="","",N($I92)*N($K92))</f>
        <v/>
      </c>
      <c r="M92" s="8"/>
      <c r="N92" s="11" t="str">
        <f aca="false">IF($C92="","",IF($M92="VAT 5%",0.05,IF($M92="VAT 8%",0.08,IF($M92="VAT 10%",0.1,0))))</f>
        <v/>
      </c>
      <c r="O92" s="10" t="str">
        <f aca="false">IF($C92="","",$L92*$N92)</f>
        <v/>
      </c>
      <c r="P92" s="10" t="str">
        <f aca="false">IF($C92="","",$L92+$O92)</f>
        <v/>
      </c>
      <c r="Q92" s="9"/>
      <c r="R92" s="10" t="str">
        <f aca="false">IF($C92="","",MAX(0,$P92-N($Q92)))</f>
        <v/>
      </c>
      <c r="S92" s="19" t="str">
        <f aca="false">IF(OR($C92="",$P92=0),"",IF(N($Q92)&lt;=0,"Chưa thanh toán",IF(N($Q92)&lt;$P92,"Thanh toán một phần","Đã thanh toán")))</f>
        <v/>
      </c>
      <c r="T92" s="10" t="str">
        <f aca="false">IF(OR($C92="",$J92=""),"",N($I92)*$J92)</f>
        <v/>
      </c>
      <c r="U92" s="10" t="str">
        <f aca="false">IF(OR($C92="",$T92=""),"",$L92-$T92)</f>
        <v/>
      </c>
      <c r="V92" s="11" t="str">
        <f aca="false">IF(OR($U92="",$L92=0),"",$U92/$L92)</f>
        <v/>
      </c>
      <c r="W92" s="8"/>
      <c r="X92" s="19" t="str">
        <f aca="false">IF($C92="","",IF(AND($H92="",N($I92)=0,N($K92)=0),"Dòng chỉ lưu thông tin khách (chưa có đơn); ",IF($B92="","Thiếu ngày đặt; ","")&amp;IF($H92="","Thiếu tên sản phẩm; ",IF($J92="","Sản phẩm chưa có trong BẢNG GIÁ GỐC; ",""))&amp;IF(N($I92)&lt;=0,"Thiếu số lượng; ","")&amp;IF(N($K92)&lt;=0,"Thiếu giá bán; ","")&amp;IF(AND($N92&gt;0,$F92=""),"Khách lấy VAT thiếu mã số thuế; ","")&amp;IF(N($Q92)&gt;$P92,"Đã thu vượt tổng phải thu; ","")&amp;IF(AND($L92&gt;0,$U92&lt;0),"CẢNH BÁO: ĐƠN NÀY ĐANG LỖ; ","")))</f>
        <v/>
      </c>
      <c r="Y92" s="16" t="str">
        <f aca="false">IF(AND($C92&lt;&gt;"",$R92&gt;0),COUNTIFS($C$6:$C92,"&lt;&gt;",$R$6:$R92,"&gt;0"),"")</f>
        <v/>
      </c>
      <c r="Z92" s="16" t="str">
        <f aca="false">IF(AND($H92&lt;&gt;"",N($N92)&gt;0),COUNTIFS($H$6:$H92,"&lt;&gt;",$N$6:$N92,"&gt;0"),"")</f>
        <v/>
      </c>
      <c r="AA92" s="16" t="str">
        <f aca="false">IF(AND($H92&lt;&gt;"",N($N92)=0),COUNTIFS($H$6:$H92,"&lt;&gt;",$N$6:$N92,"&lt;=0"),"")</f>
        <v/>
      </c>
      <c r="AB92" s="16" t="str">
        <f aca="false">IF($C92="","",IF(COUNTIF($C$6:$C92,$C92)&gt;1,"",MAX($AB$5:AB91)+1))</f>
        <v/>
      </c>
      <c r="AC92" s="16" t="str">
        <f aca="false">IF($H92="","",IF(COUNTIF($H$6:$H92,$H92)&gt;1,"",MAX($AC$5:AC91)+1))</f>
        <v/>
      </c>
    </row>
    <row r="93" customFormat="false" ht="15" hidden="false" customHeight="false" outlineLevel="0" collapsed="false">
      <c r="A93" s="16" t="str">
        <f aca="false">IF($C93="","",COUNTA($C$6:$C93))</f>
        <v/>
      </c>
      <c r="B93" s="17"/>
      <c r="C93" s="8"/>
      <c r="D93" s="8"/>
      <c r="E93" s="8"/>
      <c r="F93" s="8"/>
      <c r="G93" s="8"/>
      <c r="H93" s="8"/>
      <c r="I93" s="9"/>
      <c r="J93" s="10" t="str">
        <f aca="false">IF($H93="","",IFERROR(VLOOKUP($H93,'BẢNG GIÁ GỐC'!$A$5:$D$204,3,FALSE()),""))</f>
        <v/>
      </c>
      <c r="K93" s="9"/>
      <c r="L93" s="10" t="str">
        <f aca="false">IF($C93="","",N($I93)*N($K93))</f>
        <v/>
      </c>
      <c r="M93" s="8"/>
      <c r="N93" s="11" t="str">
        <f aca="false">IF($C93="","",IF($M93="VAT 5%",0.05,IF($M93="VAT 8%",0.08,IF($M93="VAT 10%",0.1,0))))</f>
        <v/>
      </c>
      <c r="O93" s="10" t="str">
        <f aca="false">IF($C93="","",$L93*$N93)</f>
        <v/>
      </c>
      <c r="P93" s="10" t="str">
        <f aca="false">IF($C93="","",$L93+$O93)</f>
        <v/>
      </c>
      <c r="Q93" s="9"/>
      <c r="R93" s="10" t="str">
        <f aca="false">IF($C93="","",MAX(0,$P93-N($Q93)))</f>
        <v/>
      </c>
      <c r="S93" s="19" t="str">
        <f aca="false">IF(OR($C93="",$P93=0),"",IF(N($Q93)&lt;=0,"Chưa thanh toán",IF(N($Q93)&lt;$P93,"Thanh toán một phần","Đã thanh toán")))</f>
        <v/>
      </c>
      <c r="T93" s="10" t="str">
        <f aca="false">IF(OR($C93="",$J93=""),"",N($I93)*$J93)</f>
        <v/>
      </c>
      <c r="U93" s="10" t="str">
        <f aca="false">IF(OR($C93="",$T93=""),"",$L93-$T93)</f>
        <v/>
      </c>
      <c r="V93" s="11" t="str">
        <f aca="false">IF(OR($U93="",$L93=0),"",$U93/$L93)</f>
        <v/>
      </c>
      <c r="W93" s="8"/>
      <c r="X93" s="19" t="str">
        <f aca="false">IF($C93="","",IF(AND($H93="",N($I93)=0,N($K93)=0),"Dòng chỉ lưu thông tin khách (chưa có đơn); ",IF($B93="","Thiếu ngày đặt; ","")&amp;IF($H93="","Thiếu tên sản phẩm; ",IF($J93="","Sản phẩm chưa có trong BẢNG GIÁ GỐC; ",""))&amp;IF(N($I93)&lt;=0,"Thiếu số lượng; ","")&amp;IF(N($K93)&lt;=0,"Thiếu giá bán; ","")&amp;IF(AND($N93&gt;0,$F93=""),"Khách lấy VAT thiếu mã số thuế; ","")&amp;IF(N($Q93)&gt;$P93,"Đã thu vượt tổng phải thu; ","")&amp;IF(AND($L93&gt;0,$U93&lt;0),"CẢNH BÁO: ĐƠN NÀY ĐANG LỖ; ","")))</f>
        <v/>
      </c>
      <c r="Y93" s="16" t="str">
        <f aca="false">IF(AND($C93&lt;&gt;"",$R93&gt;0),COUNTIFS($C$6:$C93,"&lt;&gt;",$R$6:$R93,"&gt;0"),"")</f>
        <v/>
      </c>
      <c r="Z93" s="16" t="str">
        <f aca="false">IF(AND($H93&lt;&gt;"",N($N93)&gt;0),COUNTIFS($H$6:$H93,"&lt;&gt;",$N$6:$N93,"&gt;0"),"")</f>
        <v/>
      </c>
      <c r="AA93" s="16" t="str">
        <f aca="false">IF(AND($H93&lt;&gt;"",N($N93)=0),COUNTIFS($H$6:$H93,"&lt;&gt;",$N$6:$N93,"&lt;=0"),"")</f>
        <v/>
      </c>
      <c r="AB93" s="16" t="str">
        <f aca="false">IF($C93="","",IF(COUNTIF($C$6:$C93,$C93)&gt;1,"",MAX($AB$5:AB92)+1))</f>
        <v/>
      </c>
      <c r="AC93" s="16" t="str">
        <f aca="false">IF($H93="","",IF(COUNTIF($H$6:$H93,$H93)&gt;1,"",MAX($AC$5:AC92)+1))</f>
        <v/>
      </c>
    </row>
    <row r="94" customFormat="false" ht="15" hidden="false" customHeight="false" outlineLevel="0" collapsed="false">
      <c r="A94" s="16" t="str">
        <f aca="false">IF($C94="","",COUNTA($C$6:$C94))</f>
        <v/>
      </c>
      <c r="B94" s="17"/>
      <c r="C94" s="8"/>
      <c r="D94" s="8"/>
      <c r="E94" s="8"/>
      <c r="F94" s="8"/>
      <c r="G94" s="8"/>
      <c r="H94" s="8"/>
      <c r="I94" s="9"/>
      <c r="J94" s="10" t="str">
        <f aca="false">IF($H94="","",IFERROR(VLOOKUP($H94,'BẢNG GIÁ GỐC'!$A$5:$D$204,3,FALSE()),""))</f>
        <v/>
      </c>
      <c r="K94" s="9"/>
      <c r="L94" s="10" t="str">
        <f aca="false">IF($C94="","",N($I94)*N($K94))</f>
        <v/>
      </c>
      <c r="M94" s="8"/>
      <c r="N94" s="11" t="str">
        <f aca="false">IF($C94="","",IF($M94="VAT 5%",0.05,IF($M94="VAT 8%",0.08,IF($M94="VAT 10%",0.1,0))))</f>
        <v/>
      </c>
      <c r="O94" s="10" t="str">
        <f aca="false">IF($C94="","",$L94*$N94)</f>
        <v/>
      </c>
      <c r="P94" s="10" t="str">
        <f aca="false">IF($C94="","",$L94+$O94)</f>
        <v/>
      </c>
      <c r="Q94" s="9"/>
      <c r="R94" s="10" t="str">
        <f aca="false">IF($C94="","",MAX(0,$P94-N($Q94)))</f>
        <v/>
      </c>
      <c r="S94" s="19" t="str">
        <f aca="false">IF(OR($C94="",$P94=0),"",IF(N($Q94)&lt;=0,"Chưa thanh toán",IF(N($Q94)&lt;$P94,"Thanh toán một phần","Đã thanh toán")))</f>
        <v/>
      </c>
      <c r="T94" s="10" t="str">
        <f aca="false">IF(OR($C94="",$J94=""),"",N($I94)*$J94)</f>
        <v/>
      </c>
      <c r="U94" s="10" t="str">
        <f aca="false">IF(OR($C94="",$T94=""),"",$L94-$T94)</f>
        <v/>
      </c>
      <c r="V94" s="11" t="str">
        <f aca="false">IF(OR($U94="",$L94=0),"",$U94/$L94)</f>
        <v/>
      </c>
      <c r="W94" s="8"/>
      <c r="X94" s="19" t="str">
        <f aca="false">IF($C94="","",IF(AND($H94="",N($I94)=0,N($K94)=0),"Dòng chỉ lưu thông tin khách (chưa có đơn); ",IF($B94="","Thiếu ngày đặt; ","")&amp;IF($H94="","Thiếu tên sản phẩm; ",IF($J94="","Sản phẩm chưa có trong BẢNG GIÁ GỐC; ",""))&amp;IF(N($I94)&lt;=0,"Thiếu số lượng; ","")&amp;IF(N($K94)&lt;=0,"Thiếu giá bán; ","")&amp;IF(AND($N94&gt;0,$F94=""),"Khách lấy VAT thiếu mã số thuế; ","")&amp;IF(N($Q94)&gt;$P94,"Đã thu vượt tổng phải thu; ","")&amp;IF(AND($L94&gt;0,$U94&lt;0),"CẢNH BÁO: ĐƠN NÀY ĐANG LỖ; ","")))</f>
        <v/>
      </c>
      <c r="Y94" s="16" t="str">
        <f aca="false">IF(AND($C94&lt;&gt;"",$R94&gt;0),COUNTIFS($C$6:$C94,"&lt;&gt;",$R$6:$R94,"&gt;0"),"")</f>
        <v/>
      </c>
      <c r="Z94" s="16" t="str">
        <f aca="false">IF(AND($H94&lt;&gt;"",N($N94)&gt;0),COUNTIFS($H$6:$H94,"&lt;&gt;",$N$6:$N94,"&gt;0"),"")</f>
        <v/>
      </c>
      <c r="AA94" s="16" t="str">
        <f aca="false">IF(AND($H94&lt;&gt;"",N($N94)=0),COUNTIFS($H$6:$H94,"&lt;&gt;",$N$6:$N94,"&lt;=0"),"")</f>
        <v/>
      </c>
      <c r="AB94" s="16" t="str">
        <f aca="false">IF($C94="","",IF(COUNTIF($C$6:$C94,$C94)&gt;1,"",MAX($AB$5:AB93)+1))</f>
        <v/>
      </c>
      <c r="AC94" s="16" t="str">
        <f aca="false">IF($H94="","",IF(COUNTIF($H$6:$H94,$H94)&gt;1,"",MAX($AC$5:AC93)+1))</f>
        <v/>
      </c>
    </row>
    <row r="95" customFormat="false" ht="15" hidden="false" customHeight="false" outlineLevel="0" collapsed="false">
      <c r="A95" s="16" t="str">
        <f aca="false">IF($C95="","",COUNTA($C$6:$C95))</f>
        <v/>
      </c>
      <c r="B95" s="17"/>
      <c r="C95" s="8"/>
      <c r="D95" s="8"/>
      <c r="E95" s="8"/>
      <c r="F95" s="8"/>
      <c r="G95" s="8"/>
      <c r="H95" s="8"/>
      <c r="I95" s="9"/>
      <c r="J95" s="10" t="str">
        <f aca="false">IF($H95="","",IFERROR(VLOOKUP($H95,'BẢNG GIÁ GỐC'!$A$5:$D$204,3,FALSE()),""))</f>
        <v/>
      </c>
      <c r="K95" s="9"/>
      <c r="L95" s="10" t="str">
        <f aca="false">IF($C95="","",N($I95)*N($K95))</f>
        <v/>
      </c>
      <c r="M95" s="8"/>
      <c r="N95" s="11" t="str">
        <f aca="false">IF($C95="","",IF($M95="VAT 5%",0.05,IF($M95="VAT 8%",0.08,IF($M95="VAT 10%",0.1,0))))</f>
        <v/>
      </c>
      <c r="O95" s="10" t="str">
        <f aca="false">IF($C95="","",$L95*$N95)</f>
        <v/>
      </c>
      <c r="P95" s="10" t="str">
        <f aca="false">IF($C95="","",$L95+$O95)</f>
        <v/>
      </c>
      <c r="Q95" s="9"/>
      <c r="R95" s="10" t="str">
        <f aca="false">IF($C95="","",MAX(0,$P95-N($Q95)))</f>
        <v/>
      </c>
      <c r="S95" s="19" t="str">
        <f aca="false">IF(OR($C95="",$P95=0),"",IF(N($Q95)&lt;=0,"Chưa thanh toán",IF(N($Q95)&lt;$P95,"Thanh toán một phần","Đã thanh toán")))</f>
        <v/>
      </c>
      <c r="T95" s="10" t="str">
        <f aca="false">IF(OR($C95="",$J95=""),"",N($I95)*$J95)</f>
        <v/>
      </c>
      <c r="U95" s="10" t="str">
        <f aca="false">IF(OR($C95="",$T95=""),"",$L95-$T95)</f>
        <v/>
      </c>
      <c r="V95" s="11" t="str">
        <f aca="false">IF(OR($U95="",$L95=0),"",$U95/$L95)</f>
        <v/>
      </c>
      <c r="W95" s="8"/>
      <c r="X95" s="19" t="str">
        <f aca="false">IF($C95="","",IF(AND($H95="",N($I95)=0,N($K95)=0),"Dòng chỉ lưu thông tin khách (chưa có đơn); ",IF($B95="","Thiếu ngày đặt; ","")&amp;IF($H95="","Thiếu tên sản phẩm; ",IF($J95="","Sản phẩm chưa có trong BẢNG GIÁ GỐC; ",""))&amp;IF(N($I95)&lt;=0,"Thiếu số lượng; ","")&amp;IF(N($K95)&lt;=0,"Thiếu giá bán; ","")&amp;IF(AND($N95&gt;0,$F95=""),"Khách lấy VAT thiếu mã số thuế; ","")&amp;IF(N($Q95)&gt;$P95,"Đã thu vượt tổng phải thu; ","")&amp;IF(AND($L95&gt;0,$U95&lt;0),"CẢNH BÁO: ĐƠN NÀY ĐANG LỖ; ","")))</f>
        <v/>
      </c>
      <c r="Y95" s="16" t="str">
        <f aca="false">IF(AND($C95&lt;&gt;"",$R95&gt;0),COUNTIFS($C$6:$C95,"&lt;&gt;",$R$6:$R95,"&gt;0"),"")</f>
        <v/>
      </c>
      <c r="Z95" s="16" t="str">
        <f aca="false">IF(AND($H95&lt;&gt;"",N($N95)&gt;0),COUNTIFS($H$6:$H95,"&lt;&gt;",$N$6:$N95,"&gt;0"),"")</f>
        <v/>
      </c>
      <c r="AA95" s="16" t="str">
        <f aca="false">IF(AND($H95&lt;&gt;"",N($N95)=0),COUNTIFS($H$6:$H95,"&lt;&gt;",$N$6:$N95,"&lt;=0"),"")</f>
        <v/>
      </c>
      <c r="AB95" s="16" t="str">
        <f aca="false">IF($C95="","",IF(COUNTIF($C$6:$C95,$C95)&gt;1,"",MAX($AB$5:AB94)+1))</f>
        <v/>
      </c>
      <c r="AC95" s="16" t="str">
        <f aca="false">IF($H95="","",IF(COUNTIF($H$6:$H95,$H95)&gt;1,"",MAX($AC$5:AC94)+1))</f>
        <v/>
      </c>
    </row>
    <row r="96" customFormat="false" ht="15" hidden="false" customHeight="false" outlineLevel="0" collapsed="false">
      <c r="A96" s="16" t="str">
        <f aca="false">IF($C96="","",COUNTA($C$6:$C96))</f>
        <v/>
      </c>
      <c r="B96" s="17"/>
      <c r="C96" s="8"/>
      <c r="D96" s="8"/>
      <c r="E96" s="8"/>
      <c r="F96" s="8"/>
      <c r="G96" s="8"/>
      <c r="H96" s="8"/>
      <c r="I96" s="9"/>
      <c r="J96" s="10" t="str">
        <f aca="false">IF($H96="","",IFERROR(VLOOKUP($H96,'BẢNG GIÁ GỐC'!$A$5:$D$204,3,FALSE()),""))</f>
        <v/>
      </c>
      <c r="K96" s="9"/>
      <c r="L96" s="10" t="str">
        <f aca="false">IF($C96="","",N($I96)*N($K96))</f>
        <v/>
      </c>
      <c r="M96" s="8"/>
      <c r="N96" s="11" t="str">
        <f aca="false">IF($C96="","",IF($M96="VAT 5%",0.05,IF($M96="VAT 8%",0.08,IF($M96="VAT 10%",0.1,0))))</f>
        <v/>
      </c>
      <c r="O96" s="10" t="str">
        <f aca="false">IF($C96="","",$L96*$N96)</f>
        <v/>
      </c>
      <c r="P96" s="10" t="str">
        <f aca="false">IF($C96="","",$L96+$O96)</f>
        <v/>
      </c>
      <c r="Q96" s="9"/>
      <c r="R96" s="10" t="str">
        <f aca="false">IF($C96="","",MAX(0,$P96-N($Q96)))</f>
        <v/>
      </c>
      <c r="S96" s="19" t="str">
        <f aca="false">IF(OR($C96="",$P96=0),"",IF(N($Q96)&lt;=0,"Chưa thanh toán",IF(N($Q96)&lt;$P96,"Thanh toán một phần","Đã thanh toán")))</f>
        <v/>
      </c>
      <c r="T96" s="10" t="str">
        <f aca="false">IF(OR($C96="",$J96=""),"",N($I96)*$J96)</f>
        <v/>
      </c>
      <c r="U96" s="10" t="str">
        <f aca="false">IF(OR($C96="",$T96=""),"",$L96-$T96)</f>
        <v/>
      </c>
      <c r="V96" s="11" t="str">
        <f aca="false">IF(OR($U96="",$L96=0),"",$U96/$L96)</f>
        <v/>
      </c>
      <c r="W96" s="8"/>
      <c r="X96" s="19" t="str">
        <f aca="false">IF($C96="","",IF(AND($H96="",N($I96)=0,N($K96)=0),"Dòng chỉ lưu thông tin khách (chưa có đơn); ",IF($B96="","Thiếu ngày đặt; ","")&amp;IF($H96="","Thiếu tên sản phẩm; ",IF($J96="","Sản phẩm chưa có trong BẢNG GIÁ GỐC; ",""))&amp;IF(N($I96)&lt;=0,"Thiếu số lượng; ","")&amp;IF(N($K96)&lt;=0,"Thiếu giá bán; ","")&amp;IF(AND($N96&gt;0,$F96=""),"Khách lấy VAT thiếu mã số thuế; ","")&amp;IF(N($Q96)&gt;$P96,"Đã thu vượt tổng phải thu; ","")&amp;IF(AND($L96&gt;0,$U96&lt;0),"CẢNH BÁO: ĐƠN NÀY ĐANG LỖ; ","")))</f>
        <v/>
      </c>
      <c r="Y96" s="16" t="str">
        <f aca="false">IF(AND($C96&lt;&gt;"",$R96&gt;0),COUNTIFS($C$6:$C96,"&lt;&gt;",$R$6:$R96,"&gt;0"),"")</f>
        <v/>
      </c>
      <c r="Z96" s="16" t="str">
        <f aca="false">IF(AND($H96&lt;&gt;"",N($N96)&gt;0),COUNTIFS($H$6:$H96,"&lt;&gt;",$N$6:$N96,"&gt;0"),"")</f>
        <v/>
      </c>
      <c r="AA96" s="16" t="str">
        <f aca="false">IF(AND($H96&lt;&gt;"",N($N96)=0),COUNTIFS($H$6:$H96,"&lt;&gt;",$N$6:$N96,"&lt;=0"),"")</f>
        <v/>
      </c>
      <c r="AB96" s="16" t="str">
        <f aca="false">IF($C96="","",IF(COUNTIF($C$6:$C96,$C96)&gt;1,"",MAX($AB$5:AB95)+1))</f>
        <v/>
      </c>
      <c r="AC96" s="16" t="str">
        <f aca="false">IF($H96="","",IF(COUNTIF($H$6:$H96,$H96)&gt;1,"",MAX($AC$5:AC95)+1))</f>
        <v/>
      </c>
    </row>
    <row r="97" customFormat="false" ht="15" hidden="false" customHeight="false" outlineLevel="0" collapsed="false">
      <c r="A97" s="16" t="str">
        <f aca="false">IF($C97="","",COUNTA($C$6:$C97))</f>
        <v/>
      </c>
      <c r="B97" s="17"/>
      <c r="C97" s="8"/>
      <c r="D97" s="8"/>
      <c r="E97" s="8"/>
      <c r="F97" s="8"/>
      <c r="G97" s="8"/>
      <c r="H97" s="8"/>
      <c r="I97" s="9"/>
      <c r="J97" s="10" t="str">
        <f aca="false">IF($H97="","",IFERROR(VLOOKUP($H97,'BẢNG GIÁ GỐC'!$A$5:$D$204,3,FALSE()),""))</f>
        <v/>
      </c>
      <c r="K97" s="9"/>
      <c r="L97" s="10" t="str">
        <f aca="false">IF($C97="","",N($I97)*N($K97))</f>
        <v/>
      </c>
      <c r="M97" s="8"/>
      <c r="N97" s="11" t="str">
        <f aca="false">IF($C97="","",IF($M97="VAT 5%",0.05,IF($M97="VAT 8%",0.08,IF($M97="VAT 10%",0.1,0))))</f>
        <v/>
      </c>
      <c r="O97" s="10" t="str">
        <f aca="false">IF($C97="","",$L97*$N97)</f>
        <v/>
      </c>
      <c r="P97" s="10" t="str">
        <f aca="false">IF($C97="","",$L97+$O97)</f>
        <v/>
      </c>
      <c r="Q97" s="9"/>
      <c r="R97" s="10" t="str">
        <f aca="false">IF($C97="","",MAX(0,$P97-N($Q97)))</f>
        <v/>
      </c>
      <c r="S97" s="19" t="str">
        <f aca="false">IF(OR($C97="",$P97=0),"",IF(N($Q97)&lt;=0,"Chưa thanh toán",IF(N($Q97)&lt;$P97,"Thanh toán một phần","Đã thanh toán")))</f>
        <v/>
      </c>
      <c r="T97" s="10" t="str">
        <f aca="false">IF(OR($C97="",$J97=""),"",N($I97)*$J97)</f>
        <v/>
      </c>
      <c r="U97" s="10" t="str">
        <f aca="false">IF(OR($C97="",$T97=""),"",$L97-$T97)</f>
        <v/>
      </c>
      <c r="V97" s="11" t="str">
        <f aca="false">IF(OR($U97="",$L97=0),"",$U97/$L97)</f>
        <v/>
      </c>
      <c r="W97" s="8"/>
      <c r="X97" s="19" t="str">
        <f aca="false">IF($C97="","",IF(AND($H97="",N($I97)=0,N($K97)=0),"Dòng chỉ lưu thông tin khách (chưa có đơn); ",IF($B97="","Thiếu ngày đặt; ","")&amp;IF($H97="","Thiếu tên sản phẩm; ",IF($J97="","Sản phẩm chưa có trong BẢNG GIÁ GỐC; ",""))&amp;IF(N($I97)&lt;=0,"Thiếu số lượng; ","")&amp;IF(N($K97)&lt;=0,"Thiếu giá bán; ","")&amp;IF(AND($N97&gt;0,$F97=""),"Khách lấy VAT thiếu mã số thuế; ","")&amp;IF(N($Q97)&gt;$P97,"Đã thu vượt tổng phải thu; ","")&amp;IF(AND($L97&gt;0,$U97&lt;0),"CẢNH BÁO: ĐƠN NÀY ĐANG LỖ; ","")))</f>
        <v/>
      </c>
      <c r="Y97" s="16" t="str">
        <f aca="false">IF(AND($C97&lt;&gt;"",$R97&gt;0),COUNTIFS($C$6:$C97,"&lt;&gt;",$R$6:$R97,"&gt;0"),"")</f>
        <v/>
      </c>
      <c r="Z97" s="16" t="str">
        <f aca="false">IF(AND($H97&lt;&gt;"",N($N97)&gt;0),COUNTIFS($H$6:$H97,"&lt;&gt;",$N$6:$N97,"&gt;0"),"")</f>
        <v/>
      </c>
      <c r="AA97" s="16" t="str">
        <f aca="false">IF(AND($H97&lt;&gt;"",N($N97)=0),COUNTIFS($H$6:$H97,"&lt;&gt;",$N$6:$N97,"&lt;=0"),"")</f>
        <v/>
      </c>
      <c r="AB97" s="16" t="str">
        <f aca="false">IF($C97="","",IF(COUNTIF($C$6:$C97,$C97)&gt;1,"",MAX($AB$5:AB96)+1))</f>
        <v/>
      </c>
      <c r="AC97" s="16" t="str">
        <f aca="false">IF($H97="","",IF(COUNTIF($H$6:$H97,$H97)&gt;1,"",MAX($AC$5:AC96)+1))</f>
        <v/>
      </c>
    </row>
    <row r="98" customFormat="false" ht="15" hidden="false" customHeight="false" outlineLevel="0" collapsed="false">
      <c r="A98" s="16" t="str">
        <f aca="false">IF($C98="","",COUNTA($C$6:$C98))</f>
        <v/>
      </c>
      <c r="B98" s="17"/>
      <c r="C98" s="8"/>
      <c r="D98" s="8"/>
      <c r="E98" s="8"/>
      <c r="F98" s="8"/>
      <c r="G98" s="8"/>
      <c r="H98" s="8"/>
      <c r="I98" s="9"/>
      <c r="J98" s="10" t="str">
        <f aca="false">IF($H98="","",IFERROR(VLOOKUP($H98,'BẢNG GIÁ GỐC'!$A$5:$D$204,3,FALSE()),""))</f>
        <v/>
      </c>
      <c r="K98" s="9"/>
      <c r="L98" s="10" t="str">
        <f aca="false">IF($C98="","",N($I98)*N($K98))</f>
        <v/>
      </c>
      <c r="M98" s="8"/>
      <c r="N98" s="11" t="str">
        <f aca="false">IF($C98="","",IF($M98="VAT 5%",0.05,IF($M98="VAT 8%",0.08,IF($M98="VAT 10%",0.1,0))))</f>
        <v/>
      </c>
      <c r="O98" s="10" t="str">
        <f aca="false">IF($C98="","",$L98*$N98)</f>
        <v/>
      </c>
      <c r="P98" s="10" t="str">
        <f aca="false">IF($C98="","",$L98+$O98)</f>
        <v/>
      </c>
      <c r="Q98" s="9"/>
      <c r="R98" s="10" t="str">
        <f aca="false">IF($C98="","",MAX(0,$P98-N($Q98)))</f>
        <v/>
      </c>
      <c r="S98" s="19" t="str">
        <f aca="false">IF(OR($C98="",$P98=0),"",IF(N($Q98)&lt;=0,"Chưa thanh toán",IF(N($Q98)&lt;$P98,"Thanh toán một phần","Đã thanh toán")))</f>
        <v/>
      </c>
      <c r="T98" s="10" t="str">
        <f aca="false">IF(OR($C98="",$J98=""),"",N($I98)*$J98)</f>
        <v/>
      </c>
      <c r="U98" s="10" t="str">
        <f aca="false">IF(OR($C98="",$T98=""),"",$L98-$T98)</f>
        <v/>
      </c>
      <c r="V98" s="11" t="str">
        <f aca="false">IF(OR($U98="",$L98=0),"",$U98/$L98)</f>
        <v/>
      </c>
      <c r="W98" s="8"/>
      <c r="X98" s="19" t="str">
        <f aca="false">IF($C98="","",IF(AND($H98="",N($I98)=0,N($K98)=0),"Dòng chỉ lưu thông tin khách (chưa có đơn); ",IF($B98="","Thiếu ngày đặt; ","")&amp;IF($H98="","Thiếu tên sản phẩm; ",IF($J98="","Sản phẩm chưa có trong BẢNG GIÁ GỐC; ",""))&amp;IF(N($I98)&lt;=0,"Thiếu số lượng; ","")&amp;IF(N($K98)&lt;=0,"Thiếu giá bán; ","")&amp;IF(AND($N98&gt;0,$F98=""),"Khách lấy VAT thiếu mã số thuế; ","")&amp;IF(N($Q98)&gt;$P98,"Đã thu vượt tổng phải thu; ","")&amp;IF(AND($L98&gt;0,$U98&lt;0),"CẢNH BÁO: ĐƠN NÀY ĐANG LỖ; ","")))</f>
        <v/>
      </c>
      <c r="Y98" s="16" t="str">
        <f aca="false">IF(AND($C98&lt;&gt;"",$R98&gt;0),COUNTIFS($C$6:$C98,"&lt;&gt;",$R$6:$R98,"&gt;0"),"")</f>
        <v/>
      </c>
      <c r="Z98" s="16" t="str">
        <f aca="false">IF(AND($H98&lt;&gt;"",N($N98)&gt;0),COUNTIFS($H$6:$H98,"&lt;&gt;",$N$6:$N98,"&gt;0"),"")</f>
        <v/>
      </c>
      <c r="AA98" s="16" t="str">
        <f aca="false">IF(AND($H98&lt;&gt;"",N($N98)=0),COUNTIFS($H$6:$H98,"&lt;&gt;",$N$6:$N98,"&lt;=0"),"")</f>
        <v/>
      </c>
      <c r="AB98" s="16" t="str">
        <f aca="false">IF($C98="","",IF(COUNTIF($C$6:$C98,$C98)&gt;1,"",MAX($AB$5:AB97)+1))</f>
        <v/>
      </c>
      <c r="AC98" s="16" t="str">
        <f aca="false">IF($H98="","",IF(COUNTIF($H$6:$H98,$H98)&gt;1,"",MAX($AC$5:AC97)+1))</f>
        <v/>
      </c>
    </row>
    <row r="99" customFormat="false" ht="15" hidden="false" customHeight="false" outlineLevel="0" collapsed="false">
      <c r="A99" s="16" t="str">
        <f aca="false">IF($C99="","",COUNTA($C$6:$C99))</f>
        <v/>
      </c>
      <c r="B99" s="17"/>
      <c r="C99" s="8"/>
      <c r="D99" s="8"/>
      <c r="E99" s="8"/>
      <c r="F99" s="8"/>
      <c r="G99" s="8"/>
      <c r="H99" s="8"/>
      <c r="I99" s="9"/>
      <c r="J99" s="10" t="str">
        <f aca="false">IF($H99="","",IFERROR(VLOOKUP($H99,'BẢNG GIÁ GỐC'!$A$5:$D$204,3,FALSE()),""))</f>
        <v/>
      </c>
      <c r="K99" s="9"/>
      <c r="L99" s="10" t="str">
        <f aca="false">IF($C99="","",N($I99)*N($K99))</f>
        <v/>
      </c>
      <c r="M99" s="8"/>
      <c r="N99" s="11" t="str">
        <f aca="false">IF($C99="","",IF($M99="VAT 5%",0.05,IF($M99="VAT 8%",0.08,IF($M99="VAT 10%",0.1,0))))</f>
        <v/>
      </c>
      <c r="O99" s="10" t="str">
        <f aca="false">IF($C99="","",$L99*$N99)</f>
        <v/>
      </c>
      <c r="P99" s="10" t="str">
        <f aca="false">IF($C99="","",$L99+$O99)</f>
        <v/>
      </c>
      <c r="Q99" s="9"/>
      <c r="R99" s="10" t="str">
        <f aca="false">IF($C99="","",MAX(0,$P99-N($Q99)))</f>
        <v/>
      </c>
      <c r="S99" s="19" t="str">
        <f aca="false">IF(OR($C99="",$P99=0),"",IF(N($Q99)&lt;=0,"Chưa thanh toán",IF(N($Q99)&lt;$P99,"Thanh toán một phần","Đã thanh toán")))</f>
        <v/>
      </c>
      <c r="T99" s="10" t="str">
        <f aca="false">IF(OR($C99="",$J99=""),"",N($I99)*$J99)</f>
        <v/>
      </c>
      <c r="U99" s="10" t="str">
        <f aca="false">IF(OR($C99="",$T99=""),"",$L99-$T99)</f>
        <v/>
      </c>
      <c r="V99" s="11" t="str">
        <f aca="false">IF(OR($U99="",$L99=0),"",$U99/$L99)</f>
        <v/>
      </c>
      <c r="W99" s="8"/>
      <c r="X99" s="19" t="str">
        <f aca="false">IF($C99="","",IF(AND($H99="",N($I99)=0,N($K99)=0),"Dòng chỉ lưu thông tin khách (chưa có đơn); ",IF($B99="","Thiếu ngày đặt; ","")&amp;IF($H99="","Thiếu tên sản phẩm; ",IF($J99="","Sản phẩm chưa có trong BẢNG GIÁ GỐC; ",""))&amp;IF(N($I99)&lt;=0,"Thiếu số lượng; ","")&amp;IF(N($K99)&lt;=0,"Thiếu giá bán; ","")&amp;IF(AND($N99&gt;0,$F99=""),"Khách lấy VAT thiếu mã số thuế; ","")&amp;IF(N($Q99)&gt;$P99,"Đã thu vượt tổng phải thu; ","")&amp;IF(AND($L99&gt;0,$U99&lt;0),"CẢNH BÁO: ĐƠN NÀY ĐANG LỖ; ","")))</f>
        <v/>
      </c>
      <c r="Y99" s="16" t="str">
        <f aca="false">IF(AND($C99&lt;&gt;"",$R99&gt;0),COUNTIFS($C$6:$C99,"&lt;&gt;",$R$6:$R99,"&gt;0"),"")</f>
        <v/>
      </c>
      <c r="Z99" s="16" t="str">
        <f aca="false">IF(AND($H99&lt;&gt;"",N($N99)&gt;0),COUNTIFS($H$6:$H99,"&lt;&gt;",$N$6:$N99,"&gt;0"),"")</f>
        <v/>
      </c>
      <c r="AA99" s="16" t="str">
        <f aca="false">IF(AND($H99&lt;&gt;"",N($N99)=0),COUNTIFS($H$6:$H99,"&lt;&gt;",$N$6:$N99,"&lt;=0"),"")</f>
        <v/>
      </c>
      <c r="AB99" s="16" t="str">
        <f aca="false">IF($C99="","",IF(COUNTIF($C$6:$C99,$C99)&gt;1,"",MAX($AB$5:AB98)+1))</f>
        <v/>
      </c>
      <c r="AC99" s="16" t="str">
        <f aca="false">IF($H99="","",IF(COUNTIF($H$6:$H99,$H99)&gt;1,"",MAX($AC$5:AC98)+1))</f>
        <v/>
      </c>
    </row>
    <row r="100" customFormat="false" ht="15" hidden="false" customHeight="false" outlineLevel="0" collapsed="false">
      <c r="A100" s="16" t="str">
        <f aca="false">IF($C100="","",COUNTA($C$6:$C100))</f>
        <v/>
      </c>
      <c r="B100" s="17"/>
      <c r="C100" s="8"/>
      <c r="D100" s="8"/>
      <c r="E100" s="8"/>
      <c r="F100" s="8"/>
      <c r="G100" s="8"/>
      <c r="H100" s="8"/>
      <c r="I100" s="9"/>
      <c r="J100" s="10" t="str">
        <f aca="false">IF($H100="","",IFERROR(VLOOKUP($H100,'BẢNG GIÁ GỐC'!$A$5:$D$204,3,FALSE()),""))</f>
        <v/>
      </c>
      <c r="K100" s="9"/>
      <c r="L100" s="10" t="str">
        <f aca="false">IF($C100="","",N($I100)*N($K100))</f>
        <v/>
      </c>
      <c r="M100" s="8"/>
      <c r="N100" s="11" t="str">
        <f aca="false">IF($C100="","",IF($M100="VAT 5%",0.05,IF($M100="VAT 8%",0.08,IF($M100="VAT 10%",0.1,0))))</f>
        <v/>
      </c>
      <c r="O100" s="10" t="str">
        <f aca="false">IF($C100="","",$L100*$N100)</f>
        <v/>
      </c>
      <c r="P100" s="10" t="str">
        <f aca="false">IF($C100="","",$L100+$O100)</f>
        <v/>
      </c>
      <c r="Q100" s="9"/>
      <c r="R100" s="10" t="str">
        <f aca="false">IF($C100="","",MAX(0,$P100-N($Q100)))</f>
        <v/>
      </c>
      <c r="S100" s="19" t="str">
        <f aca="false">IF(OR($C100="",$P100=0),"",IF(N($Q100)&lt;=0,"Chưa thanh toán",IF(N($Q100)&lt;$P100,"Thanh toán một phần","Đã thanh toán")))</f>
        <v/>
      </c>
      <c r="T100" s="10" t="str">
        <f aca="false">IF(OR($C100="",$J100=""),"",N($I100)*$J100)</f>
        <v/>
      </c>
      <c r="U100" s="10" t="str">
        <f aca="false">IF(OR($C100="",$T100=""),"",$L100-$T100)</f>
        <v/>
      </c>
      <c r="V100" s="11" t="str">
        <f aca="false">IF(OR($U100="",$L100=0),"",$U100/$L100)</f>
        <v/>
      </c>
      <c r="W100" s="8"/>
      <c r="X100" s="19" t="str">
        <f aca="false">IF($C100="","",IF(AND($H100="",N($I100)=0,N($K100)=0),"Dòng chỉ lưu thông tin khách (chưa có đơn); ",IF($B100="","Thiếu ngày đặt; ","")&amp;IF($H100="","Thiếu tên sản phẩm; ",IF($J100="","Sản phẩm chưa có trong BẢNG GIÁ GỐC; ",""))&amp;IF(N($I100)&lt;=0,"Thiếu số lượng; ","")&amp;IF(N($K100)&lt;=0,"Thiếu giá bán; ","")&amp;IF(AND($N100&gt;0,$F100=""),"Khách lấy VAT thiếu mã số thuế; ","")&amp;IF(N($Q100)&gt;$P100,"Đã thu vượt tổng phải thu; ","")&amp;IF(AND($L100&gt;0,$U100&lt;0),"CẢNH BÁO: ĐƠN NÀY ĐANG LỖ; ","")))</f>
        <v/>
      </c>
      <c r="Y100" s="16" t="str">
        <f aca="false">IF(AND($C100&lt;&gt;"",$R100&gt;0),COUNTIFS($C$6:$C100,"&lt;&gt;",$R$6:$R100,"&gt;0"),"")</f>
        <v/>
      </c>
      <c r="Z100" s="16" t="str">
        <f aca="false">IF(AND($H100&lt;&gt;"",N($N100)&gt;0),COUNTIFS($H$6:$H100,"&lt;&gt;",$N$6:$N100,"&gt;0"),"")</f>
        <v/>
      </c>
      <c r="AA100" s="16" t="str">
        <f aca="false">IF(AND($H100&lt;&gt;"",N($N100)=0),COUNTIFS($H$6:$H100,"&lt;&gt;",$N$6:$N100,"&lt;=0"),"")</f>
        <v/>
      </c>
      <c r="AB100" s="16" t="str">
        <f aca="false">IF($C100="","",IF(COUNTIF($C$6:$C100,$C100)&gt;1,"",MAX($AB$5:AB99)+1))</f>
        <v/>
      </c>
      <c r="AC100" s="16" t="str">
        <f aca="false">IF($H100="","",IF(COUNTIF($H$6:$H100,$H100)&gt;1,"",MAX($AC$5:AC99)+1))</f>
        <v/>
      </c>
    </row>
    <row r="101" customFormat="false" ht="15" hidden="false" customHeight="false" outlineLevel="0" collapsed="false">
      <c r="A101" s="16" t="str">
        <f aca="false">IF($C101="","",COUNTA($C$6:$C101))</f>
        <v/>
      </c>
      <c r="B101" s="17"/>
      <c r="C101" s="8"/>
      <c r="D101" s="8"/>
      <c r="E101" s="8"/>
      <c r="F101" s="8"/>
      <c r="G101" s="8"/>
      <c r="H101" s="8"/>
      <c r="I101" s="9"/>
      <c r="J101" s="10" t="str">
        <f aca="false">IF($H101="","",IFERROR(VLOOKUP($H101,'BẢNG GIÁ GỐC'!$A$5:$D$204,3,FALSE()),""))</f>
        <v/>
      </c>
      <c r="K101" s="9"/>
      <c r="L101" s="10" t="str">
        <f aca="false">IF($C101="","",N($I101)*N($K101))</f>
        <v/>
      </c>
      <c r="M101" s="8"/>
      <c r="N101" s="11" t="str">
        <f aca="false">IF($C101="","",IF($M101="VAT 5%",0.05,IF($M101="VAT 8%",0.08,IF($M101="VAT 10%",0.1,0))))</f>
        <v/>
      </c>
      <c r="O101" s="10" t="str">
        <f aca="false">IF($C101="","",$L101*$N101)</f>
        <v/>
      </c>
      <c r="P101" s="10" t="str">
        <f aca="false">IF($C101="","",$L101+$O101)</f>
        <v/>
      </c>
      <c r="Q101" s="9"/>
      <c r="R101" s="10" t="str">
        <f aca="false">IF($C101="","",MAX(0,$P101-N($Q101)))</f>
        <v/>
      </c>
      <c r="S101" s="19" t="str">
        <f aca="false">IF(OR($C101="",$P101=0),"",IF(N($Q101)&lt;=0,"Chưa thanh toán",IF(N($Q101)&lt;$P101,"Thanh toán một phần","Đã thanh toán")))</f>
        <v/>
      </c>
      <c r="T101" s="10" t="str">
        <f aca="false">IF(OR($C101="",$J101=""),"",N($I101)*$J101)</f>
        <v/>
      </c>
      <c r="U101" s="10" t="str">
        <f aca="false">IF(OR($C101="",$T101=""),"",$L101-$T101)</f>
        <v/>
      </c>
      <c r="V101" s="11" t="str">
        <f aca="false">IF(OR($U101="",$L101=0),"",$U101/$L101)</f>
        <v/>
      </c>
      <c r="W101" s="8"/>
      <c r="X101" s="19" t="str">
        <f aca="false">IF($C101="","",IF(AND($H101="",N($I101)=0,N($K101)=0),"Dòng chỉ lưu thông tin khách (chưa có đơn); ",IF($B101="","Thiếu ngày đặt; ","")&amp;IF($H101="","Thiếu tên sản phẩm; ",IF($J101="","Sản phẩm chưa có trong BẢNG GIÁ GỐC; ",""))&amp;IF(N($I101)&lt;=0,"Thiếu số lượng; ","")&amp;IF(N($K101)&lt;=0,"Thiếu giá bán; ","")&amp;IF(AND($N101&gt;0,$F101=""),"Khách lấy VAT thiếu mã số thuế; ","")&amp;IF(N($Q101)&gt;$P101,"Đã thu vượt tổng phải thu; ","")&amp;IF(AND($L101&gt;0,$U101&lt;0),"CẢNH BÁO: ĐƠN NÀY ĐANG LỖ; ","")))</f>
        <v/>
      </c>
      <c r="Y101" s="16" t="str">
        <f aca="false">IF(AND($C101&lt;&gt;"",$R101&gt;0),COUNTIFS($C$6:$C101,"&lt;&gt;",$R$6:$R101,"&gt;0"),"")</f>
        <v/>
      </c>
      <c r="Z101" s="16" t="str">
        <f aca="false">IF(AND($H101&lt;&gt;"",N($N101)&gt;0),COUNTIFS($H$6:$H101,"&lt;&gt;",$N$6:$N101,"&gt;0"),"")</f>
        <v/>
      </c>
      <c r="AA101" s="16" t="str">
        <f aca="false">IF(AND($H101&lt;&gt;"",N($N101)=0),COUNTIFS($H$6:$H101,"&lt;&gt;",$N$6:$N101,"&lt;=0"),"")</f>
        <v/>
      </c>
      <c r="AB101" s="16" t="str">
        <f aca="false">IF($C101="","",IF(COUNTIF($C$6:$C101,$C101)&gt;1,"",MAX($AB$5:AB100)+1))</f>
        <v/>
      </c>
      <c r="AC101" s="16" t="str">
        <f aca="false">IF($H101="","",IF(COUNTIF($H$6:$H101,$H101)&gt;1,"",MAX($AC$5:AC100)+1))</f>
        <v/>
      </c>
    </row>
    <row r="102" customFormat="false" ht="15" hidden="false" customHeight="false" outlineLevel="0" collapsed="false">
      <c r="A102" s="16" t="str">
        <f aca="false">IF($C102="","",COUNTA($C$6:$C102))</f>
        <v/>
      </c>
      <c r="B102" s="17"/>
      <c r="C102" s="8"/>
      <c r="D102" s="8"/>
      <c r="E102" s="8"/>
      <c r="F102" s="8"/>
      <c r="G102" s="8"/>
      <c r="H102" s="8"/>
      <c r="I102" s="9"/>
      <c r="J102" s="10" t="str">
        <f aca="false">IF($H102="","",IFERROR(VLOOKUP($H102,'BẢNG GIÁ GỐC'!$A$5:$D$204,3,FALSE()),""))</f>
        <v/>
      </c>
      <c r="K102" s="9"/>
      <c r="L102" s="10" t="str">
        <f aca="false">IF($C102="","",N($I102)*N($K102))</f>
        <v/>
      </c>
      <c r="M102" s="8"/>
      <c r="N102" s="11" t="str">
        <f aca="false">IF($C102="","",IF($M102="VAT 5%",0.05,IF($M102="VAT 8%",0.08,IF($M102="VAT 10%",0.1,0))))</f>
        <v/>
      </c>
      <c r="O102" s="10" t="str">
        <f aca="false">IF($C102="","",$L102*$N102)</f>
        <v/>
      </c>
      <c r="P102" s="10" t="str">
        <f aca="false">IF($C102="","",$L102+$O102)</f>
        <v/>
      </c>
      <c r="Q102" s="9"/>
      <c r="R102" s="10" t="str">
        <f aca="false">IF($C102="","",MAX(0,$P102-N($Q102)))</f>
        <v/>
      </c>
      <c r="S102" s="19" t="str">
        <f aca="false">IF(OR($C102="",$P102=0),"",IF(N($Q102)&lt;=0,"Chưa thanh toán",IF(N($Q102)&lt;$P102,"Thanh toán một phần","Đã thanh toán")))</f>
        <v/>
      </c>
      <c r="T102" s="10" t="str">
        <f aca="false">IF(OR($C102="",$J102=""),"",N($I102)*$J102)</f>
        <v/>
      </c>
      <c r="U102" s="10" t="str">
        <f aca="false">IF(OR($C102="",$T102=""),"",$L102-$T102)</f>
        <v/>
      </c>
      <c r="V102" s="11" t="str">
        <f aca="false">IF(OR($U102="",$L102=0),"",$U102/$L102)</f>
        <v/>
      </c>
      <c r="W102" s="8"/>
      <c r="X102" s="19" t="str">
        <f aca="false">IF($C102="","",IF(AND($H102="",N($I102)=0,N($K102)=0),"Dòng chỉ lưu thông tin khách (chưa có đơn); ",IF($B102="","Thiếu ngày đặt; ","")&amp;IF($H102="","Thiếu tên sản phẩm; ",IF($J102="","Sản phẩm chưa có trong BẢNG GIÁ GỐC; ",""))&amp;IF(N($I102)&lt;=0,"Thiếu số lượng; ","")&amp;IF(N($K102)&lt;=0,"Thiếu giá bán; ","")&amp;IF(AND($N102&gt;0,$F102=""),"Khách lấy VAT thiếu mã số thuế; ","")&amp;IF(N($Q102)&gt;$P102,"Đã thu vượt tổng phải thu; ","")&amp;IF(AND($L102&gt;0,$U102&lt;0),"CẢNH BÁO: ĐƠN NÀY ĐANG LỖ; ","")))</f>
        <v/>
      </c>
      <c r="Y102" s="16" t="str">
        <f aca="false">IF(AND($C102&lt;&gt;"",$R102&gt;0),COUNTIFS($C$6:$C102,"&lt;&gt;",$R$6:$R102,"&gt;0"),"")</f>
        <v/>
      </c>
      <c r="Z102" s="16" t="str">
        <f aca="false">IF(AND($H102&lt;&gt;"",N($N102)&gt;0),COUNTIFS($H$6:$H102,"&lt;&gt;",$N$6:$N102,"&gt;0"),"")</f>
        <v/>
      </c>
      <c r="AA102" s="16" t="str">
        <f aca="false">IF(AND($H102&lt;&gt;"",N($N102)=0),COUNTIFS($H$6:$H102,"&lt;&gt;",$N$6:$N102,"&lt;=0"),"")</f>
        <v/>
      </c>
      <c r="AB102" s="16" t="str">
        <f aca="false">IF($C102="","",IF(COUNTIF($C$6:$C102,$C102)&gt;1,"",MAX($AB$5:AB101)+1))</f>
        <v/>
      </c>
      <c r="AC102" s="16" t="str">
        <f aca="false">IF($H102="","",IF(COUNTIF($H$6:$H102,$H102)&gt;1,"",MAX($AC$5:AC101)+1))</f>
        <v/>
      </c>
    </row>
    <row r="103" customFormat="false" ht="15" hidden="false" customHeight="false" outlineLevel="0" collapsed="false">
      <c r="A103" s="16" t="str">
        <f aca="false">IF($C103="","",COUNTA($C$6:$C103))</f>
        <v/>
      </c>
      <c r="B103" s="17"/>
      <c r="C103" s="8"/>
      <c r="D103" s="8"/>
      <c r="E103" s="8"/>
      <c r="F103" s="8"/>
      <c r="G103" s="8"/>
      <c r="H103" s="8"/>
      <c r="I103" s="9"/>
      <c r="J103" s="10" t="str">
        <f aca="false">IF($H103="","",IFERROR(VLOOKUP($H103,'BẢNG GIÁ GỐC'!$A$5:$D$204,3,FALSE()),""))</f>
        <v/>
      </c>
      <c r="K103" s="9"/>
      <c r="L103" s="10" t="str">
        <f aca="false">IF($C103="","",N($I103)*N($K103))</f>
        <v/>
      </c>
      <c r="M103" s="8"/>
      <c r="N103" s="11" t="str">
        <f aca="false">IF($C103="","",IF($M103="VAT 5%",0.05,IF($M103="VAT 8%",0.08,IF($M103="VAT 10%",0.1,0))))</f>
        <v/>
      </c>
      <c r="O103" s="10" t="str">
        <f aca="false">IF($C103="","",$L103*$N103)</f>
        <v/>
      </c>
      <c r="P103" s="10" t="str">
        <f aca="false">IF($C103="","",$L103+$O103)</f>
        <v/>
      </c>
      <c r="Q103" s="9"/>
      <c r="R103" s="10" t="str">
        <f aca="false">IF($C103="","",MAX(0,$P103-N($Q103)))</f>
        <v/>
      </c>
      <c r="S103" s="19" t="str">
        <f aca="false">IF(OR($C103="",$P103=0),"",IF(N($Q103)&lt;=0,"Chưa thanh toán",IF(N($Q103)&lt;$P103,"Thanh toán một phần","Đã thanh toán")))</f>
        <v/>
      </c>
      <c r="T103" s="10" t="str">
        <f aca="false">IF(OR($C103="",$J103=""),"",N($I103)*$J103)</f>
        <v/>
      </c>
      <c r="U103" s="10" t="str">
        <f aca="false">IF(OR($C103="",$T103=""),"",$L103-$T103)</f>
        <v/>
      </c>
      <c r="V103" s="11" t="str">
        <f aca="false">IF(OR($U103="",$L103=0),"",$U103/$L103)</f>
        <v/>
      </c>
      <c r="W103" s="8"/>
      <c r="X103" s="19" t="str">
        <f aca="false">IF($C103="","",IF(AND($H103="",N($I103)=0,N($K103)=0),"Dòng chỉ lưu thông tin khách (chưa có đơn); ",IF($B103="","Thiếu ngày đặt; ","")&amp;IF($H103="","Thiếu tên sản phẩm; ",IF($J103="","Sản phẩm chưa có trong BẢNG GIÁ GỐC; ",""))&amp;IF(N($I103)&lt;=0,"Thiếu số lượng; ","")&amp;IF(N($K103)&lt;=0,"Thiếu giá bán; ","")&amp;IF(AND($N103&gt;0,$F103=""),"Khách lấy VAT thiếu mã số thuế; ","")&amp;IF(N($Q103)&gt;$P103,"Đã thu vượt tổng phải thu; ","")&amp;IF(AND($L103&gt;0,$U103&lt;0),"CẢNH BÁO: ĐƠN NÀY ĐANG LỖ; ","")))</f>
        <v/>
      </c>
      <c r="Y103" s="16" t="str">
        <f aca="false">IF(AND($C103&lt;&gt;"",$R103&gt;0),COUNTIFS($C$6:$C103,"&lt;&gt;",$R$6:$R103,"&gt;0"),"")</f>
        <v/>
      </c>
      <c r="Z103" s="16" t="str">
        <f aca="false">IF(AND($H103&lt;&gt;"",N($N103)&gt;0),COUNTIFS($H$6:$H103,"&lt;&gt;",$N$6:$N103,"&gt;0"),"")</f>
        <v/>
      </c>
      <c r="AA103" s="16" t="str">
        <f aca="false">IF(AND($H103&lt;&gt;"",N($N103)=0),COUNTIFS($H$6:$H103,"&lt;&gt;",$N$6:$N103,"&lt;=0"),"")</f>
        <v/>
      </c>
      <c r="AB103" s="16" t="str">
        <f aca="false">IF($C103="","",IF(COUNTIF($C$6:$C103,$C103)&gt;1,"",MAX($AB$5:AB102)+1))</f>
        <v/>
      </c>
      <c r="AC103" s="16" t="str">
        <f aca="false">IF($H103="","",IF(COUNTIF($H$6:$H103,$H103)&gt;1,"",MAX($AC$5:AC102)+1))</f>
        <v/>
      </c>
    </row>
    <row r="104" customFormat="false" ht="15" hidden="false" customHeight="false" outlineLevel="0" collapsed="false">
      <c r="A104" s="16" t="str">
        <f aca="false">IF($C104="","",COUNTA($C$6:$C104))</f>
        <v/>
      </c>
      <c r="B104" s="17"/>
      <c r="C104" s="8"/>
      <c r="D104" s="8"/>
      <c r="E104" s="8"/>
      <c r="F104" s="8"/>
      <c r="G104" s="8"/>
      <c r="H104" s="8"/>
      <c r="I104" s="9"/>
      <c r="J104" s="10" t="str">
        <f aca="false">IF($H104="","",IFERROR(VLOOKUP($H104,'BẢNG GIÁ GỐC'!$A$5:$D$204,3,FALSE()),""))</f>
        <v/>
      </c>
      <c r="K104" s="9"/>
      <c r="L104" s="10" t="str">
        <f aca="false">IF($C104="","",N($I104)*N($K104))</f>
        <v/>
      </c>
      <c r="M104" s="8"/>
      <c r="N104" s="11" t="str">
        <f aca="false">IF($C104="","",IF($M104="VAT 5%",0.05,IF($M104="VAT 8%",0.08,IF($M104="VAT 10%",0.1,0))))</f>
        <v/>
      </c>
      <c r="O104" s="10" t="str">
        <f aca="false">IF($C104="","",$L104*$N104)</f>
        <v/>
      </c>
      <c r="P104" s="10" t="str">
        <f aca="false">IF($C104="","",$L104+$O104)</f>
        <v/>
      </c>
      <c r="Q104" s="9"/>
      <c r="R104" s="10" t="str">
        <f aca="false">IF($C104="","",MAX(0,$P104-N($Q104)))</f>
        <v/>
      </c>
      <c r="S104" s="19" t="str">
        <f aca="false">IF(OR($C104="",$P104=0),"",IF(N($Q104)&lt;=0,"Chưa thanh toán",IF(N($Q104)&lt;$P104,"Thanh toán một phần","Đã thanh toán")))</f>
        <v/>
      </c>
      <c r="T104" s="10" t="str">
        <f aca="false">IF(OR($C104="",$J104=""),"",N($I104)*$J104)</f>
        <v/>
      </c>
      <c r="U104" s="10" t="str">
        <f aca="false">IF(OR($C104="",$T104=""),"",$L104-$T104)</f>
        <v/>
      </c>
      <c r="V104" s="11" t="str">
        <f aca="false">IF(OR($U104="",$L104=0),"",$U104/$L104)</f>
        <v/>
      </c>
      <c r="W104" s="8"/>
      <c r="X104" s="19" t="str">
        <f aca="false">IF($C104="","",IF(AND($H104="",N($I104)=0,N($K104)=0),"Dòng chỉ lưu thông tin khách (chưa có đơn); ",IF($B104="","Thiếu ngày đặt; ","")&amp;IF($H104="","Thiếu tên sản phẩm; ",IF($J104="","Sản phẩm chưa có trong BẢNG GIÁ GỐC; ",""))&amp;IF(N($I104)&lt;=0,"Thiếu số lượng; ","")&amp;IF(N($K104)&lt;=0,"Thiếu giá bán; ","")&amp;IF(AND($N104&gt;0,$F104=""),"Khách lấy VAT thiếu mã số thuế; ","")&amp;IF(N($Q104)&gt;$P104,"Đã thu vượt tổng phải thu; ","")&amp;IF(AND($L104&gt;0,$U104&lt;0),"CẢNH BÁO: ĐƠN NÀY ĐANG LỖ; ","")))</f>
        <v/>
      </c>
      <c r="Y104" s="16" t="str">
        <f aca="false">IF(AND($C104&lt;&gt;"",$R104&gt;0),COUNTIFS($C$6:$C104,"&lt;&gt;",$R$6:$R104,"&gt;0"),"")</f>
        <v/>
      </c>
      <c r="Z104" s="16" t="str">
        <f aca="false">IF(AND($H104&lt;&gt;"",N($N104)&gt;0),COUNTIFS($H$6:$H104,"&lt;&gt;",$N$6:$N104,"&gt;0"),"")</f>
        <v/>
      </c>
      <c r="AA104" s="16" t="str">
        <f aca="false">IF(AND($H104&lt;&gt;"",N($N104)=0),COUNTIFS($H$6:$H104,"&lt;&gt;",$N$6:$N104,"&lt;=0"),"")</f>
        <v/>
      </c>
      <c r="AB104" s="16" t="str">
        <f aca="false">IF($C104="","",IF(COUNTIF($C$6:$C104,$C104)&gt;1,"",MAX($AB$5:AB103)+1))</f>
        <v/>
      </c>
      <c r="AC104" s="16" t="str">
        <f aca="false">IF($H104="","",IF(COUNTIF($H$6:$H104,$H104)&gt;1,"",MAX($AC$5:AC103)+1))</f>
        <v/>
      </c>
    </row>
    <row r="105" customFormat="false" ht="15" hidden="false" customHeight="false" outlineLevel="0" collapsed="false">
      <c r="A105" s="16" t="str">
        <f aca="false">IF($C105="","",COUNTA($C$6:$C105))</f>
        <v/>
      </c>
      <c r="B105" s="17"/>
      <c r="C105" s="8"/>
      <c r="D105" s="8"/>
      <c r="E105" s="8"/>
      <c r="F105" s="8"/>
      <c r="G105" s="8"/>
      <c r="H105" s="8"/>
      <c r="I105" s="9"/>
      <c r="J105" s="10" t="str">
        <f aca="false">IF($H105="","",IFERROR(VLOOKUP($H105,'BẢNG GIÁ GỐC'!$A$5:$D$204,3,FALSE()),""))</f>
        <v/>
      </c>
      <c r="K105" s="9"/>
      <c r="L105" s="10" t="str">
        <f aca="false">IF($C105="","",N($I105)*N($K105))</f>
        <v/>
      </c>
      <c r="M105" s="8"/>
      <c r="N105" s="11" t="str">
        <f aca="false">IF($C105="","",IF($M105="VAT 5%",0.05,IF($M105="VAT 8%",0.08,IF($M105="VAT 10%",0.1,0))))</f>
        <v/>
      </c>
      <c r="O105" s="10" t="str">
        <f aca="false">IF($C105="","",$L105*$N105)</f>
        <v/>
      </c>
      <c r="P105" s="10" t="str">
        <f aca="false">IF($C105="","",$L105+$O105)</f>
        <v/>
      </c>
      <c r="Q105" s="9"/>
      <c r="R105" s="10" t="str">
        <f aca="false">IF($C105="","",MAX(0,$P105-N($Q105)))</f>
        <v/>
      </c>
      <c r="S105" s="19" t="str">
        <f aca="false">IF(OR($C105="",$P105=0),"",IF(N($Q105)&lt;=0,"Chưa thanh toán",IF(N($Q105)&lt;$P105,"Thanh toán một phần","Đã thanh toán")))</f>
        <v/>
      </c>
      <c r="T105" s="10" t="str">
        <f aca="false">IF(OR($C105="",$J105=""),"",N($I105)*$J105)</f>
        <v/>
      </c>
      <c r="U105" s="10" t="str">
        <f aca="false">IF(OR($C105="",$T105=""),"",$L105-$T105)</f>
        <v/>
      </c>
      <c r="V105" s="11" t="str">
        <f aca="false">IF(OR($U105="",$L105=0),"",$U105/$L105)</f>
        <v/>
      </c>
      <c r="W105" s="8"/>
      <c r="X105" s="19" t="str">
        <f aca="false">IF($C105="","",IF(AND($H105="",N($I105)=0,N($K105)=0),"Dòng chỉ lưu thông tin khách (chưa có đơn); ",IF($B105="","Thiếu ngày đặt; ","")&amp;IF($H105="","Thiếu tên sản phẩm; ",IF($J105="","Sản phẩm chưa có trong BẢNG GIÁ GỐC; ",""))&amp;IF(N($I105)&lt;=0,"Thiếu số lượng; ","")&amp;IF(N($K105)&lt;=0,"Thiếu giá bán; ","")&amp;IF(AND($N105&gt;0,$F105=""),"Khách lấy VAT thiếu mã số thuế; ","")&amp;IF(N($Q105)&gt;$P105,"Đã thu vượt tổng phải thu; ","")&amp;IF(AND($L105&gt;0,$U105&lt;0),"CẢNH BÁO: ĐƠN NÀY ĐANG LỖ; ","")))</f>
        <v/>
      </c>
      <c r="Y105" s="16" t="str">
        <f aca="false">IF(AND($C105&lt;&gt;"",$R105&gt;0),COUNTIFS($C$6:$C105,"&lt;&gt;",$R$6:$R105,"&gt;0"),"")</f>
        <v/>
      </c>
      <c r="Z105" s="16" t="str">
        <f aca="false">IF(AND($H105&lt;&gt;"",N($N105)&gt;0),COUNTIFS($H$6:$H105,"&lt;&gt;",$N$6:$N105,"&gt;0"),"")</f>
        <v/>
      </c>
      <c r="AA105" s="16" t="str">
        <f aca="false">IF(AND($H105&lt;&gt;"",N($N105)=0),COUNTIFS($H$6:$H105,"&lt;&gt;",$N$6:$N105,"&lt;=0"),"")</f>
        <v/>
      </c>
      <c r="AB105" s="16" t="str">
        <f aca="false">IF($C105="","",IF(COUNTIF($C$6:$C105,$C105)&gt;1,"",MAX($AB$5:AB104)+1))</f>
        <v/>
      </c>
      <c r="AC105" s="16" t="str">
        <f aca="false">IF($H105="","",IF(COUNTIF($H$6:$H105,$H105)&gt;1,"",MAX($AC$5:AC104)+1))</f>
        <v/>
      </c>
    </row>
    <row r="106" customFormat="false" ht="15" hidden="false" customHeight="false" outlineLevel="0" collapsed="false">
      <c r="A106" s="16" t="str">
        <f aca="false">IF($C106="","",COUNTA($C$6:$C106))</f>
        <v/>
      </c>
      <c r="B106" s="17"/>
      <c r="C106" s="8"/>
      <c r="D106" s="8"/>
      <c r="E106" s="8"/>
      <c r="F106" s="8"/>
      <c r="G106" s="8"/>
      <c r="H106" s="8"/>
      <c r="I106" s="9"/>
      <c r="J106" s="10" t="str">
        <f aca="false">IF($H106="","",IFERROR(VLOOKUP($H106,'BẢNG GIÁ GỐC'!$A$5:$D$204,3,FALSE()),""))</f>
        <v/>
      </c>
      <c r="K106" s="9"/>
      <c r="L106" s="10" t="str">
        <f aca="false">IF($C106="","",N($I106)*N($K106))</f>
        <v/>
      </c>
      <c r="M106" s="8"/>
      <c r="N106" s="11" t="str">
        <f aca="false">IF($C106="","",IF($M106="VAT 5%",0.05,IF($M106="VAT 8%",0.08,IF($M106="VAT 10%",0.1,0))))</f>
        <v/>
      </c>
      <c r="O106" s="10" t="str">
        <f aca="false">IF($C106="","",$L106*$N106)</f>
        <v/>
      </c>
      <c r="P106" s="10" t="str">
        <f aca="false">IF($C106="","",$L106+$O106)</f>
        <v/>
      </c>
      <c r="Q106" s="9"/>
      <c r="R106" s="10" t="str">
        <f aca="false">IF($C106="","",MAX(0,$P106-N($Q106)))</f>
        <v/>
      </c>
      <c r="S106" s="19" t="str">
        <f aca="false">IF(OR($C106="",$P106=0),"",IF(N($Q106)&lt;=0,"Chưa thanh toán",IF(N($Q106)&lt;$P106,"Thanh toán một phần","Đã thanh toán")))</f>
        <v/>
      </c>
      <c r="T106" s="10" t="str">
        <f aca="false">IF(OR($C106="",$J106=""),"",N($I106)*$J106)</f>
        <v/>
      </c>
      <c r="U106" s="10" t="str">
        <f aca="false">IF(OR($C106="",$T106=""),"",$L106-$T106)</f>
        <v/>
      </c>
      <c r="V106" s="11" t="str">
        <f aca="false">IF(OR($U106="",$L106=0),"",$U106/$L106)</f>
        <v/>
      </c>
      <c r="W106" s="8"/>
      <c r="X106" s="19" t="str">
        <f aca="false">IF($C106="","",IF(AND($H106="",N($I106)=0,N($K106)=0),"Dòng chỉ lưu thông tin khách (chưa có đơn); ",IF($B106="","Thiếu ngày đặt; ","")&amp;IF($H106="","Thiếu tên sản phẩm; ",IF($J106="","Sản phẩm chưa có trong BẢNG GIÁ GỐC; ",""))&amp;IF(N($I106)&lt;=0,"Thiếu số lượng; ","")&amp;IF(N($K106)&lt;=0,"Thiếu giá bán; ","")&amp;IF(AND($N106&gt;0,$F106=""),"Khách lấy VAT thiếu mã số thuế; ","")&amp;IF(N($Q106)&gt;$P106,"Đã thu vượt tổng phải thu; ","")&amp;IF(AND($L106&gt;0,$U106&lt;0),"CẢNH BÁO: ĐƠN NÀY ĐANG LỖ; ","")))</f>
        <v/>
      </c>
      <c r="Y106" s="16" t="str">
        <f aca="false">IF(AND($C106&lt;&gt;"",$R106&gt;0),COUNTIFS($C$6:$C106,"&lt;&gt;",$R$6:$R106,"&gt;0"),"")</f>
        <v/>
      </c>
      <c r="Z106" s="16" t="str">
        <f aca="false">IF(AND($H106&lt;&gt;"",N($N106)&gt;0),COUNTIFS($H$6:$H106,"&lt;&gt;",$N$6:$N106,"&gt;0"),"")</f>
        <v/>
      </c>
      <c r="AA106" s="16" t="str">
        <f aca="false">IF(AND($H106&lt;&gt;"",N($N106)=0),COUNTIFS($H$6:$H106,"&lt;&gt;",$N$6:$N106,"&lt;=0"),"")</f>
        <v/>
      </c>
      <c r="AB106" s="16" t="str">
        <f aca="false">IF($C106="","",IF(COUNTIF($C$6:$C106,$C106)&gt;1,"",MAX($AB$5:AB105)+1))</f>
        <v/>
      </c>
      <c r="AC106" s="16" t="str">
        <f aca="false">IF($H106="","",IF(COUNTIF($H$6:$H106,$H106)&gt;1,"",MAX($AC$5:AC105)+1))</f>
        <v/>
      </c>
    </row>
    <row r="107" customFormat="false" ht="15" hidden="false" customHeight="false" outlineLevel="0" collapsed="false">
      <c r="A107" s="16" t="str">
        <f aca="false">IF($C107="","",COUNTA($C$6:$C107))</f>
        <v/>
      </c>
      <c r="B107" s="17"/>
      <c r="C107" s="8"/>
      <c r="D107" s="8"/>
      <c r="E107" s="8"/>
      <c r="F107" s="8"/>
      <c r="G107" s="8"/>
      <c r="H107" s="8"/>
      <c r="I107" s="9"/>
      <c r="J107" s="10" t="str">
        <f aca="false">IF($H107="","",IFERROR(VLOOKUP($H107,'BẢNG GIÁ GỐC'!$A$5:$D$204,3,FALSE()),""))</f>
        <v/>
      </c>
      <c r="K107" s="9"/>
      <c r="L107" s="10" t="str">
        <f aca="false">IF($C107="","",N($I107)*N($K107))</f>
        <v/>
      </c>
      <c r="M107" s="8"/>
      <c r="N107" s="11" t="str">
        <f aca="false">IF($C107="","",IF($M107="VAT 5%",0.05,IF($M107="VAT 8%",0.08,IF($M107="VAT 10%",0.1,0))))</f>
        <v/>
      </c>
      <c r="O107" s="10" t="str">
        <f aca="false">IF($C107="","",$L107*$N107)</f>
        <v/>
      </c>
      <c r="P107" s="10" t="str">
        <f aca="false">IF($C107="","",$L107+$O107)</f>
        <v/>
      </c>
      <c r="Q107" s="9"/>
      <c r="R107" s="10" t="str">
        <f aca="false">IF($C107="","",MAX(0,$P107-N($Q107)))</f>
        <v/>
      </c>
      <c r="S107" s="19" t="str">
        <f aca="false">IF(OR($C107="",$P107=0),"",IF(N($Q107)&lt;=0,"Chưa thanh toán",IF(N($Q107)&lt;$P107,"Thanh toán một phần","Đã thanh toán")))</f>
        <v/>
      </c>
      <c r="T107" s="10" t="str">
        <f aca="false">IF(OR($C107="",$J107=""),"",N($I107)*$J107)</f>
        <v/>
      </c>
      <c r="U107" s="10" t="str">
        <f aca="false">IF(OR($C107="",$T107=""),"",$L107-$T107)</f>
        <v/>
      </c>
      <c r="V107" s="11" t="str">
        <f aca="false">IF(OR($U107="",$L107=0),"",$U107/$L107)</f>
        <v/>
      </c>
      <c r="W107" s="8"/>
      <c r="X107" s="19" t="str">
        <f aca="false">IF($C107="","",IF(AND($H107="",N($I107)=0,N($K107)=0),"Dòng chỉ lưu thông tin khách (chưa có đơn); ",IF($B107="","Thiếu ngày đặt; ","")&amp;IF($H107="","Thiếu tên sản phẩm; ",IF($J107="","Sản phẩm chưa có trong BẢNG GIÁ GỐC; ",""))&amp;IF(N($I107)&lt;=0,"Thiếu số lượng; ","")&amp;IF(N($K107)&lt;=0,"Thiếu giá bán; ","")&amp;IF(AND($N107&gt;0,$F107=""),"Khách lấy VAT thiếu mã số thuế; ","")&amp;IF(N($Q107)&gt;$P107,"Đã thu vượt tổng phải thu; ","")&amp;IF(AND($L107&gt;0,$U107&lt;0),"CẢNH BÁO: ĐƠN NÀY ĐANG LỖ; ","")))</f>
        <v/>
      </c>
      <c r="Y107" s="16" t="str">
        <f aca="false">IF(AND($C107&lt;&gt;"",$R107&gt;0),COUNTIFS($C$6:$C107,"&lt;&gt;",$R$6:$R107,"&gt;0"),"")</f>
        <v/>
      </c>
      <c r="Z107" s="16" t="str">
        <f aca="false">IF(AND($H107&lt;&gt;"",N($N107)&gt;0),COUNTIFS($H$6:$H107,"&lt;&gt;",$N$6:$N107,"&gt;0"),"")</f>
        <v/>
      </c>
      <c r="AA107" s="16" t="str">
        <f aca="false">IF(AND($H107&lt;&gt;"",N($N107)=0),COUNTIFS($H$6:$H107,"&lt;&gt;",$N$6:$N107,"&lt;=0"),"")</f>
        <v/>
      </c>
      <c r="AB107" s="16" t="str">
        <f aca="false">IF($C107="","",IF(COUNTIF($C$6:$C107,$C107)&gt;1,"",MAX($AB$5:AB106)+1))</f>
        <v/>
      </c>
      <c r="AC107" s="16" t="str">
        <f aca="false">IF($H107="","",IF(COUNTIF($H$6:$H107,$H107)&gt;1,"",MAX($AC$5:AC106)+1))</f>
        <v/>
      </c>
    </row>
    <row r="108" customFormat="false" ht="15" hidden="false" customHeight="false" outlineLevel="0" collapsed="false">
      <c r="A108" s="16" t="str">
        <f aca="false">IF($C108="","",COUNTA($C$6:$C108))</f>
        <v/>
      </c>
      <c r="B108" s="17"/>
      <c r="C108" s="8"/>
      <c r="D108" s="8"/>
      <c r="E108" s="8"/>
      <c r="F108" s="8"/>
      <c r="G108" s="8"/>
      <c r="H108" s="8"/>
      <c r="I108" s="9"/>
      <c r="J108" s="10" t="str">
        <f aca="false">IF($H108="","",IFERROR(VLOOKUP($H108,'BẢNG GIÁ GỐC'!$A$5:$D$204,3,FALSE()),""))</f>
        <v/>
      </c>
      <c r="K108" s="9"/>
      <c r="L108" s="10" t="str">
        <f aca="false">IF($C108="","",N($I108)*N($K108))</f>
        <v/>
      </c>
      <c r="M108" s="8"/>
      <c r="N108" s="11" t="str">
        <f aca="false">IF($C108="","",IF($M108="VAT 5%",0.05,IF($M108="VAT 8%",0.08,IF($M108="VAT 10%",0.1,0))))</f>
        <v/>
      </c>
      <c r="O108" s="10" t="str">
        <f aca="false">IF($C108="","",$L108*$N108)</f>
        <v/>
      </c>
      <c r="P108" s="10" t="str">
        <f aca="false">IF($C108="","",$L108+$O108)</f>
        <v/>
      </c>
      <c r="Q108" s="9"/>
      <c r="R108" s="10" t="str">
        <f aca="false">IF($C108="","",MAX(0,$P108-N($Q108)))</f>
        <v/>
      </c>
      <c r="S108" s="19" t="str">
        <f aca="false">IF(OR($C108="",$P108=0),"",IF(N($Q108)&lt;=0,"Chưa thanh toán",IF(N($Q108)&lt;$P108,"Thanh toán một phần","Đã thanh toán")))</f>
        <v/>
      </c>
      <c r="T108" s="10" t="str">
        <f aca="false">IF(OR($C108="",$J108=""),"",N($I108)*$J108)</f>
        <v/>
      </c>
      <c r="U108" s="10" t="str">
        <f aca="false">IF(OR($C108="",$T108=""),"",$L108-$T108)</f>
        <v/>
      </c>
      <c r="V108" s="11" t="str">
        <f aca="false">IF(OR($U108="",$L108=0),"",$U108/$L108)</f>
        <v/>
      </c>
      <c r="W108" s="8"/>
      <c r="X108" s="19" t="str">
        <f aca="false">IF($C108="","",IF(AND($H108="",N($I108)=0,N($K108)=0),"Dòng chỉ lưu thông tin khách (chưa có đơn); ",IF($B108="","Thiếu ngày đặt; ","")&amp;IF($H108="","Thiếu tên sản phẩm; ",IF($J108="","Sản phẩm chưa có trong BẢNG GIÁ GỐC; ",""))&amp;IF(N($I108)&lt;=0,"Thiếu số lượng; ","")&amp;IF(N($K108)&lt;=0,"Thiếu giá bán; ","")&amp;IF(AND($N108&gt;0,$F108=""),"Khách lấy VAT thiếu mã số thuế; ","")&amp;IF(N($Q108)&gt;$P108,"Đã thu vượt tổng phải thu; ","")&amp;IF(AND($L108&gt;0,$U108&lt;0),"CẢNH BÁO: ĐƠN NÀY ĐANG LỖ; ","")))</f>
        <v/>
      </c>
      <c r="Y108" s="16" t="str">
        <f aca="false">IF(AND($C108&lt;&gt;"",$R108&gt;0),COUNTIFS($C$6:$C108,"&lt;&gt;",$R$6:$R108,"&gt;0"),"")</f>
        <v/>
      </c>
      <c r="Z108" s="16" t="str">
        <f aca="false">IF(AND($H108&lt;&gt;"",N($N108)&gt;0),COUNTIFS($H$6:$H108,"&lt;&gt;",$N$6:$N108,"&gt;0"),"")</f>
        <v/>
      </c>
      <c r="AA108" s="16" t="str">
        <f aca="false">IF(AND($H108&lt;&gt;"",N($N108)=0),COUNTIFS($H$6:$H108,"&lt;&gt;",$N$6:$N108,"&lt;=0"),"")</f>
        <v/>
      </c>
      <c r="AB108" s="16" t="str">
        <f aca="false">IF($C108="","",IF(COUNTIF($C$6:$C108,$C108)&gt;1,"",MAX($AB$5:AB107)+1))</f>
        <v/>
      </c>
      <c r="AC108" s="16" t="str">
        <f aca="false">IF($H108="","",IF(COUNTIF($H$6:$H108,$H108)&gt;1,"",MAX($AC$5:AC107)+1))</f>
        <v/>
      </c>
    </row>
    <row r="109" customFormat="false" ht="15" hidden="false" customHeight="false" outlineLevel="0" collapsed="false">
      <c r="A109" s="16" t="str">
        <f aca="false">IF($C109="","",COUNTA($C$6:$C109))</f>
        <v/>
      </c>
      <c r="B109" s="17"/>
      <c r="C109" s="8"/>
      <c r="D109" s="8"/>
      <c r="E109" s="8"/>
      <c r="F109" s="8"/>
      <c r="G109" s="8"/>
      <c r="H109" s="8"/>
      <c r="I109" s="9"/>
      <c r="J109" s="10" t="str">
        <f aca="false">IF($H109="","",IFERROR(VLOOKUP($H109,'BẢNG GIÁ GỐC'!$A$5:$D$204,3,FALSE()),""))</f>
        <v/>
      </c>
      <c r="K109" s="9"/>
      <c r="L109" s="10" t="str">
        <f aca="false">IF($C109="","",N($I109)*N($K109))</f>
        <v/>
      </c>
      <c r="M109" s="8"/>
      <c r="N109" s="11" t="str">
        <f aca="false">IF($C109="","",IF($M109="VAT 5%",0.05,IF($M109="VAT 8%",0.08,IF($M109="VAT 10%",0.1,0))))</f>
        <v/>
      </c>
      <c r="O109" s="10" t="str">
        <f aca="false">IF($C109="","",$L109*$N109)</f>
        <v/>
      </c>
      <c r="P109" s="10" t="str">
        <f aca="false">IF($C109="","",$L109+$O109)</f>
        <v/>
      </c>
      <c r="Q109" s="9"/>
      <c r="R109" s="10" t="str">
        <f aca="false">IF($C109="","",MAX(0,$P109-N($Q109)))</f>
        <v/>
      </c>
      <c r="S109" s="19" t="str">
        <f aca="false">IF(OR($C109="",$P109=0),"",IF(N($Q109)&lt;=0,"Chưa thanh toán",IF(N($Q109)&lt;$P109,"Thanh toán một phần","Đã thanh toán")))</f>
        <v/>
      </c>
      <c r="T109" s="10" t="str">
        <f aca="false">IF(OR($C109="",$J109=""),"",N($I109)*$J109)</f>
        <v/>
      </c>
      <c r="U109" s="10" t="str">
        <f aca="false">IF(OR($C109="",$T109=""),"",$L109-$T109)</f>
        <v/>
      </c>
      <c r="V109" s="11" t="str">
        <f aca="false">IF(OR($U109="",$L109=0),"",$U109/$L109)</f>
        <v/>
      </c>
      <c r="W109" s="8"/>
      <c r="X109" s="19" t="str">
        <f aca="false">IF($C109="","",IF(AND($H109="",N($I109)=0,N($K109)=0),"Dòng chỉ lưu thông tin khách (chưa có đơn); ",IF($B109="","Thiếu ngày đặt; ","")&amp;IF($H109="","Thiếu tên sản phẩm; ",IF($J109="","Sản phẩm chưa có trong BẢNG GIÁ GỐC; ",""))&amp;IF(N($I109)&lt;=0,"Thiếu số lượng; ","")&amp;IF(N($K109)&lt;=0,"Thiếu giá bán; ","")&amp;IF(AND($N109&gt;0,$F109=""),"Khách lấy VAT thiếu mã số thuế; ","")&amp;IF(N($Q109)&gt;$P109,"Đã thu vượt tổng phải thu; ","")&amp;IF(AND($L109&gt;0,$U109&lt;0),"CẢNH BÁO: ĐƠN NÀY ĐANG LỖ; ","")))</f>
        <v/>
      </c>
      <c r="Y109" s="16" t="str">
        <f aca="false">IF(AND($C109&lt;&gt;"",$R109&gt;0),COUNTIFS($C$6:$C109,"&lt;&gt;",$R$6:$R109,"&gt;0"),"")</f>
        <v/>
      </c>
      <c r="Z109" s="16" t="str">
        <f aca="false">IF(AND($H109&lt;&gt;"",N($N109)&gt;0),COUNTIFS($H$6:$H109,"&lt;&gt;",$N$6:$N109,"&gt;0"),"")</f>
        <v/>
      </c>
      <c r="AA109" s="16" t="str">
        <f aca="false">IF(AND($H109&lt;&gt;"",N($N109)=0),COUNTIFS($H$6:$H109,"&lt;&gt;",$N$6:$N109,"&lt;=0"),"")</f>
        <v/>
      </c>
      <c r="AB109" s="16" t="str">
        <f aca="false">IF($C109="","",IF(COUNTIF($C$6:$C109,$C109)&gt;1,"",MAX($AB$5:AB108)+1))</f>
        <v/>
      </c>
      <c r="AC109" s="16" t="str">
        <f aca="false">IF($H109="","",IF(COUNTIF($H$6:$H109,$H109)&gt;1,"",MAX($AC$5:AC108)+1))</f>
        <v/>
      </c>
    </row>
    <row r="110" customFormat="false" ht="15" hidden="false" customHeight="false" outlineLevel="0" collapsed="false">
      <c r="A110" s="16" t="str">
        <f aca="false">IF($C110="","",COUNTA($C$6:$C110))</f>
        <v/>
      </c>
      <c r="B110" s="17"/>
      <c r="C110" s="8"/>
      <c r="D110" s="8"/>
      <c r="E110" s="8"/>
      <c r="F110" s="8"/>
      <c r="G110" s="8"/>
      <c r="H110" s="8"/>
      <c r="I110" s="9"/>
      <c r="J110" s="10" t="str">
        <f aca="false">IF($H110="","",IFERROR(VLOOKUP($H110,'BẢNG GIÁ GỐC'!$A$5:$D$204,3,FALSE()),""))</f>
        <v/>
      </c>
      <c r="K110" s="9"/>
      <c r="L110" s="10" t="str">
        <f aca="false">IF($C110="","",N($I110)*N($K110))</f>
        <v/>
      </c>
      <c r="M110" s="8"/>
      <c r="N110" s="11" t="str">
        <f aca="false">IF($C110="","",IF($M110="VAT 5%",0.05,IF($M110="VAT 8%",0.08,IF($M110="VAT 10%",0.1,0))))</f>
        <v/>
      </c>
      <c r="O110" s="10" t="str">
        <f aca="false">IF($C110="","",$L110*$N110)</f>
        <v/>
      </c>
      <c r="P110" s="10" t="str">
        <f aca="false">IF($C110="","",$L110+$O110)</f>
        <v/>
      </c>
      <c r="Q110" s="9"/>
      <c r="R110" s="10" t="str">
        <f aca="false">IF($C110="","",MAX(0,$P110-N($Q110)))</f>
        <v/>
      </c>
      <c r="S110" s="19" t="str">
        <f aca="false">IF(OR($C110="",$P110=0),"",IF(N($Q110)&lt;=0,"Chưa thanh toán",IF(N($Q110)&lt;$P110,"Thanh toán một phần","Đã thanh toán")))</f>
        <v/>
      </c>
      <c r="T110" s="10" t="str">
        <f aca="false">IF(OR($C110="",$J110=""),"",N($I110)*$J110)</f>
        <v/>
      </c>
      <c r="U110" s="10" t="str">
        <f aca="false">IF(OR($C110="",$T110=""),"",$L110-$T110)</f>
        <v/>
      </c>
      <c r="V110" s="11" t="str">
        <f aca="false">IF(OR($U110="",$L110=0),"",$U110/$L110)</f>
        <v/>
      </c>
      <c r="W110" s="8"/>
      <c r="X110" s="19" t="str">
        <f aca="false">IF($C110="","",IF(AND($H110="",N($I110)=0,N($K110)=0),"Dòng chỉ lưu thông tin khách (chưa có đơn); ",IF($B110="","Thiếu ngày đặt; ","")&amp;IF($H110="","Thiếu tên sản phẩm; ",IF($J110="","Sản phẩm chưa có trong BẢNG GIÁ GỐC; ",""))&amp;IF(N($I110)&lt;=0,"Thiếu số lượng; ","")&amp;IF(N($K110)&lt;=0,"Thiếu giá bán; ","")&amp;IF(AND($N110&gt;0,$F110=""),"Khách lấy VAT thiếu mã số thuế; ","")&amp;IF(N($Q110)&gt;$P110,"Đã thu vượt tổng phải thu; ","")&amp;IF(AND($L110&gt;0,$U110&lt;0),"CẢNH BÁO: ĐƠN NÀY ĐANG LỖ; ","")))</f>
        <v/>
      </c>
      <c r="Y110" s="16" t="str">
        <f aca="false">IF(AND($C110&lt;&gt;"",$R110&gt;0),COUNTIFS($C$6:$C110,"&lt;&gt;",$R$6:$R110,"&gt;0"),"")</f>
        <v/>
      </c>
      <c r="Z110" s="16" t="str">
        <f aca="false">IF(AND($H110&lt;&gt;"",N($N110)&gt;0),COUNTIFS($H$6:$H110,"&lt;&gt;",$N$6:$N110,"&gt;0"),"")</f>
        <v/>
      </c>
      <c r="AA110" s="16" t="str">
        <f aca="false">IF(AND($H110&lt;&gt;"",N($N110)=0),COUNTIFS($H$6:$H110,"&lt;&gt;",$N$6:$N110,"&lt;=0"),"")</f>
        <v/>
      </c>
      <c r="AB110" s="16" t="str">
        <f aca="false">IF($C110="","",IF(COUNTIF($C$6:$C110,$C110)&gt;1,"",MAX($AB$5:AB109)+1))</f>
        <v/>
      </c>
      <c r="AC110" s="16" t="str">
        <f aca="false">IF($H110="","",IF(COUNTIF($H$6:$H110,$H110)&gt;1,"",MAX($AC$5:AC109)+1))</f>
        <v/>
      </c>
    </row>
    <row r="111" customFormat="false" ht="15" hidden="false" customHeight="false" outlineLevel="0" collapsed="false">
      <c r="A111" s="16" t="str">
        <f aca="false">IF($C111="","",COUNTA($C$6:$C111))</f>
        <v/>
      </c>
      <c r="B111" s="17"/>
      <c r="C111" s="8"/>
      <c r="D111" s="8"/>
      <c r="E111" s="8"/>
      <c r="F111" s="8"/>
      <c r="G111" s="8"/>
      <c r="H111" s="8"/>
      <c r="I111" s="9"/>
      <c r="J111" s="10" t="str">
        <f aca="false">IF($H111="","",IFERROR(VLOOKUP($H111,'BẢNG GIÁ GỐC'!$A$5:$D$204,3,FALSE()),""))</f>
        <v/>
      </c>
      <c r="K111" s="9"/>
      <c r="L111" s="10" t="str">
        <f aca="false">IF($C111="","",N($I111)*N($K111))</f>
        <v/>
      </c>
      <c r="M111" s="8"/>
      <c r="N111" s="11" t="str">
        <f aca="false">IF($C111="","",IF($M111="VAT 5%",0.05,IF($M111="VAT 8%",0.08,IF($M111="VAT 10%",0.1,0))))</f>
        <v/>
      </c>
      <c r="O111" s="10" t="str">
        <f aca="false">IF($C111="","",$L111*$N111)</f>
        <v/>
      </c>
      <c r="P111" s="10" t="str">
        <f aca="false">IF($C111="","",$L111+$O111)</f>
        <v/>
      </c>
      <c r="Q111" s="9"/>
      <c r="R111" s="10" t="str">
        <f aca="false">IF($C111="","",MAX(0,$P111-N($Q111)))</f>
        <v/>
      </c>
      <c r="S111" s="19" t="str">
        <f aca="false">IF(OR($C111="",$P111=0),"",IF(N($Q111)&lt;=0,"Chưa thanh toán",IF(N($Q111)&lt;$P111,"Thanh toán một phần","Đã thanh toán")))</f>
        <v/>
      </c>
      <c r="T111" s="10" t="str">
        <f aca="false">IF(OR($C111="",$J111=""),"",N($I111)*$J111)</f>
        <v/>
      </c>
      <c r="U111" s="10" t="str">
        <f aca="false">IF(OR($C111="",$T111=""),"",$L111-$T111)</f>
        <v/>
      </c>
      <c r="V111" s="11" t="str">
        <f aca="false">IF(OR($U111="",$L111=0),"",$U111/$L111)</f>
        <v/>
      </c>
      <c r="W111" s="8"/>
      <c r="X111" s="19" t="str">
        <f aca="false">IF($C111="","",IF(AND($H111="",N($I111)=0,N($K111)=0),"Dòng chỉ lưu thông tin khách (chưa có đơn); ",IF($B111="","Thiếu ngày đặt; ","")&amp;IF($H111="","Thiếu tên sản phẩm; ",IF($J111="","Sản phẩm chưa có trong BẢNG GIÁ GỐC; ",""))&amp;IF(N($I111)&lt;=0,"Thiếu số lượng; ","")&amp;IF(N($K111)&lt;=0,"Thiếu giá bán; ","")&amp;IF(AND($N111&gt;0,$F111=""),"Khách lấy VAT thiếu mã số thuế; ","")&amp;IF(N($Q111)&gt;$P111,"Đã thu vượt tổng phải thu; ","")&amp;IF(AND($L111&gt;0,$U111&lt;0),"CẢNH BÁO: ĐƠN NÀY ĐANG LỖ; ","")))</f>
        <v/>
      </c>
      <c r="Y111" s="16" t="str">
        <f aca="false">IF(AND($C111&lt;&gt;"",$R111&gt;0),COUNTIFS($C$6:$C111,"&lt;&gt;",$R$6:$R111,"&gt;0"),"")</f>
        <v/>
      </c>
      <c r="Z111" s="16" t="str">
        <f aca="false">IF(AND($H111&lt;&gt;"",N($N111)&gt;0),COUNTIFS($H$6:$H111,"&lt;&gt;",$N$6:$N111,"&gt;0"),"")</f>
        <v/>
      </c>
      <c r="AA111" s="16" t="str">
        <f aca="false">IF(AND($H111&lt;&gt;"",N($N111)=0),COUNTIFS($H$6:$H111,"&lt;&gt;",$N$6:$N111,"&lt;=0"),"")</f>
        <v/>
      </c>
      <c r="AB111" s="16" t="str">
        <f aca="false">IF($C111="","",IF(COUNTIF($C$6:$C111,$C111)&gt;1,"",MAX($AB$5:AB110)+1))</f>
        <v/>
      </c>
      <c r="AC111" s="16" t="str">
        <f aca="false">IF($H111="","",IF(COUNTIF($H$6:$H111,$H111)&gt;1,"",MAX($AC$5:AC110)+1))</f>
        <v/>
      </c>
    </row>
    <row r="112" customFormat="false" ht="15" hidden="false" customHeight="false" outlineLevel="0" collapsed="false">
      <c r="A112" s="16" t="str">
        <f aca="false">IF($C112="","",COUNTA($C$6:$C112))</f>
        <v/>
      </c>
      <c r="B112" s="17"/>
      <c r="C112" s="8"/>
      <c r="D112" s="8"/>
      <c r="E112" s="8"/>
      <c r="F112" s="8"/>
      <c r="G112" s="8"/>
      <c r="H112" s="8"/>
      <c r="I112" s="9"/>
      <c r="J112" s="10" t="str">
        <f aca="false">IF($H112="","",IFERROR(VLOOKUP($H112,'BẢNG GIÁ GỐC'!$A$5:$D$204,3,FALSE()),""))</f>
        <v/>
      </c>
      <c r="K112" s="9"/>
      <c r="L112" s="10" t="str">
        <f aca="false">IF($C112="","",N($I112)*N($K112))</f>
        <v/>
      </c>
      <c r="M112" s="8"/>
      <c r="N112" s="11" t="str">
        <f aca="false">IF($C112="","",IF($M112="VAT 5%",0.05,IF($M112="VAT 8%",0.08,IF($M112="VAT 10%",0.1,0))))</f>
        <v/>
      </c>
      <c r="O112" s="10" t="str">
        <f aca="false">IF($C112="","",$L112*$N112)</f>
        <v/>
      </c>
      <c r="P112" s="10" t="str">
        <f aca="false">IF($C112="","",$L112+$O112)</f>
        <v/>
      </c>
      <c r="Q112" s="9"/>
      <c r="R112" s="10" t="str">
        <f aca="false">IF($C112="","",MAX(0,$P112-N($Q112)))</f>
        <v/>
      </c>
      <c r="S112" s="19" t="str">
        <f aca="false">IF(OR($C112="",$P112=0),"",IF(N($Q112)&lt;=0,"Chưa thanh toán",IF(N($Q112)&lt;$P112,"Thanh toán một phần","Đã thanh toán")))</f>
        <v/>
      </c>
      <c r="T112" s="10" t="str">
        <f aca="false">IF(OR($C112="",$J112=""),"",N($I112)*$J112)</f>
        <v/>
      </c>
      <c r="U112" s="10" t="str">
        <f aca="false">IF(OR($C112="",$T112=""),"",$L112-$T112)</f>
        <v/>
      </c>
      <c r="V112" s="11" t="str">
        <f aca="false">IF(OR($U112="",$L112=0),"",$U112/$L112)</f>
        <v/>
      </c>
      <c r="W112" s="8"/>
      <c r="X112" s="19" t="str">
        <f aca="false">IF($C112="","",IF(AND($H112="",N($I112)=0,N($K112)=0),"Dòng chỉ lưu thông tin khách (chưa có đơn); ",IF($B112="","Thiếu ngày đặt; ","")&amp;IF($H112="","Thiếu tên sản phẩm; ",IF($J112="","Sản phẩm chưa có trong BẢNG GIÁ GỐC; ",""))&amp;IF(N($I112)&lt;=0,"Thiếu số lượng; ","")&amp;IF(N($K112)&lt;=0,"Thiếu giá bán; ","")&amp;IF(AND($N112&gt;0,$F112=""),"Khách lấy VAT thiếu mã số thuế; ","")&amp;IF(N($Q112)&gt;$P112,"Đã thu vượt tổng phải thu; ","")&amp;IF(AND($L112&gt;0,$U112&lt;0),"CẢNH BÁO: ĐƠN NÀY ĐANG LỖ; ","")))</f>
        <v/>
      </c>
      <c r="Y112" s="16" t="str">
        <f aca="false">IF(AND($C112&lt;&gt;"",$R112&gt;0),COUNTIFS($C$6:$C112,"&lt;&gt;",$R$6:$R112,"&gt;0"),"")</f>
        <v/>
      </c>
      <c r="Z112" s="16" t="str">
        <f aca="false">IF(AND($H112&lt;&gt;"",N($N112)&gt;0),COUNTIFS($H$6:$H112,"&lt;&gt;",$N$6:$N112,"&gt;0"),"")</f>
        <v/>
      </c>
      <c r="AA112" s="16" t="str">
        <f aca="false">IF(AND($H112&lt;&gt;"",N($N112)=0),COUNTIFS($H$6:$H112,"&lt;&gt;",$N$6:$N112,"&lt;=0"),"")</f>
        <v/>
      </c>
      <c r="AB112" s="16" t="str">
        <f aca="false">IF($C112="","",IF(COUNTIF($C$6:$C112,$C112)&gt;1,"",MAX($AB$5:AB111)+1))</f>
        <v/>
      </c>
      <c r="AC112" s="16" t="str">
        <f aca="false">IF($H112="","",IF(COUNTIF($H$6:$H112,$H112)&gt;1,"",MAX($AC$5:AC111)+1))</f>
        <v/>
      </c>
    </row>
    <row r="113" customFormat="false" ht="15" hidden="false" customHeight="false" outlineLevel="0" collapsed="false">
      <c r="A113" s="16" t="str">
        <f aca="false">IF($C113="","",COUNTA($C$6:$C113))</f>
        <v/>
      </c>
      <c r="B113" s="17"/>
      <c r="C113" s="8"/>
      <c r="D113" s="8"/>
      <c r="E113" s="8"/>
      <c r="F113" s="8"/>
      <c r="G113" s="8"/>
      <c r="H113" s="8"/>
      <c r="I113" s="9"/>
      <c r="J113" s="10" t="str">
        <f aca="false">IF($H113="","",IFERROR(VLOOKUP($H113,'BẢNG GIÁ GỐC'!$A$5:$D$204,3,FALSE()),""))</f>
        <v/>
      </c>
      <c r="K113" s="9"/>
      <c r="L113" s="10" t="str">
        <f aca="false">IF($C113="","",N($I113)*N($K113))</f>
        <v/>
      </c>
      <c r="M113" s="8"/>
      <c r="N113" s="11" t="str">
        <f aca="false">IF($C113="","",IF($M113="VAT 5%",0.05,IF($M113="VAT 8%",0.08,IF($M113="VAT 10%",0.1,0))))</f>
        <v/>
      </c>
      <c r="O113" s="10" t="str">
        <f aca="false">IF($C113="","",$L113*$N113)</f>
        <v/>
      </c>
      <c r="P113" s="10" t="str">
        <f aca="false">IF($C113="","",$L113+$O113)</f>
        <v/>
      </c>
      <c r="Q113" s="9"/>
      <c r="R113" s="10" t="str">
        <f aca="false">IF($C113="","",MAX(0,$P113-N($Q113)))</f>
        <v/>
      </c>
      <c r="S113" s="19" t="str">
        <f aca="false">IF(OR($C113="",$P113=0),"",IF(N($Q113)&lt;=0,"Chưa thanh toán",IF(N($Q113)&lt;$P113,"Thanh toán một phần","Đã thanh toán")))</f>
        <v/>
      </c>
      <c r="T113" s="10" t="str">
        <f aca="false">IF(OR($C113="",$J113=""),"",N($I113)*$J113)</f>
        <v/>
      </c>
      <c r="U113" s="10" t="str">
        <f aca="false">IF(OR($C113="",$T113=""),"",$L113-$T113)</f>
        <v/>
      </c>
      <c r="V113" s="11" t="str">
        <f aca="false">IF(OR($U113="",$L113=0),"",$U113/$L113)</f>
        <v/>
      </c>
      <c r="W113" s="8"/>
      <c r="X113" s="19" t="str">
        <f aca="false">IF($C113="","",IF(AND($H113="",N($I113)=0,N($K113)=0),"Dòng chỉ lưu thông tin khách (chưa có đơn); ",IF($B113="","Thiếu ngày đặt; ","")&amp;IF($H113="","Thiếu tên sản phẩm; ",IF($J113="","Sản phẩm chưa có trong BẢNG GIÁ GỐC; ",""))&amp;IF(N($I113)&lt;=0,"Thiếu số lượng; ","")&amp;IF(N($K113)&lt;=0,"Thiếu giá bán; ","")&amp;IF(AND($N113&gt;0,$F113=""),"Khách lấy VAT thiếu mã số thuế; ","")&amp;IF(N($Q113)&gt;$P113,"Đã thu vượt tổng phải thu; ","")&amp;IF(AND($L113&gt;0,$U113&lt;0),"CẢNH BÁO: ĐƠN NÀY ĐANG LỖ; ","")))</f>
        <v/>
      </c>
      <c r="Y113" s="16" t="str">
        <f aca="false">IF(AND($C113&lt;&gt;"",$R113&gt;0),COUNTIFS($C$6:$C113,"&lt;&gt;",$R$6:$R113,"&gt;0"),"")</f>
        <v/>
      </c>
      <c r="Z113" s="16" t="str">
        <f aca="false">IF(AND($H113&lt;&gt;"",N($N113)&gt;0),COUNTIFS($H$6:$H113,"&lt;&gt;",$N$6:$N113,"&gt;0"),"")</f>
        <v/>
      </c>
      <c r="AA113" s="16" t="str">
        <f aca="false">IF(AND($H113&lt;&gt;"",N($N113)=0),COUNTIFS($H$6:$H113,"&lt;&gt;",$N$6:$N113,"&lt;=0"),"")</f>
        <v/>
      </c>
      <c r="AB113" s="16" t="str">
        <f aca="false">IF($C113="","",IF(COUNTIF($C$6:$C113,$C113)&gt;1,"",MAX($AB$5:AB112)+1))</f>
        <v/>
      </c>
      <c r="AC113" s="16" t="str">
        <f aca="false">IF($H113="","",IF(COUNTIF($H$6:$H113,$H113)&gt;1,"",MAX($AC$5:AC112)+1))</f>
        <v/>
      </c>
    </row>
    <row r="114" customFormat="false" ht="15" hidden="false" customHeight="false" outlineLevel="0" collapsed="false">
      <c r="A114" s="16" t="str">
        <f aca="false">IF($C114="","",COUNTA($C$6:$C114))</f>
        <v/>
      </c>
      <c r="B114" s="17"/>
      <c r="C114" s="8"/>
      <c r="D114" s="8"/>
      <c r="E114" s="8"/>
      <c r="F114" s="8"/>
      <c r="G114" s="8"/>
      <c r="H114" s="8"/>
      <c r="I114" s="9"/>
      <c r="J114" s="10" t="str">
        <f aca="false">IF($H114="","",IFERROR(VLOOKUP($H114,'BẢNG GIÁ GỐC'!$A$5:$D$204,3,FALSE()),""))</f>
        <v/>
      </c>
      <c r="K114" s="9"/>
      <c r="L114" s="10" t="str">
        <f aca="false">IF($C114="","",N($I114)*N($K114))</f>
        <v/>
      </c>
      <c r="M114" s="8"/>
      <c r="N114" s="11" t="str">
        <f aca="false">IF($C114="","",IF($M114="VAT 5%",0.05,IF($M114="VAT 8%",0.08,IF($M114="VAT 10%",0.1,0))))</f>
        <v/>
      </c>
      <c r="O114" s="10" t="str">
        <f aca="false">IF($C114="","",$L114*$N114)</f>
        <v/>
      </c>
      <c r="P114" s="10" t="str">
        <f aca="false">IF($C114="","",$L114+$O114)</f>
        <v/>
      </c>
      <c r="Q114" s="9"/>
      <c r="R114" s="10" t="str">
        <f aca="false">IF($C114="","",MAX(0,$P114-N($Q114)))</f>
        <v/>
      </c>
      <c r="S114" s="19" t="str">
        <f aca="false">IF(OR($C114="",$P114=0),"",IF(N($Q114)&lt;=0,"Chưa thanh toán",IF(N($Q114)&lt;$P114,"Thanh toán một phần","Đã thanh toán")))</f>
        <v/>
      </c>
      <c r="T114" s="10" t="str">
        <f aca="false">IF(OR($C114="",$J114=""),"",N($I114)*$J114)</f>
        <v/>
      </c>
      <c r="U114" s="10" t="str">
        <f aca="false">IF(OR($C114="",$T114=""),"",$L114-$T114)</f>
        <v/>
      </c>
      <c r="V114" s="11" t="str">
        <f aca="false">IF(OR($U114="",$L114=0),"",$U114/$L114)</f>
        <v/>
      </c>
      <c r="W114" s="8"/>
      <c r="X114" s="19" t="str">
        <f aca="false">IF($C114="","",IF(AND($H114="",N($I114)=0,N($K114)=0),"Dòng chỉ lưu thông tin khách (chưa có đơn); ",IF($B114="","Thiếu ngày đặt; ","")&amp;IF($H114="","Thiếu tên sản phẩm; ",IF($J114="","Sản phẩm chưa có trong BẢNG GIÁ GỐC; ",""))&amp;IF(N($I114)&lt;=0,"Thiếu số lượng; ","")&amp;IF(N($K114)&lt;=0,"Thiếu giá bán; ","")&amp;IF(AND($N114&gt;0,$F114=""),"Khách lấy VAT thiếu mã số thuế; ","")&amp;IF(N($Q114)&gt;$P114,"Đã thu vượt tổng phải thu; ","")&amp;IF(AND($L114&gt;0,$U114&lt;0),"CẢNH BÁO: ĐƠN NÀY ĐANG LỖ; ","")))</f>
        <v/>
      </c>
      <c r="Y114" s="16" t="str">
        <f aca="false">IF(AND($C114&lt;&gt;"",$R114&gt;0),COUNTIFS($C$6:$C114,"&lt;&gt;",$R$6:$R114,"&gt;0"),"")</f>
        <v/>
      </c>
      <c r="Z114" s="16" t="str">
        <f aca="false">IF(AND($H114&lt;&gt;"",N($N114)&gt;0),COUNTIFS($H$6:$H114,"&lt;&gt;",$N$6:$N114,"&gt;0"),"")</f>
        <v/>
      </c>
      <c r="AA114" s="16" t="str">
        <f aca="false">IF(AND($H114&lt;&gt;"",N($N114)=0),COUNTIFS($H$6:$H114,"&lt;&gt;",$N$6:$N114,"&lt;=0"),"")</f>
        <v/>
      </c>
      <c r="AB114" s="16" t="str">
        <f aca="false">IF($C114="","",IF(COUNTIF($C$6:$C114,$C114)&gt;1,"",MAX($AB$5:AB113)+1))</f>
        <v/>
      </c>
      <c r="AC114" s="16" t="str">
        <f aca="false">IF($H114="","",IF(COUNTIF($H$6:$H114,$H114)&gt;1,"",MAX($AC$5:AC113)+1))</f>
        <v/>
      </c>
    </row>
    <row r="115" customFormat="false" ht="15" hidden="false" customHeight="false" outlineLevel="0" collapsed="false">
      <c r="A115" s="16" t="str">
        <f aca="false">IF($C115="","",COUNTA($C$6:$C115))</f>
        <v/>
      </c>
      <c r="B115" s="17"/>
      <c r="C115" s="8"/>
      <c r="D115" s="8"/>
      <c r="E115" s="8"/>
      <c r="F115" s="8"/>
      <c r="G115" s="8"/>
      <c r="H115" s="8"/>
      <c r="I115" s="9"/>
      <c r="J115" s="10" t="str">
        <f aca="false">IF($H115="","",IFERROR(VLOOKUP($H115,'BẢNG GIÁ GỐC'!$A$5:$D$204,3,FALSE()),""))</f>
        <v/>
      </c>
      <c r="K115" s="9"/>
      <c r="L115" s="10" t="str">
        <f aca="false">IF($C115="","",N($I115)*N($K115))</f>
        <v/>
      </c>
      <c r="M115" s="8"/>
      <c r="N115" s="11" t="str">
        <f aca="false">IF($C115="","",IF($M115="VAT 5%",0.05,IF($M115="VAT 8%",0.08,IF($M115="VAT 10%",0.1,0))))</f>
        <v/>
      </c>
      <c r="O115" s="10" t="str">
        <f aca="false">IF($C115="","",$L115*$N115)</f>
        <v/>
      </c>
      <c r="P115" s="10" t="str">
        <f aca="false">IF($C115="","",$L115+$O115)</f>
        <v/>
      </c>
      <c r="Q115" s="9"/>
      <c r="R115" s="10" t="str">
        <f aca="false">IF($C115="","",MAX(0,$P115-N($Q115)))</f>
        <v/>
      </c>
      <c r="S115" s="19" t="str">
        <f aca="false">IF(OR($C115="",$P115=0),"",IF(N($Q115)&lt;=0,"Chưa thanh toán",IF(N($Q115)&lt;$P115,"Thanh toán một phần","Đã thanh toán")))</f>
        <v/>
      </c>
      <c r="T115" s="10" t="str">
        <f aca="false">IF(OR($C115="",$J115=""),"",N($I115)*$J115)</f>
        <v/>
      </c>
      <c r="U115" s="10" t="str">
        <f aca="false">IF(OR($C115="",$T115=""),"",$L115-$T115)</f>
        <v/>
      </c>
      <c r="V115" s="11" t="str">
        <f aca="false">IF(OR($U115="",$L115=0),"",$U115/$L115)</f>
        <v/>
      </c>
      <c r="W115" s="8"/>
      <c r="X115" s="19" t="str">
        <f aca="false">IF($C115="","",IF(AND($H115="",N($I115)=0,N($K115)=0),"Dòng chỉ lưu thông tin khách (chưa có đơn); ",IF($B115="","Thiếu ngày đặt; ","")&amp;IF($H115="","Thiếu tên sản phẩm; ",IF($J115="","Sản phẩm chưa có trong BẢNG GIÁ GỐC; ",""))&amp;IF(N($I115)&lt;=0,"Thiếu số lượng; ","")&amp;IF(N($K115)&lt;=0,"Thiếu giá bán; ","")&amp;IF(AND($N115&gt;0,$F115=""),"Khách lấy VAT thiếu mã số thuế; ","")&amp;IF(N($Q115)&gt;$P115,"Đã thu vượt tổng phải thu; ","")&amp;IF(AND($L115&gt;0,$U115&lt;0),"CẢNH BÁO: ĐƠN NÀY ĐANG LỖ; ","")))</f>
        <v/>
      </c>
      <c r="Y115" s="16" t="str">
        <f aca="false">IF(AND($C115&lt;&gt;"",$R115&gt;0),COUNTIFS($C$6:$C115,"&lt;&gt;",$R$6:$R115,"&gt;0"),"")</f>
        <v/>
      </c>
      <c r="Z115" s="16" t="str">
        <f aca="false">IF(AND($H115&lt;&gt;"",N($N115)&gt;0),COUNTIFS($H$6:$H115,"&lt;&gt;",$N$6:$N115,"&gt;0"),"")</f>
        <v/>
      </c>
      <c r="AA115" s="16" t="str">
        <f aca="false">IF(AND($H115&lt;&gt;"",N($N115)=0),COUNTIFS($H$6:$H115,"&lt;&gt;",$N$6:$N115,"&lt;=0"),"")</f>
        <v/>
      </c>
      <c r="AB115" s="16" t="str">
        <f aca="false">IF($C115="","",IF(COUNTIF($C$6:$C115,$C115)&gt;1,"",MAX($AB$5:AB114)+1))</f>
        <v/>
      </c>
      <c r="AC115" s="16" t="str">
        <f aca="false">IF($H115="","",IF(COUNTIF($H$6:$H115,$H115)&gt;1,"",MAX($AC$5:AC114)+1))</f>
        <v/>
      </c>
    </row>
    <row r="116" customFormat="false" ht="15" hidden="false" customHeight="false" outlineLevel="0" collapsed="false">
      <c r="A116" s="16" t="str">
        <f aca="false">IF($C116="","",COUNTA($C$6:$C116))</f>
        <v/>
      </c>
      <c r="B116" s="17"/>
      <c r="C116" s="8"/>
      <c r="D116" s="8"/>
      <c r="E116" s="8"/>
      <c r="F116" s="8"/>
      <c r="G116" s="8"/>
      <c r="H116" s="8"/>
      <c r="I116" s="9"/>
      <c r="J116" s="10" t="str">
        <f aca="false">IF($H116="","",IFERROR(VLOOKUP($H116,'BẢNG GIÁ GỐC'!$A$5:$D$204,3,FALSE()),""))</f>
        <v/>
      </c>
      <c r="K116" s="9"/>
      <c r="L116" s="10" t="str">
        <f aca="false">IF($C116="","",N($I116)*N($K116))</f>
        <v/>
      </c>
      <c r="M116" s="8"/>
      <c r="N116" s="11" t="str">
        <f aca="false">IF($C116="","",IF($M116="VAT 5%",0.05,IF($M116="VAT 8%",0.08,IF($M116="VAT 10%",0.1,0))))</f>
        <v/>
      </c>
      <c r="O116" s="10" t="str">
        <f aca="false">IF($C116="","",$L116*$N116)</f>
        <v/>
      </c>
      <c r="P116" s="10" t="str">
        <f aca="false">IF($C116="","",$L116+$O116)</f>
        <v/>
      </c>
      <c r="Q116" s="9"/>
      <c r="R116" s="10" t="str">
        <f aca="false">IF($C116="","",MAX(0,$P116-N($Q116)))</f>
        <v/>
      </c>
      <c r="S116" s="19" t="str">
        <f aca="false">IF(OR($C116="",$P116=0),"",IF(N($Q116)&lt;=0,"Chưa thanh toán",IF(N($Q116)&lt;$P116,"Thanh toán một phần","Đã thanh toán")))</f>
        <v/>
      </c>
      <c r="T116" s="10" t="str">
        <f aca="false">IF(OR($C116="",$J116=""),"",N($I116)*$J116)</f>
        <v/>
      </c>
      <c r="U116" s="10" t="str">
        <f aca="false">IF(OR($C116="",$T116=""),"",$L116-$T116)</f>
        <v/>
      </c>
      <c r="V116" s="11" t="str">
        <f aca="false">IF(OR($U116="",$L116=0),"",$U116/$L116)</f>
        <v/>
      </c>
      <c r="W116" s="8"/>
      <c r="X116" s="19" t="str">
        <f aca="false">IF($C116="","",IF(AND($H116="",N($I116)=0,N($K116)=0),"Dòng chỉ lưu thông tin khách (chưa có đơn); ",IF($B116="","Thiếu ngày đặt; ","")&amp;IF($H116="","Thiếu tên sản phẩm; ",IF($J116="","Sản phẩm chưa có trong BẢNG GIÁ GỐC; ",""))&amp;IF(N($I116)&lt;=0,"Thiếu số lượng; ","")&amp;IF(N($K116)&lt;=0,"Thiếu giá bán; ","")&amp;IF(AND($N116&gt;0,$F116=""),"Khách lấy VAT thiếu mã số thuế; ","")&amp;IF(N($Q116)&gt;$P116,"Đã thu vượt tổng phải thu; ","")&amp;IF(AND($L116&gt;0,$U116&lt;0),"CẢNH BÁO: ĐƠN NÀY ĐANG LỖ; ","")))</f>
        <v/>
      </c>
      <c r="Y116" s="16" t="str">
        <f aca="false">IF(AND($C116&lt;&gt;"",$R116&gt;0),COUNTIFS($C$6:$C116,"&lt;&gt;",$R$6:$R116,"&gt;0"),"")</f>
        <v/>
      </c>
      <c r="Z116" s="16" t="str">
        <f aca="false">IF(AND($H116&lt;&gt;"",N($N116)&gt;0),COUNTIFS($H$6:$H116,"&lt;&gt;",$N$6:$N116,"&gt;0"),"")</f>
        <v/>
      </c>
      <c r="AA116" s="16" t="str">
        <f aca="false">IF(AND($H116&lt;&gt;"",N($N116)=0),COUNTIFS($H$6:$H116,"&lt;&gt;",$N$6:$N116,"&lt;=0"),"")</f>
        <v/>
      </c>
      <c r="AB116" s="16" t="str">
        <f aca="false">IF($C116="","",IF(COUNTIF($C$6:$C116,$C116)&gt;1,"",MAX($AB$5:AB115)+1))</f>
        <v/>
      </c>
      <c r="AC116" s="16" t="str">
        <f aca="false">IF($H116="","",IF(COUNTIF($H$6:$H116,$H116)&gt;1,"",MAX($AC$5:AC115)+1))</f>
        <v/>
      </c>
    </row>
    <row r="117" customFormat="false" ht="15" hidden="false" customHeight="false" outlineLevel="0" collapsed="false">
      <c r="A117" s="16" t="str">
        <f aca="false">IF($C117="","",COUNTA($C$6:$C117))</f>
        <v/>
      </c>
      <c r="B117" s="17"/>
      <c r="C117" s="8"/>
      <c r="D117" s="8"/>
      <c r="E117" s="8"/>
      <c r="F117" s="8"/>
      <c r="G117" s="8"/>
      <c r="H117" s="8"/>
      <c r="I117" s="9"/>
      <c r="J117" s="10" t="str">
        <f aca="false">IF($H117="","",IFERROR(VLOOKUP($H117,'BẢNG GIÁ GỐC'!$A$5:$D$204,3,FALSE()),""))</f>
        <v/>
      </c>
      <c r="K117" s="9"/>
      <c r="L117" s="10" t="str">
        <f aca="false">IF($C117="","",N($I117)*N($K117))</f>
        <v/>
      </c>
      <c r="M117" s="8"/>
      <c r="N117" s="11" t="str">
        <f aca="false">IF($C117="","",IF($M117="VAT 5%",0.05,IF($M117="VAT 8%",0.08,IF($M117="VAT 10%",0.1,0))))</f>
        <v/>
      </c>
      <c r="O117" s="10" t="str">
        <f aca="false">IF($C117="","",$L117*$N117)</f>
        <v/>
      </c>
      <c r="P117" s="10" t="str">
        <f aca="false">IF($C117="","",$L117+$O117)</f>
        <v/>
      </c>
      <c r="Q117" s="9"/>
      <c r="R117" s="10" t="str">
        <f aca="false">IF($C117="","",MAX(0,$P117-N($Q117)))</f>
        <v/>
      </c>
      <c r="S117" s="19" t="str">
        <f aca="false">IF(OR($C117="",$P117=0),"",IF(N($Q117)&lt;=0,"Chưa thanh toán",IF(N($Q117)&lt;$P117,"Thanh toán một phần","Đã thanh toán")))</f>
        <v/>
      </c>
      <c r="T117" s="10" t="str">
        <f aca="false">IF(OR($C117="",$J117=""),"",N($I117)*$J117)</f>
        <v/>
      </c>
      <c r="U117" s="10" t="str">
        <f aca="false">IF(OR($C117="",$T117=""),"",$L117-$T117)</f>
        <v/>
      </c>
      <c r="V117" s="11" t="str">
        <f aca="false">IF(OR($U117="",$L117=0),"",$U117/$L117)</f>
        <v/>
      </c>
      <c r="W117" s="8"/>
      <c r="X117" s="19" t="str">
        <f aca="false">IF($C117="","",IF(AND($H117="",N($I117)=0,N($K117)=0),"Dòng chỉ lưu thông tin khách (chưa có đơn); ",IF($B117="","Thiếu ngày đặt; ","")&amp;IF($H117="","Thiếu tên sản phẩm; ",IF($J117="","Sản phẩm chưa có trong BẢNG GIÁ GỐC; ",""))&amp;IF(N($I117)&lt;=0,"Thiếu số lượng; ","")&amp;IF(N($K117)&lt;=0,"Thiếu giá bán; ","")&amp;IF(AND($N117&gt;0,$F117=""),"Khách lấy VAT thiếu mã số thuế; ","")&amp;IF(N($Q117)&gt;$P117,"Đã thu vượt tổng phải thu; ","")&amp;IF(AND($L117&gt;0,$U117&lt;0),"CẢNH BÁO: ĐƠN NÀY ĐANG LỖ; ","")))</f>
        <v/>
      </c>
      <c r="Y117" s="16" t="str">
        <f aca="false">IF(AND($C117&lt;&gt;"",$R117&gt;0),COUNTIFS($C$6:$C117,"&lt;&gt;",$R$6:$R117,"&gt;0"),"")</f>
        <v/>
      </c>
      <c r="Z117" s="16" t="str">
        <f aca="false">IF(AND($H117&lt;&gt;"",N($N117)&gt;0),COUNTIFS($H$6:$H117,"&lt;&gt;",$N$6:$N117,"&gt;0"),"")</f>
        <v/>
      </c>
      <c r="AA117" s="16" t="str">
        <f aca="false">IF(AND($H117&lt;&gt;"",N($N117)=0),COUNTIFS($H$6:$H117,"&lt;&gt;",$N$6:$N117,"&lt;=0"),"")</f>
        <v/>
      </c>
      <c r="AB117" s="16" t="str">
        <f aca="false">IF($C117="","",IF(COUNTIF($C$6:$C117,$C117)&gt;1,"",MAX($AB$5:AB116)+1))</f>
        <v/>
      </c>
      <c r="AC117" s="16" t="str">
        <f aca="false">IF($H117="","",IF(COUNTIF($H$6:$H117,$H117)&gt;1,"",MAX($AC$5:AC116)+1))</f>
        <v/>
      </c>
    </row>
    <row r="118" customFormat="false" ht="15" hidden="false" customHeight="false" outlineLevel="0" collapsed="false">
      <c r="A118" s="16" t="str">
        <f aca="false">IF($C118="","",COUNTA($C$6:$C118))</f>
        <v/>
      </c>
      <c r="B118" s="17"/>
      <c r="C118" s="8"/>
      <c r="D118" s="8"/>
      <c r="E118" s="8"/>
      <c r="F118" s="8"/>
      <c r="G118" s="8"/>
      <c r="H118" s="8"/>
      <c r="I118" s="9"/>
      <c r="J118" s="10" t="str">
        <f aca="false">IF($H118="","",IFERROR(VLOOKUP($H118,'BẢNG GIÁ GỐC'!$A$5:$D$204,3,FALSE()),""))</f>
        <v/>
      </c>
      <c r="K118" s="9"/>
      <c r="L118" s="10" t="str">
        <f aca="false">IF($C118="","",N($I118)*N($K118))</f>
        <v/>
      </c>
      <c r="M118" s="8"/>
      <c r="N118" s="11" t="str">
        <f aca="false">IF($C118="","",IF($M118="VAT 5%",0.05,IF($M118="VAT 8%",0.08,IF($M118="VAT 10%",0.1,0))))</f>
        <v/>
      </c>
      <c r="O118" s="10" t="str">
        <f aca="false">IF($C118="","",$L118*$N118)</f>
        <v/>
      </c>
      <c r="P118" s="10" t="str">
        <f aca="false">IF($C118="","",$L118+$O118)</f>
        <v/>
      </c>
      <c r="Q118" s="9"/>
      <c r="R118" s="10" t="str">
        <f aca="false">IF($C118="","",MAX(0,$P118-N($Q118)))</f>
        <v/>
      </c>
      <c r="S118" s="19" t="str">
        <f aca="false">IF(OR($C118="",$P118=0),"",IF(N($Q118)&lt;=0,"Chưa thanh toán",IF(N($Q118)&lt;$P118,"Thanh toán một phần","Đã thanh toán")))</f>
        <v/>
      </c>
      <c r="T118" s="10" t="str">
        <f aca="false">IF(OR($C118="",$J118=""),"",N($I118)*$J118)</f>
        <v/>
      </c>
      <c r="U118" s="10" t="str">
        <f aca="false">IF(OR($C118="",$T118=""),"",$L118-$T118)</f>
        <v/>
      </c>
      <c r="V118" s="11" t="str">
        <f aca="false">IF(OR($U118="",$L118=0),"",$U118/$L118)</f>
        <v/>
      </c>
      <c r="W118" s="8"/>
      <c r="X118" s="19" t="str">
        <f aca="false">IF($C118="","",IF(AND($H118="",N($I118)=0,N($K118)=0),"Dòng chỉ lưu thông tin khách (chưa có đơn); ",IF($B118="","Thiếu ngày đặt; ","")&amp;IF($H118="","Thiếu tên sản phẩm; ",IF($J118="","Sản phẩm chưa có trong BẢNG GIÁ GỐC; ",""))&amp;IF(N($I118)&lt;=0,"Thiếu số lượng; ","")&amp;IF(N($K118)&lt;=0,"Thiếu giá bán; ","")&amp;IF(AND($N118&gt;0,$F118=""),"Khách lấy VAT thiếu mã số thuế; ","")&amp;IF(N($Q118)&gt;$P118,"Đã thu vượt tổng phải thu; ","")&amp;IF(AND($L118&gt;0,$U118&lt;0),"CẢNH BÁO: ĐƠN NÀY ĐANG LỖ; ","")))</f>
        <v/>
      </c>
      <c r="Y118" s="16" t="str">
        <f aca="false">IF(AND($C118&lt;&gt;"",$R118&gt;0),COUNTIFS($C$6:$C118,"&lt;&gt;",$R$6:$R118,"&gt;0"),"")</f>
        <v/>
      </c>
      <c r="Z118" s="16" t="str">
        <f aca="false">IF(AND($H118&lt;&gt;"",N($N118)&gt;0),COUNTIFS($H$6:$H118,"&lt;&gt;",$N$6:$N118,"&gt;0"),"")</f>
        <v/>
      </c>
      <c r="AA118" s="16" t="str">
        <f aca="false">IF(AND($H118&lt;&gt;"",N($N118)=0),COUNTIFS($H$6:$H118,"&lt;&gt;",$N$6:$N118,"&lt;=0"),"")</f>
        <v/>
      </c>
      <c r="AB118" s="16" t="str">
        <f aca="false">IF($C118="","",IF(COUNTIF($C$6:$C118,$C118)&gt;1,"",MAX($AB$5:AB117)+1))</f>
        <v/>
      </c>
      <c r="AC118" s="16" t="str">
        <f aca="false">IF($H118="","",IF(COUNTIF($H$6:$H118,$H118)&gt;1,"",MAX($AC$5:AC117)+1))</f>
        <v/>
      </c>
    </row>
    <row r="119" customFormat="false" ht="15" hidden="false" customHeight="false" outlineLevel="0" collapsed="false">
      <c r="A119" s="16" t="str">
        <f aca="false">IF($C119="","",COUNTA($C$6:$C119))</f>
        <v/>
      </c>
      <c r="B119" s="17"/>
      <c r="C119" s="8"/>
      <c r="D119" s="8"/>
      <c r="E119" s="8"/>
      <c r="F119" s="8"/>
      <c r="G119" s="8"/>
      <c r="H119" s="8"/>
      <c r="I119" s="9"/>
      <c r="J119" s="10" t="str">
        <f aca="false">IF($H119="","",IFERROR(VLOOKUP($H119,'BẢNG GIÁ GỐC'!$A$5:$D$204,3,FALSE()),""))</f>
        <v/>
      </c>
      <c r="K119" s="9"/>
      <c r="L119" s="10" t="str">
        <f aca="false">IF($C119="","",N($I119)*N($K119))</f>
        <v/>
      </c>
      <c r="M119" s="8"/>
      <c r="N119" s="11" t="str">
        <f aca="false">IF($C119="","",IF($M119="VAT 5%",0.05,IF($M119="VAT 8%",0.08,IF($M119="VAT 10%",0.1,0))))</f>
        <v/>
      </c>
      <c r="O119" s="10" t="str">
        <f aca="false">IF($C119="","",$L119*$N119)</f>
        <v/>
      </c>
      <c r="P119" s="10" t="str">
        <f aca="false">IF($C119="","",$L119+$O119)</f>
        <v/>
      </c>
      <c r="Q119" s="9"/>
      <c r="R119" s="10" t="str">
        <f aca="false">IF($C119="","",MAX(0,$P119-N($Q119)))</f>
        <v/>
      </c>
      <c r="S119" s="19" t="str">
        <f aca="false">IF(OR($C119="",$P119=0),"",IF(N($Q119)&lt;=0,"Chưa thanh toán",IF(N($Q119)&lt;$P119,"Thanh toán một phần","Đã thanh toán")))</f>
        <v/>
      </c>
      <c r="T119" s="10" t="str">
        <f aca="false">IF(OR($C119="",$J119=""),"",N($I119)*$J119)</f>
        <v/>
      </c>
      <c r="U119" s="10" t="str">
        <f aca="false">IF(OR($C119="",$T119=""),"",$L119-$T119)</f>
        <v/>
      </c>
      <c r="V119" s="11" t="str">
        <f aca="false">IF(OR($U119="",$L119=0),"",$U119/$L119)</f>
        <v/>
      </c>
      <c r="W119" s="8"/>
      <c r="X119" s="19" t="str">
        <f aca="false">IF($C119="","",IF(AND($H119="",N($I119)=0,N($K119)=0),"Dòng chỉ lưu thông tin khách (chưa có đơn); ",IF($B119="","Thiếu ngày đặt; ","")&amp;IF($H119="","Thiếu tên sản phẩm; ",IF($J119="","Sản phẩm chưa có trong BẢNG GIÁ GỐC; ",""))&amp;IF(N($I119)&lt;=0,"Thiếu số lượng; ","")&amp;IF(N($K119)&lt;=0,"Thiếu giá bán; ","")&amp;IF(AND($N119&gt;0,$F119=""),"Khách lấy VAT thiếu mã số thuế; ","")&amp;IF(N($Q119)&gt;$P119,"Đã thu vượt tổng phải thu; ","")&amp;IF(AND($L119&gt;0,$U119&lt;0),"CẢNH BÁO: ĐƠN NÀY ĐANG LỖ; ","")))</f>
        <v/>
      </c>
      <c r="Y119" s="16" t="str">
        <f aca="false">IF(AND($C119&lt;&gt;"",$R119&gt;0),COUNTIFS($C$6:$C119,"&lt;&gt;",$R$6:$R119,"&gt;0"),"")</f>
        <v/>
      </c>
      <c r="Z119" s="16" t="str">
        <f aca="false">IF(AND($H119&lt;&gt;"",N($N119)&gt;0),COUNTIFS($H$6:$H119,"&lt;&gt;",$N$6:$N119,"&gt;0"),"")</f>
        <v/>
      </c>
      <c r="AA119" s="16" t="str">
        <f aca="false">IF(AND($H119&lt;&gt;"",N($N119)=0),COUNTIFS($H$6:$H119,"&lt;&gt;",$N$6:$N119,"&lt;=0"),"")</f>
        <v/>
      </c>
      <c r="AB119" s="16" t="str">
        <f aca="false">IF($C119="","",IF(COUNTIF($C$6:$C119,$C119)&gt;1,"",MAX($AB$5:AB118)+1))</f>
        <v/>
      </c>
      <c r="AC119" s="16" t="str">
        <f aca="false">IF($H119="","",IF(COUNTIF($H$6:$H119,$H119)&gt;1,"",MAX($AC$5:AC118)+1))</f>
        <v/>
      </c>
    </row>
    <row r="120" customFormat="false" ht="15" hidden="false" customHeight="false" outlineLevel="0" collapsed="false">
      <c r="A120" s="16" t="str">
        <f aca="false">IF($C120="","",COUNTA($C$6:$C120))</f>
        <v/>
      </c>
      <c r="B120" s="17"/>
      <c r="C120" s="8"/>
      <c r="D120" s="8"/>
      <c r="E120" s="8"/>
      <c r="F120" s="8"/>
      <c r="G120" s="8"/>
      <c r="H120" s="8"/>
      <c r="I120" s="9"/>
      <c r="J120" s="10" t="str">
        <f aca="false">IF($H120="","",IFERROR(VLOOKUP($H120,'BẢNG GIÁ GỐC'!$A$5:$D$204,3,FALSE()),""))</f>
        <v/>
      </c>
      <c r="K120" s="9"/>
      <c r="L120" s="10" t="str">
        <f aca="false">IF($C120="","",N($I120)*N($K120))</f>
        <v/>
      </c>
      <c r="M120" s="8"/>
      <c r="N120" s="11" t="str">
        <f aca="false">IF($C120="","",IF($M120="VAT 5%",0.05,IF($M120="VAT 8%",0.08,IF($M120="VAT 10%",0.1,0))))</f>
        <v/>
      </c>
      <c r="O120" s="10" t="str">
        <f aca="false">IF($C120="","",$L120*$N120)</f>
        <v/>
      </c>
      <c r="P120" s="10" t="str">
        <f aca="false">IF($C120="","",$L120+$O120)</f>
        <v/>
      </c>
      <c r="Q120" s="9"/>
      <c r="R120" s="10" t="str">
        <f aca="false">IF($C120="","",MAX(0,$P120-N($Q120)))</f>
        <v/>
      </c>
      <c r="S120" s="19" t="str">
        <f aca="false">IF(OR($C120="",$P120=0),"",IF(N($Q120)&lt;=0,"Chưa thanh toán",IF(N($Q120)&lt;$P120,"Thanh toán một phần","Đã thanh toán")))</f>
        <v/>
      </c>
      <c r="T120" s="10" t="str">
        <f aca="false">IF(OR($C120="",$J120=""),"",N($I120)*$J120)</f>
        <v/>
      </c>
      <c r="U120" s="10" t="str">
        <f aca="false">IF(OR($C120="",$T120=""),"",$L120-$T120)</f>
        <v/>
      </c>
      <c r="V120" s="11" t="str">
        <f aca="false">IF(OR($U120="",$L120=0),"",$U120/$L120)</f>
        <v/>
      </c>
      <c r="W120" s="8"/>
      <c r="X120" s="19" t="str">
        <f aca="false">IF($C120="","",IF(AND($H120="",N($I120)=0,N($K120)=0),"Dòng chỉ lưu thông tin khách (chưa có đơn); ",IF($B120="","Thiếu ngày đặt; ","")&amp;IF($H120="","Thiếu tên sản phẩm; ",IF($J120="","Sản phẩm chưa có trong BẢNG GIÁ GỐC; ",""))&amp;IF(N($I120)&lt;=0,"Thiếu số lượng; ","")&amp;IF(N($K120)&lt;=0,"Thiếu giá bán; ","")&amp;IF(AND($N120&gt;0,$F120=""),"Khách lấy VAT thiếu mã số thuế; ","")&amp;IF(N($Q120)&gt;$P120,"Đã thu vượt tổng phải thu; ","")&amp;IF(AND($L120&gt;0,$U120&lt;0),"CẢNH BÁO: ĐƠN NÀY ĐANG LỖ; ","")))</f>
        <v/>
      </c>
      <c r="Y120" s="16" t="str">
        <f aca="false">IF(AND($C120&lt;&gt;"",$R120&gt;0),COUNTIFS($C$6:$C120,"&lt;&gt;",$R$6:$R120,"&gt;0"),"")</f>
        <v/>
      </c>
      <c r="Z120" s="16" t="str">
        <f aca="false">IF(AND($H120&lt;&gt;"",N($N120)&gt;0),COUNTIFS($H$6:$H120,"&lt;&gt;",$N$6:$N120,"&gt;0"),"")</f>
        <v/>
      </c>
      <c r="AA120" s="16" t="str">
        <f aca="false">IF(AND($H120&lt;&gt;"",N($N120)=0),COUNTIFS($H$6:$H120,"&lt;&gt;",$N$6:$N120,"&lt;=0"),"")</f>
        <v/>
      </c>
      <c r="AB120" s="16" t="str">
        <f aca="false">IF($C120="","",IF(COUNTIF($C$6:$C120,$C120)&gt;1,"",MAX($AB$5:AB119)+1))</f>
        <v/>
      </c>
      <c r="AC120" s="16" t="str">
        <f aca="false">IF($H120="","",IF(COUNTIF($H$6:$H120,$H120)&gt;1,"",MAX($AC$5:AC119)+1))</f>
        <v/>
      </c>
    </row>
    <row r="121" customFormat="false" ht="15" hidden="false" customHeight="false" outlineLevel="0" collapsed="false">
      <c r="A121" s="16" t="str">
        <f aca="false">IF($C121="","",COUNTA($C$6:$C121))</f>
        <v/>
      </c>
      <c r="B121" s="17"/>
      <c r="C121" s="8"/>
      <c r="D121" s="8"/>
      <c r="E121" s="8"/>
      <c r="F121" s="8"/>
      <c r="G121" s="8"/>
      <c r="H121" s="8"/>
      <c r="I121" s="9"/>
      <c r="J121" s="10" t="str">
        <f aca="false">IF($H121="","",IFERROR(VLOOKUP($H121,'BẢNG GIÁ GỐC'!$A$5:$D$204,3,FALSE()),""))</f>
        <v/>
      </c>
      <c r="K121" s="9"/>
      <c r="L121" s="10" t="str">
        <f aca="false">IF($C121="","",N($I121)*N($K121))</f>
        <v/>
      </c>
      <c r="M121" s="8"/>
      <c r="N121" s="11" t="str">
        <f aca="false">IF($C121="","",IF($M121="VAT 5%",0.05,IF($M121="VAT 8%",0.08,IF($M121="VAT 10%",0.1,0))))</f>
        <v/>
      </c>
      <c r="O121" s="10" t="str">
        <f aca="false">IF($C121="","",$L121*$N121)</f>
        <v/>
      </c>
      <c r="P121" s="10" t="str">
        <f aca="false">IF($C121="","",$L121+$O121)</f>
        <v/>
      </c>
      <c r="Q121" s="9"/>
      <c r="R121" s="10" t="str">
        <f aca="false">IF($C121="","",MAX(0,$P121-N($Q121)))</f>
        <v/>
      </c>
      <c r="S121" s="19" t="str">
        <f aca="false">IF(OR($C121="",$P121=0),"",IF(N($Q121)&lt;=0,"Chưa thanh toán",IF(N($Q121)&lt;$P121,"Thanh toán một phần","Đã thanh toán")))</f>
        <v/>
      </c>
      <c r="T121" s="10" t="str">
        <f aca="false">IF(OR($C121="",$J121=""),"",N($I121)*$J121)</f>
        <v/>
      </c>
      <c r="U121" s="10" t="str">
        <f aca="false">IF(OR($C121="",$T121=""),"",$L121-$T121)</f>
        <v/>
      </c>
      <c r="V121" s="11" t="str">
        <f aca="false">IF(OR($U121="",$L121=0),"",$U121/$L121)</f>
        <v/>
      </c>
      <c r="W121" s="8"/>
      <c r="X121" s="19" t="str">
        <f aca="false">IF($C121="","",IF(AND($H121="",N($I121)=0,N($K121)=0),"Dòng chỉ lưu thông tin khách (chưa có đơn); ",IF($B121="","Thiếu ngày đặt; ","")&amp;IF($H121="","Thiếu tên sản phẩm; ",IF($J121="","Sản phẩm chưa có trong BẢNG GIÁ GỐC; ",""))&amp;IF(N($I121)&lt;=0,"Thiếu số lượng; ","")&amp;IF(N($K121)&lt;=0,"Thiếu giá bán; ","")&amp;IF(AND($N121&gt;0,$F121=""),"Khách lấy VAT thiếu mã số thuế; ","")&amp;IF(N($Q121)&gt;$P121,"Đã thu vượt tổng phải thu; ","")&amp;IF(AND($L121&gt;0,$U121&lt;0),"CẢNH BÁO: ĐƠN NÀY ĐANG LỖ; ","")))</f>
        <v/>
      </c>
      <c r="Y121" s="16" t="str">
        <f aca="false">IF(AND($C121&lt;&gt;"",$R121&gt;0),COUNTIFS($C$6:$C121,"&lt;&gt;",$R$6:$R121,"&gt;0"),"")</f>
        <v/>
      </c>
      <c r="Z121" s="16" t="str">
        <f aca="false">IF(AND($H121&lt;&gt;"",N($N121)&gt;0),COUNTIFS($H$6:$H121,"&lt;&gt;",$N$6:$N121,"&gt;0"),"")</f>
        <v/>
      </c>
      <c r="AA121" s="16" t="str">
        <f aca="false">IF(AND($H121&lt;&gt;"",N($N121)=0),COUNTIFS($H$6:$H121,"&lt;&gt;",$N$6:$N121,"&lt;=0"),"")</f>
        <v/>
      </c>
      <c r="AB121" s="16" t="str">
        <f aca="false">IF($C121="","",IF(COUNTIF($C$6:$C121,$C121)&gt;1,"",MAX($AB$5:AB120)+1))</f>
        <v/>
      </c>
      <c r="AC121" s="16" t="str">
        <f aca="false">IF($H121="","",IF(COUNTIF($H$6:$H121,$H121)&gt;1,"",MAX($AC$5:AC120)+1))</f>
        <v/>
      </c>
    </row>
    <row r="122" customFormat="false" ht="15" hidden="false" customHeight="false" outlineLevel="0" collapsed="false">
      <c r="A122" s="16" t="str">
        <f aca="false">IF($C122="","",COUNTA($C$6:$C122))</f>
        <v/>
      </c>
      <c r="B122" s="17"/>
      <c r="C122" s="8"/>
      <c r="D122" s="8"/>
      <c r="E122" s="8"/>
      <c r="F122" s="8"/>
      <c r="G122" s="8"/>
      <c r="H122" s="8"/>
      <c r="I122" s="9"/>
      <c r="J122" s="10" t="str">
        <f aca="false">IF($H122="","",IFERROR(VLOOKUP($H122,'BẢNG GIÁ GỐC'!$A$5:$D$204,3,FALSE()),""))</f>
        <v/>
      </c>
      <c r="K122" s="9"/>
      <c r="L122" s="10" t="str">
        <f aca="false">IF($C122="","",N($I122)*N($K122))</f>
        <v/>
      </c>
      <c r="M122" s="8"/>
      <c r="N122" s="11" t="str">
        <f aca="false">IF($C122="","",IF($M122="VAT 5%",0.05,IF($M122="VAT 8%",0.08,IF($M122="VAT 10%",0.1,0))))</f>
        <v/>
      </c>
      <c r="O122" s="10" t="str">
        <f aca="false">IF($C122="","",$L122*$N122)</f>
        <v/>
      </c>
      <c r="P122" s="10" t="str">
        <f aca="false">IF($C122="","",$L122+$O122)</f>
        <v/>
      </c>
      <c r="Q122" s="9"/>
      <c r="R122" s="10" t="str">
        <f aca="false">IF($C122="","",MAX(0,$P122-N($Q122)))</f>
        <v/>
      </c>
      <c r="S122" s="19" t="str">
        <f aca="false">IF(OR($C122="",$P122=0),"",IF(N($Q122)&lt;=0,"Chưa thanh toán",IF(N($Q122)&lt;$P122,"Thanh toán một phần","Đã thanh toán")))</f>
        <v/>
      </c>
      <c r="T122" s="10" t="str">
        <f aca="false">IF(OR($C122="",$J122=""),"",N($I122)*$J122)</f>
        <v/>
      </c>
      <c r="U122" s="10" t="str">
        <f aca="false">IF(OR($C122="",$T122=""),"",$L122-$T122)</f>
        <v/>
      </c>
      <c r="V122" s="11" t="str">
        <f aca="false">IF(OR($U122="",$L122=0),"",$U122/$L122)</f>
        <v/>
      </c>
      <c r="W122" s="8"/>
      <c r="X122" s="19" t="str">
        <f aca="false">IF($C122="","",IF(AND($H122="",N($I122)=0,N($K122)=0),"Dòng chỉ lưu thông tin khách (chưa có đơn); ",IF($B122="","Thiếu ngày đặt; ","")&amp;IF($H122="","Thiếu tên sản phẩm; ",IF($J122="","Sản phẩm chưa có trong BẢNG GIÁ GỐC; ",""))&amp;IF(N($I122)&lt;=0,"Thiếu số lượng; ","")&amp;IF(N($K122)&lt;=0,"Thiếu giá bán; ","")&amp;IF(AND($N122&gt;0,$F122=""),"Khách lấy VAT thiếu mã số thuế; ","")&amp;IF(N($Q122)&gt;$P122,"Đã thu vượt tổng phải thu; ","")&amp;IF(AND($L122&gt;0,$U122&lt;0),"CẢNH BÁO: ĐƠN NÀY ĐANG LỖ; ","")))</f>
        <v/>
      </c>
      <c r="Y122" s="16" t="str">
        <f aca="false">IF(AND($C122&lt;&gt;"",$R122&gt;0),COUNTIFS($C$6:$C122,"&lt;&gt;",$R$6:$R122,"&gt;0"),"")</f>
        <v/>
      </c>
      <c r="Z122" s="16" t="str">
        <f aca="false">IF(AND($H122&lt;&gt;"",N($N122)&gt;0),COUNTIFS($H$6:$H122,"&lt;&gt;",$N$6:$N122,"&gt;0"),"")</f>
        <v/>
      </c>
      <c r="AA122" s="16" t="str">
        <f aca="false">IF(AND($H122&lt;&gt;"",N($N122)=0),COUNTIFS($H$6:$H122,"&lt;&gt;",$N$6:$N122,"&lt;=0"),"")</f>
        <v/>
      </c>
      <c r="AB122" s="16" t="str">
        <f aca="false">IF($C122="","",IF(COUNTIF($C$6:$C122,$C122)&gt;1,"",MAX($AB$5:AB121)+1))</f>
        <v/>
      </c>
      <c r="AC122" s="16" t="str">
        <f aca="false">IF($H122="","",IF(COUNTIF($H$6:$H122,$H122)&gt;1,"",MAX($AC$5:AC121)+1))</f>
        <v/>
      </c>
    </row>
    <row r="123" customFormat="false" ht="15" hidden="false" customHeight="false" outlineLevel="0" collapsed="false">
      <c r="A123" s="16" t="str">
        <f aca="false">IF($C123="","",COUNTA($C$6:$C123))</f>
        <v/>
      </c>
      <c r="B123" s="17"/>
      <c r="C123" s="8"/>
      <c r="D123" s="8"/>
      <c r="E123" s="8"/>
      <c r="F123" s="8"/>
      <c r="G123" s="8"/>
      <c r="H123" s="8"/>
      <c r="I123" s="9"/>
      <c r="J123" s="10" t="str">
        <f aca="false">IF($H123="","",IFERROR(VLOOKUP($H123,'BẢNG GIÁ GỐC'!$A$5:$D$204,3,FALSE()),""))</f>
        <v/>
      </c>
      <c r="K123" s="9"/>
      <c r="L123" s="10" t="str">
        <f aca="false">IF($C123="","",N($I123)*N($K123))</f>
        <v/>
      </c>
      <c r="M123" s="8"/>
      <c r="N123" s="11" t="str">
        <f aca="false">IF($C123="","",IF($M123="VAT 5%",0.05,IF($M123="VAT 8%",0.08,IF($M123="VAT 10%",0.1,0))))</f>
        <v/>
      </c>
      <c r="O123" s="10" t="str">
        <f aca="false">IF($C123="","",$L123*$N123)</f>
        <v/>
      </c>
      <c r="P123" s="10" t="str">
        <f aca="false">IF($C123="","",$L123+$O123)</f>
        <v/>
      </c>
      <c r="Q123" s="9"/>
      <c r="R123" s="10" t="str">
        <f aca="false">IF($C123="","",MAX(0,$P123-N($Q123)))</f>
        <v/>
      </c>
      <c r="S123" s="19" t="str">
        <f aca="false">IF(OR($C123="",$P123=0),"",IF(N($Q123)&lt;=0,"Chưa thanh toán",IF(N($Q123)&lt;$P123,"Thanh toán một phần","Đã thanh toán")))</f>
        <v/>
      </c>
      <c r="T123" s="10" t="str">
        <f aca="false">IF(OR($C123="",$J123=""),"",N($I123)*$J123)</f>
        <v/>
      </c>
      <c r="U123" s="10" t="str">
        <f aca="false">IF(OR($C123="",$T123=""),"",$L123-$T123)</f>
        <v/>
      </c>
      <c r="V123" s="11" t="str">
        <f aca="false">IF(OR($U123="",$L123=0),"",$U123/$L123)</f>
        <v/>
      </c>
      <c r="W123" s="8"/>
      <c r="X123" s="19" t="str">
        <f aca="false">IF($C123="","",IF(AND($H123="",N($I123)=0,N($K123)=0),"Dòng chỉ lưu thông tin khách (chưa có đơn); ",IF($B123="","Thiếu ngày đặt; ","")&amp;IF($H123="","Thiếu tên sản phẩm; ",IF($J123="","Sản phẩm chưa có trong BẢNG GIÁ GỐC; ",""))&amp;IF(N($I123)&lt;=0,"Thiếu số lượng; ","")&amp;IF(N($K123)&lt;=0,"Thiếu giá bán; ","")&amp;IF(AND($N123&gt;0,$F123=""),"Khách lấy VAT thiếu mã số thuế; ","")&amp;IF(N($Q123)&gt;$P123,"Đã thu vượt tổng phải thu; ","")&amp;IF(AND($L123&gt;0,$U123&lt;0),"CẢNH BÁO: ĐƠN NÀY ĐANG LỖ; ","")))</f>
        <v/>
      </c>
      <c r="Y123" s="16" t="str">
        <f aca="false">IF(AND($C123&lt;&gt;"",$R123&gt;0),COUNTIFS($C$6:$C123,"&lt;&gt;",$R$6:$R123,"&gt;0"),"")</f>
        <v/>
      </c>
      <c r="Z123" s="16" t="str">
        <f aca="false">IF(AND($H123&lt;&gt;"",N($N123)&gt;0),COUNTIFS($H$6:$H123,"&lt;&gt;",$N$6:$N123,"&gt;0"),"")</f>
        <v/>
      </c>
      <c r="AA123" s="16" t="str">
        <f aca="false">IF(AND($H123&lt;&gt;"",N($N123)=0),COUNTIFS($H$6:$H123,"&lt;&gt;",$N$6:$N123,"&lt;=0"),"")</f>
        <v/>
      </c>
      <c r="AB123" s="16" t="str">
        <f aca="false">IF($C123="","",IF(COUNTIF($C$6:$C123,$C123)&gt;1,"",MAX($AB$5:AB122)+1))</f>
        <v/>
      </c>
      <c r="AC123" s="16" t="str">
        <f aca="false">IF($H123="","",IF(COUNTIF($H$6:$H123,$H123)&gt;1,"",MAX($AC$5:AC122)+1))</f>
        <v/>
      </c>
    </row>
    <row r="124" customFormat="false" ht="15" hidden="false" customHeight="false" outlineLevel="0" collapsed="false">
      <c r="A124" s="16" t="str">
        <f aca="false">IF($C124="","",COUNTA($C$6:$C124))</f>
        <v/>
      </c>
      <c r="B124" s="17"/>
      <c r="C124" s="8"/>
      <c r="D124" s="8"/>
      <c r="E124" s="8"/>
      <c r="F124" s="8"/>
      <c r="G124" s="8"/>
      <c r="H124" s="8"/>
      <c r="I124" s="9"/>
      <c r="J124" s="10" t="str">
        <f aca="false">IF($H124="","",IFERROR(VLOOKUP($H124,'BẢNG GIÁ GỐC'!$A$5:$D$204,3,FALSE()),""))</f>
        <v/>
      </c>
      <c r="K124" s="9"/>
      <c r="L124" s="10" t="str">
        <f aca="false">IF($C124="","",N($I124)*N($K124))</f>
        <v/>
      </c>
      <c r="M124" s="8"/>
      <c r="N124" s="11" t="str">
        <f aca="false">IF($C124="","",IF($M124="VAT 5%",0.05,IF($M124="VAT 8%",0.08,IF($M124="VAT 10%",0.1,0))))</f>
        <v/>
      </c>
      <c r="O124" s="10" t="str">
        <f aca="false">IF($C124="","",$L124*$N124)</f>
        <v/>
      </c>
      <c r="P124" s="10" t="str">
        <f aca="false">IF($C124="","",$L124+$O124)</f>
        <v/>
      </c>
      <c r="Q124" s="9"/>
      <c r="R124" s="10" t="str">
        <f aca="false">IF($C124="","",MAX(0,$P124-N($Q124)))</f>
        <v/>
      </c>
      <c r="S124" s="19" t="str">
        <f aca="false">IF(OR($C124="",$P124=0),"",IF(N($Q124)&lt;=0,"Chưa thanh toán",IF(N($Q124)&lt;$P124,"Thanh toán một phần","Đã thanh toán")))</f>
        <v/>
      </c>
      <c r="T124" s="10" t="str">
        <f aca="false">IF(OR($C124="",$J124=""),"",N($I124)*$J124)</f>
        <v/>
      </c>
      <c r="U124" s="10" t="str">
        <f aca="false">IF(OR($C124="",$T124=""),"",$L124-$T124)</f>
        <v/>
      </c>
      <c r="V124" s="11" t="str">
        <f aca="false">IF(OR($U124="",$L124=0),"",$U124/$L124)</f>
        <v/>
      </c>
      <c r="W124" s="8"/>
      <c r="X124" s="19" t="str">
        <f aca="false">IF($C124="","",IF(AND($H124="",N($I124)=0,N($K124)=0),"Dòng chỉ lưu thông tin khách (chưa có đơn); ",IF($B124="","Thiếu ngày đặt; ","")&amp;IF($H124="","Thiếu tên sản phẩm; ",IF($J124="","Sản phẩm chưa có trong BẢNG GIÁ GỐC; ",""))&amp;IF(N($I124)&lt;=0,"Thiếu số lượng; ","")&amp;IF(N($K124)&lt;=0,"Thiếu giá bán; ","")&amp;IF(AND($N124&gt;0,$F124=""),"Khách lấy VAT thiếu mã số thuế; ","")&amp;IF(N($Q124)&gt;$P124,"Đã thu vượt tổng phải thu; ","")&amp;IF(AND($L124&gt;0,$U124&lt;0),"CẢNH BÁO: ĐƠN NÀY ĐANG LỖ; ","")))</f>
        <v/>
      </c>
      <c r="Y124" s="16" t="str">
        <f aca="false">IF(AND($C124&lt;&gt;"",$R124&gt;0),COUNTIFS($C$6:$C124,"&lt;&gt;",$R$6:$R124,"&gt;0"),"")</f>
        <v/>
      </c>
      <c r="Z124" s="16" t="str">
        <f aca="false">IF(AND($H124&lt;&gt;"",N($N124)&gt;0),COUNTIFS($H$6:$H124,"&lt;&gt;",$N$6:$N124,"&gt;0"),"")</f>
        <v/>
      </c>
      <c r="AA124" s="16" t="str">
        <f aca="false">IF(AND($H124&lt;&gt;"",N($N124)=0),COUNTIFS($H$6:$H124,"&lt;&gt;",$N$6:$N124,"&lt;=0"),"")</f>
        <v/>
      </c>
      <c r="AB124" s="16" t="str">
        <f aca="false">IF($C124="","",IF(COUNTIF($C$6:$C124,$C124)&gt;1,"",MAX($AB$5:AB123)+1))</f>
        <v/>
      </c>
      <c r="AC124" s="16" t="str">
        <f aca="false">IF($H124="","",IF(COUNTIF($H$6:$H124,$H124)&gt;1,"",MAX($AC$5:AC123)+1))</f>
        <v/>
      </c>
    </row>
    <row r="125" customFormat="false" ht="15" hidden="false" customHeight="false" outlineLevel="0" collapsed="false">
      <c r="A125" s="16" t="str">
        <f aca="false">IF($C125="","",COUNTA($C$6:$C125))</f>
        <v/>
      </c>
      <c r="B125" s="17"/>
      <c r="C125" s="8"/>
      <c r="D125" s="8"/>
      <c r="E125" s="8"/>
      <c r="F125" s="8"/>
      <c r="G125" s="8"/>
      <c r="H125" s="8"/>
      <c r="I125" s="9"/>
      <c r="J125" s="10" t="str">
        <f aca="false">IF($H125="","",IFERROR(VLOOKUP($H125,'BẢNG GIÁ GỐC'!$A$5:$D$204,3,FALSE()),""))</f>
        <v/>
      </c>
      <c r="K125" s="9"/>
      <c r="L125" s="10" t="str">
        <f aca="false">IF($C125="","",N($I125)*N($K125))</f>
        <v/>
      </c>
      <c r="M125" s="8"/>
      <c r="N125" s="11" t="str">
        <f aca="false">IF($C125="","",IF($M125="VAT 5%",0.05,IF($M125="VAT 8%",0.08,IF($M125="VAT 10%",0.1,0))))</f>
        <v/>
      </c>
      <c r="O125" s="10" t="str">
        <f aca="false">IF($C125="","",$L125*$N125)</f>
        <v/>
      </c>
      <c r="P125" s="10" t="str">
        <f aca="false">IF($C125="","",$L125+$O125)</f>
        <v/>
      </c>
      <c r="Q125" s="9"/>
      <c r="R125" s="10" t="str">
        <f aca="false">IF($C125="","",MAX(0,$P125-N($Q125)))</f>
        <v/>
      </c>
      <c r="S125" s="19" t="str">
        <f aca="false">IF(OR($C125="",$P125=0),"",IF(N($Q125)&lt;=0,"Chưa thanh toán",IF(N($Q125)&lt;$P125,"Thanh toán một phần","Đã thanh toán")))</f>
        <v/>
      </c>
      <c r="T125" s="10" t="str">
        <f aca="false">IF(OR($C125="",$J125=""),"",N($I125)*$J125)</f>
        <v/>
      </c>
      <c r="U125" s="10" t="str">
        <f aca="false">IF(OR($C125="",$T125=""),"",$L125-$T125)</f>
        <v/>
      </c>
      <c r="V125" s="11" t="str">
        <f aca="false">IF(OR($U125="",$L125=0),"",$U125/$L125)</f>
        <v/>
      </c>
      <c r="W125" s="8"/>
      <c r="X125" s="19" t="str">
        <f aca="false">IF($C125="","",IF(AND($H125="",N($I125)=0,N($K125)=0),"Dòng chỉ lưu thông tin khách (chưa có đơn); ",IF($B125="","Thiếu ngày đặt; ","")&amp;IF($H125="","Thiếu tên sản phẩm; ",IF($J125="","Sản phẩm chưa có trong BẢNG GIÁ GỐC; ",""))&amp;IF(N($I125)&lt;=0,"Thiếu số lượng; ","")&amp;IF(N($K125)&lt;=0,"Thiếu giá bán; ","")&amp;IF(AND($N125&gt;0,$F125=""),"Khách lấy VAT thiếu mã số thuế; ","")&amp;IF(N($Q125)&gt;$P125,"Đã thu vượt tổng phải thu; ","")&amp;IF(AND($L125&gt;0,$U125&lt;0),"CẢNH BÁO: ĐƠN NÀY ĐANG LỖ; ","")))</f>
        <v/>
      </c>
      <c r="Y125" s="16" t="str">
        <f aca="false">IF(AND($C125&lt;&gt;"",$R125&gt;0),COUNTIFS($C$6:$C125,"&lt;&gt;",$R$6:$R125,"&gt;0"),"")</f>
        <v/>
      </c>
      <c r="Z125" s="16" t="str">
        <f aca="false">IF(AND($H125&lt;&gt;"",N($N125)&gt;0),COUNTIFS($H$6:$H125,"&lt;&gt;",$N$6:$N125,"&gt;0"),"")</f>
        <v/>
      </c>
      <c r="AA125" s="16" t="str">
        <f aca="false">IF(AND($H125&lt;&gt;"",N($N125)=0),COUNTIFS($H$6:$H125,"&lt;&gt;",$N$6:$N125,"&lt;=0"),"")</f>
        <v/>
      </c>
      <c r="AB125" s="16" t="str">
        <f aca="false">IF($C125="","",IF(COUNTIF($C$6:$C125,$C125)&gt;1,"",MAX($AB$5:AB124)+1))</f>
        <v/>
      </c>
      <c r="AC125" s="16" t="str">
        <f aca="false">IF($H125="","",IF(COUNTIF($H$6:$H125,$H125)&gt;1,"",MAX($AC$5:AC124)+1))</f>
        <v/>
      </c>
    </row>
    <row r="126" customFormat="false" ht="15" hidden="false" customHeight="false" outlineLevel="0" collapsed="false">
      <c r="A126" s="16" t="str">
        <f aca="false">IF($C126="","",COUNTA($C$6:$C126))</f>
        <v/>
      </c>
      <c r="B126" s="17"/>
      <c r="C126" s="8"/>
      <c r="D126" s="8"/>
      <c r="E126" s="8"/>
      <c r="F126" s="8"/>
      <c r="G126" s="8"/>
      <c r="H126" s="8"/>
      <c r="I126" s="9"/>
      <c r="J126" s="10" t="str">
        <f aca="false">IF($H126="","",IFERROR(VLOOKUP($H126,'BẢNG GIÁ GỐC'!$A$5:$D$204,3,FALSE()),""))</f>
        <v/>
      </c>
      <c r="K126" s="9"/>
      <c r="L126" s="10" t="str">
        <f aca="false">IF($C126="","",N($I126)*N($K126))</f>
        <v/>
      </c>
      <c r="M126" s="8"/>
      <c r="N126" s="11" t="str">
        <f aca="false">IF($C126="","",IF($M126="VAT 5%",0.05,IF($M126="VAT 8%",0.08,IF($M126="VAT 10%",0.1,0))))</f>
        <v/>
      </c>
      <c r="O126" s="10" t="str">
        <f aca="false">IF($C126="","",$L126*$N126)</f>
        <v/>
      </c>
      <c r="P126" s="10" t="str">
        <f aca="false">IF($C126="","",$L126+$O126)</f>
        <v/>
      </c>
      <c r="Q126" s="9"/>
      <c r="R126" s="10" t="str">
        <f aca="false">IF($C126="","",MAX(0,$P126-N($Q126)))</f>
        <v/>
      </c>
      <c r="S126" s="19" t="str">
        <f aca="false">IF(OR($C126="",$P126=0),"",IF(N($Q126)&lt;=0,"Chưa thanh toán",IF(N($Q126)&lt;$P126,"Thanh toán một phần","Đã thanh toán")))</f>
        <v/>
      </c>
      <c r="T126" s="10" t="str">
        <f aca="false">IF(OR($C126="",$J126=""),"",N($I126)*$J126)</f>
        <v/>
      </c>
      <c r="U126" s="10" t="str">
        <f aca="false">IF(OR($C126="",$T126=""),"",$L126-$T126)</f>
        <v/>
      </c>
      <c r="V126" s="11" t="str">
        <f aca="false">IF(OR($U126="",$L126=0),"",$U126/$L126)</f>
        <v/>
      </c>
      <c r="W126" s="8"/>
      <c r="X126" s="19" t="str">
        <f aca="false">IF($C126="","",IF(AND($H126="",N($I126)=0,N($K126)=0),"Dòng chỉ lưu thông tin khách (chưa có đơn); ",IF($B126="","Thiếu ngày đặt; ","")&amp;IF($H126="","Thiếu tên sản phẩm; ",IF($J126="","Sản phẩm chưa có trong BẢNG GIÁ GỐC; ",""))&amp;IF(N($I126)&lt;=0,"Thiếu số lượng; ","")&amp;IF(N($K126)&lt;=0,"Thiếu giá bán; ","")&amp;IF(AND($N126&gt;0,$F126=""),"Khách lấy VAT thiếu mã số thuế; ","")&amp;IF(N($Q126)&gt;$P126,"Đã thu vượt tổng phải thu; ","")&amp;IF(AND($L126&gt;0,$U126&lt;0),"CẢNH BÁO: ĐƠN NÀY ĐANG LỖ; ","")))</f>
        <v/>
      </c>
      <c r="Y126" s="16" t="str">
        <f aca="false">IF(AND($C126&lt;&gt;"",$R126&gt;0),COUNTIFS($C$6:$C126,"&lt;&gt;",$R$6:$R126,"&gt;0"),"")</f>
        <v/>
      </c>
      <c r="Z126" s="16" t="str">
        <f aca="false">IF(AND($H126&lt;&gt;"",N($N126)&gt;0),COUNTIFS($H$6:$H126,"&lt;&gt;",$N$6:$N126,"&gt;0"),"")</f>
        <v/>
      </c>
      <c r="AA126" s="16" t="str">
        <f aca="false">IF(AND($H126&lt;&gt;"",N($N126)=0),COUNTIFS($H$6:$H126,"&lt;&gt;",$N$6:$N126,"&lt;=0"),"")</f>
        <v/>
      </c>
      <c r="AB126" s="16" t="str">
        <f aca="false">IF($C126="","",IF(COUNTIF($C$6:$C126,$C126)&gt;1,"",MAX($AB$5:AB125)+1))</f>
        <v/>
      </c>
      <c r="AC126" s="16" t="str">
        <f aca="false">IF($H126="","",IF(COUNTIF($H$6:$H126,$H126)&gt;1,"",MAX($AC$5:AC125)+1))</f>
        <v/>
      </c>
    </row>
    <row r="127" customFormat="false" ht="15" hidden="false" customHeight="false" outlineLevel="0" collapsed="false">
      <c r="A127" s="16" t="str">
        <f aca="false">IF($C127="","",COUNTA($C$6:$C127))</f>
        <v/>
      </c>
      <c r="B127" s="17"/>
      <c r="C127" s="8"/>
      <c r="D127" s="8"/>
      <c r="E127" s="8"/>
      <c r="F127" s="8"/>
      <c r="G127" s="8"/>
      <c r="H127" s="8"/>
      <c r="I127" s="9"/>
      <c r="J127" s="10" t="str">
        <f aca="false">IF($H127="","",IFERROR(VLOOKUP($H127,'BẢNG GIÁ GỐC'!$A$5:$D$204,3,FALSE()),""))</f>
        <v/>
      </c>
      <c r="K127" s="9"/>
      <c r="L127" s="10" t="str">
        <f aca="false">IF($C127="","",N($I127)*N($K127))</f>
        <v/>
      </c>
      <c r="M127" s="8"/>
      <c r="N127" s="11" t="str">
        <f aca="false">IF($C127="","",IF($M127="VAT 5%",0.05,IF($M127="VAT 8%",0.08,IF($M127="VAT 10%",0.1,0))))</f>
        <v/>
      </c>
      <c r="O127" s="10" t="str">
        <f aca="false">IF($C127="","",$L127*$N127)</f>
        <v/>
      </c>
      <c r="P127" s="10" t="str">
        <f aca="false">IF($C127="","",$L127+$O127)</f>
        <v/>
      </c>
      <c r="Q127" s="9"/>
      <c r="R127" s="10" t="str">
        <f aca="false">IF($C127="","",MAX(0,$P127-N($Q127)))</f>
        <v/>
      </c>
      <c r="S127" s="19" t="str">
        <f aca="false">IF(OR($C127="",$P127=0),"",IF(N($Q127)&lt;=0,"Chưa thanh toán",IF(N($Q127)&lt;$P127,"Thanh toán một phần","Đã thanh toán")))</f>
        <v/>
      </c>
      <c r="T127" s="10" t="str">
        <f aca="false">IF(OR($C127="",$J127=""),"",N($I127)*$J127)</f>
        <v/>
      </c>
      <c r="U127" s="10" t="str">
        <f aca="false">IF(OR($C127="",$T127=""),"",$L127-$T127)</f>
        <v/>
      </c>
      <c r="V127" s="11" t="str">
        <f aca="false">IF(OR($U127="",$L127=0),"",$U127/$L127)</f>
        <v/>
      </c>
      <c r="W127" s="8"/>
      <c r="X127" s="19" t="str">
        <f aca="false">IF($C127="","",IF(AND($H127="",N($I127)=0,N($K127)=0),"Dòng chỉ lưu thông tin khách (chưa có đơn); ",IF($B127="","Thiếu ngày đặt; ","")&amp;IF($H127="","Thiếu tên sản phẩm; ",IF($J127="","Sản phẩm chưa có trong BẢNG GIÁ GỐC; ",""))&amp;IF(N($I127)&lt;=0,"Thiếu số lượng; ","")&amp;IF(N($K127)&lt;=0,"Thiếu giá bán; ","")&amp;IF(AND($N127&gt;0,$F127=""),"Khách lấy VAT thiếu mã số thuế; ","")&amp;IF(N($Q127)&gt;$P127,"Đã thu vượt tổng phải thu; ","")&amp;IF(AND($L127&gt;0,$U127&lt;0),"CẢNH BÁO: ĐƠN NÀY ĐANG LỖ; ","")))</f>
        <v/>
      </c>
      <c r="Y127" s="16" t="str">
        <f aca="false">IF(AND($C127&lt;&gt;"",$R127&gt;0),COUNTIFS($C$6:$C127,"&lt;&gt;",$R$6:$R127,"&gt;0"),"")</f>
        <v/>
      </c>
      <c r="Z127" s="16" t="str">
        <f aca="false">IF(AND($H127&lt;&gt;"",N($N127)&gt;0),COUNTIFS($H$6:$H127,"&lt;&gt;",$N$6:$N127,"&gt;0"),"")</f>
        <v/>
      </c>
      <c r="AA127" s="16" t="str">
        <f aca="false">IF(AND($H127&lt;&gt;"",N($N127)=0),COUNTIFS($H$6:$H127,"&lt;&gt;",$N$6:$N127,"&lt;=0"),"")</f>
        <v/>
      </c>
      <c r="AB127" s="16" t="str">
        <f aca="false">IF($C127="","",IF(COUNTIF($C$6:$C127,$C127)&gt;1,"",MAX($AB$5:AB126)+1))</f>
        <v/>
      </c>
      <c r="AC127" s="16" t="str">
        <f aca="false">IF($H127="","",IF(COUNTIF($H$6:$H127,$H127)&gt;1,"",MAX($AC$5:AC126)+1))</f>
        <v/>
      </c>
    </row>
    <row r="128" customFormat="false" ht="15" hidden="false" customHeight="false" outlineLevel="0" collapsed="false">
      <c r="A128" s="16" t="str">
        <f aca="false">IF($C128="","",COUNTA($C$6:$C128))</f>
        <v/>
      </c>
      <c r="B128" s="17"/>
      <c r="C128" s="8"/>
      <c r="D128" s="8"/>
      <c r="E128" s="8"/>
      <c r="F128" s="8"/>
      <c r="G128" s="8"/>
      <c r="H128" s="8"/>
      <c r="I128" s="9"/>
      <c r="J128" s="10" t="str">
        <f aca="false">IF($H128="","",IFERROR(VLOOKUP($H128,'BẢNG GIÁ GỐC'!$A$5:$D$204,3,FALSE()),""))</f>
        <v/>
      </c>
      <c r="K128" s="9"/>
      <c r="L128" s="10" t="str">
        <f aca="false">IF($C128="","",N($I128)*N($K128))</f>
        <v/>
      </c>
      <c r="M128" s="8"/>
      <c r="N128" s="11" t="str">
        <f aca="false">IF($C128="","",IF($M128="VAT 5%",0.05,IF($M128="VAT 8%",0.08,IF($M128="VAT 10%",0.1,0))))</f>
        <v/>
      </c>
      <c r="O128" s="10" t="str">
        <f aca="false">IF($C128="","",$L128*$N128)</f>
        <v/>
      </c>
      <c r="P128" s="10" t="str">
        <f aca="false">IF($C128="","",$L128+$O128)</f>
        <v/>
      </c>
      <c r="Q128" s="9"/>
      <c r="R128" s="10" t="str">
        <f aca="false">IF($C128="","",MAX(0,$P128-N($Q128)))</f>
        <v/>
      </c>
      <c r="S128" s="19" t="str">
        <f aca="false">IF(OR($C128="",$P128=0),"",IF(N($Q128)&lt;=0,"Chưa thanh toán",IF(N($Q128)&lt;$P128,"Thanh toán một phần","Đã thanh toán")))</f>
        <v/>
      </c>
      <c r="T128" s="10" t="str">
        <f aca="false">IF(OR($C128="",$J128=""),"",N($I128)*$J128)</f>
        <v/>
      </c>
      <c r="U128" s="10" t="str">
        <f aca="false">IF(OR($C128="",$T128=""),"",$L128-$T128)</f>
        <v/>
      </c>
      <c r="V128" s="11" t="str">
        <f aca="false">IF(OR($U128="",$L128=0),"",$U128/$L128)</f>
        <v/>
      </c>
      <c r="W128" s="8"/>
      <c r="X128" s="19" t="str">
        <f aca="false">IF($C128="","",IF(AND($H128="",N($I128)=0,N($K128)=0),"Dòng chỉ lưu thông tin khách (chưa có đơn); ",IF($B128="","Thiếu ngày đặt; ","")&amp;IF($H128="","Thiếu tên sản phẩm; ",IF($J128="","Sản phẩm chưa có trong BẢNG GIÁ GỐC; ",""))&amp;IF(N($I128)&lt;=0,"Thiếu số lượng; ","")&amp;IF(N($K128)&lt;=0,"Thiếu giá bán; ","")&amp;IF(AND($N128&gt;0,$F128=""),"Khách lấy VAT thiếu mã số thuế; ","")&amp;IF(N($Q128)&gt;$P128,"Đã thu vượt tổng phải thu; ","")&amp;IF(AND($L128&gt;0,$U128&lt;0),"CẢNH BÁO: ĐƠN NÀY ĐANG LỖ; ","")))</f>
        <v/>
      </c>
      <c r="Y128" s="16" t="str">
        <f aca="false">IF(AND($C128&lt;&gt;"",$R128&gt;0),COUNTIFS($C$6:$C128,"&lt;&gt;",$R$6:$R128,"&gt;0"),"")</f>
        <v/>
      </c>
      <c r="Z128" s="16" t="str">
        <f aca="false">IF(AND($H128&lt;&gt;"",N($N128)&gt;0),COUNTIFS($H$6:$H128,"&lt;&gt;",$N$6:$N128,"&gt;0"),"")</f>
        <v/>
      </c>
      <c r="AA128" s="16" t="str">
        <f aca="false">IF(AND($H128&lt;&gt;"",N($N128)=0),COUNTIFS($H$6:$H128,"&lt;&gt;",$N$6:$N128,"&lt;=0"),"")</f>
        <v/>
      </c>
      <c r="AB128" s="16" t="str">
        <f aca="false">IF($C128="","",IF(COUNTIF($C$6:$C128,$C128)&gt;1,"",MAX($AB$5:AB127)+1))</f>
        <v/>
      </c>
      <c r="AC128" s="16" t="str">
        <f aca="false">IF($H128="","",IF(COUNTIF($H$6:$H128,$H128)&gt;1,"",MAX($AC$5:AC127)+1))</f>
        <v/>
      </c>
    </row>
    <row r="129" customFormat="false" ht="15" hidden="false" customHeight="false" outlineLevel="0" collapsed="false">
      <c r="A129" s="16" t="str">
        <f aca="false">IF($C129="","",COUNTA($C$6:$C129))</f>
        <v/>
      </c>
      <c r="B129" s="17"/>
      <c r="C129" s="8"/>
      <c r="D129" s="8"/>
      <c r="E129" s="8"/>
      <c r="F129" s="8"/>
      <c r="G129" s="8"/>
      <c r="H129" s="8"/>
      <c r="I129" s="9"/>
      <c r="J129" s="10" t="str">
        <f aca="false">IF($H129="","",IFERROR(VLOOKUP($H129,'BẢNG GIÁ GỐC'!$A$5:$D$204,3,FALSE()),""))</f>
        <v/>
      </c>
      <c r="K129" s="9"/>
      <c r="L129" s="10" t="str">
        <f aca="false">IF($C129="","",N($I129)*N($K129))</f>
        <v/>
      </c>
      <c r="M129" s="8"/>
      <c r="N129" s="11" t="str">
        <f aca="false">IF($C129="","",IF($M129="VAT 5%",0.05,IF($M129="VAT 8%",0.08,IF($M129="VAT 10%",0.1,0))))</f>
        <v/>
      </c>
      <c r="O129" s="10" t="str">
        <f aca="false">IF($C129="","",$L129*$N129)</f>
        <v/>
      </c>
      <c r="P129" s="10" t="str">
        <f aca="false">IF($C129="","",$L129+$O129)</f>
        <v/>
      </c>
      <c r="Q129" s="9"/>
      <c r="R129" s="10" t="str">
        <f aca="false">IF($C129="","",MAX(0,$P129-N($Q129)))</f>
        <v/>
      </c>
      <c r="S129" s="19" t="str">
        <f aca="false">IF(OR($C129="",$P129=0),"",IF(N($Q129)&lt;=0,"Chưa thanh toán",IF(N($Q129)&lt;$P129,"Thanh toán một phần","Đã thanh toán")))</f>
        <v/>
      </c>
      <c r="T129" s="10" t="str">
        <f aca="false">IF(OR($C129="",$J129=""),"",N($I129)*$J129)</f>
        <v/>
      </c>
      <c r="U129" s="10" t="str">
        <f aca="false">IF(OR($C129="",$T129=""),"",$L129-$T129)</f>
        <v/>
      </c>
      <c r="V129" s="11" t="str">
        <f aca="false">IF(OR($U129="",$L129=0),"",$U129/$L129)</f>
        <v/>
      </c>
      <c r="W129" s="8"/>
      <c r="X129" s="19" t="str">
        <f aca="false">IF($C129="","",IF(AND($H129="",N($I129)=0,N($K129)=0),"Dòng chỉ lưu thông tin khách (chưa có đơn); ",IF($B129="","Thiếu ngày đặt; ","")&amp;IF($H129="","Thiếu tên sản phẩm; ",IF($J129="","Sản phẩm chưa có trong BẢNG GIÁ GỐC; ",""))&amp;IF(N($I129)&lt;=0,"Thiếu số lượng; ","")&amp;IF(N($K129)&lt;=0,"Thiếu giá bán; ","")&amp;IF(AND($N129&gt;0,$F129=""),"Khách lấy VAT thiếu mã số thuế; ","")&amp;IF(N($Q129)&gt;$P129,"Đã thu vượt tổng phải thu; ","")&amp;IF(AND($L129&gt;0,$U129&lt;0),"CẢNH BÁO: ĐƠN NÀY ĐANG LỖ; ","")))</f>
        <v/>
      </c>
      <c r="Y129" s="16" t="str">
        <f aca="false">IF(AND($C129&lt;&gt;"",$R129&gt;0),COUNTIFS($C$6:$C129,"&lt;&gt;",$R$6:$R129,"&gt;0"),"")</f>
        <v/>
      </c>
      <c r="Z129" s="16" t="str">
        <f aca="false">IF(AND($H129&lt;&gt;"",N($N129)&gt;0),COUNTIFS($H$6:$H129,"&lt;&gt;",$N$6:$N129,"&gt;0"),"")</f>
        <v/>
      </c>
      <c r="AA129" s="16" t="str">
        <f aca="false">IF(AND($H129&lt;&gt;"",N($N129)=0),COUNTIFS($H$6:$H129,"&lt;&gt;",$N$6:$N129,"&lt;=0"),"")</f>
        <v/>
      </c>
      <c r="AB129" s="16" t="str">
        <f aca="false">IF($C129="","",IF(COUNTIF($C$6:$C129,$C129)&gt;1,"",MAX($AB$5:AB128)+1))</f>
        <v/>
      </c>
      <c r="AC129" s="16" t="str">
        <f aca="false">IF($H129="","",IF(COUNTIF($H$6:$H129,$H129)&gt;1,"",MAX($AC$5:AC128)+1))</f>
        <v/>
      </c>
    </row>
    <row r="130" customFormat="false" ht="15" hidden="false" customHeight="false" outlineLevel="0" collapsed="false">
      <c r="A130" s="16" t="str">
        <f aca="false">IF($C130="","",COUNTA($C$6:$C130))</f>
        <v/>
      </c>
      <c r="B130" s="17"/>
      <c r="C130" s="8"/>
      <c r="D130" s="8"/>
      <c r="E130" s="8"/>
      <c r="F130" s="8"/>
      <c r="G130" s="8"/>
      <c r="H130" s="8"/>
      <c r="I130" s="9"/>
      <c r="J130" s="10" t="str">
        <f aca="false">IF($H130="","",IFERROR(VLOOKUP($H130,'BẢNG GIÁ GỐC'!$A$5:$D$204,3,FALSE()),""))</f>
        <v/>
      </c>
      <c r="K130" s="9"/>
      <c r="L130" s="10" t="str">
        <f aca="false">IF($C130="","",N($I130)*N($K130))</f>
        <v/>
      </c>
      <c r="M130" s="8"/>
      <c r="N130" s="11" t="str">
        <f aca="false">IF($C130="","",IF($M130="VAT 5%",0.05,IF($M130="VAT 8%",0.08,IF($M130="VAT 10%",0.1,0))))</f>
        <v/>
      </c>
      <c r="O130" s="10" t="str">
        <f aca="false">IF($C130="","",$L130*$N130)</f>
        <v/>
      </c>
      <c r="P130" s="10" t="str">
        <f aca="false">IF($C130="","",$L130+$O130)</f>
        <v/>
      </c>
      <c r="Q130" s="9"/>
      <c r="R130" s="10" t="str">
        <f aca="false">IF($C130="","",MAX(0,$P130-N($Q130)))</f>
        <v/>
      </c>
      <c r="S130" s="19" t="str">
        <f aca="false">IF(OR($C130="",$P130=0),"",IF(N($Q130)&lt;=0,"Chưa thanh toán",IF(N($Q130)&lt;$P130,"Thanh toán một phần","Đã thanh toán")))</f>
        <v/>
      </c>
      <c r="T130" s="10" t="str">
        <f aca="false">IF(OR($C130="",$J130=""),"",N($I130)*$J130)</f>
        <v/>
      </c>
      <c r="U130" s="10" t="str">
        <f aca="false">IF(OR($C130="",$T130=""),"",$L130-$T130)</f>
        <v/>
      </c>
      <c r="V130" s="11" t="str">
        <f aca="false">IF(OR($U130="",$L130=0),"",$U130/$L130)</f>
        <v/>
      </c>
      <c r="W130" s="8"/>
      <c r="X130" s="19" t="str">
        <f aca="false">IF($C130="","",IF(AND($H130="",N($I130)=0,N($K130)=0),"Dòng chỉ lưu thông tin khách (chưa có đơn); ",IF($B130="","Thiếu ngày đặt; ","")&amp;IF($H130="","Thiếu tên sản phẩm; ",IF($J130="","Sản phẩm chưa có trong BẢNG GIÁ GỐC; ",""))&amp;IF(N($I130)&lt;=0,"Thiếu số lượng; ","")&amp;IF(N($K130)&lt;=0,"Thiếu giá bán; ","")&amp;IF(AND($N130&gt;0,$F130=""),"Khách lấy VAT thiếu mã số thuế; ","")&amp;IF(N($Q130)&gt;$P130,"Đã thu vượt tổng phải thu; ","")&amp;IF(AND($L130&gt;0,$U130&lt;0),"CẢNH BÁO: ĐƠN NÀY ĐANG LỖ; ","")))</f>
        <v/>
      </c>
      <c r="Y130" s="16" t="str">
        <f aca="false">IF(AND($C130&lt;&gt;"",$R130&gt;0),COUNTIFS($C$6:$C130,"&lt;&gt;",$R$6:$R130,"&gt;0"),"")</f>
        <v/>
      </c>
      <c r="Z130" s="16" t="str">
        <f aca="false">IF(AND($H130&lt;&gt;"",N($N130)&gt;0),COUNTIFS($H$6:$H130,"&lt;&gt;",$N$6:$N130,"&gt;0"),"")</f>
        <v/>
      </c>
      <c r="AA130" s="16" t="str">
        <f aca="false">IF(AND($H130&lt;&gt;"",N($N130)=0),COUNTIFS($H$6:$H130,"&lt;&gt;",$N$6:$N130,"&lt;=0"),"")</f>
        <v/>
      </c>
      <c r="AB130" s="16" t="str">
        <f aca="false">IF($C130="","",IF(COUNTIF($C$6:$C130,$C130)&gt;1,"",MAX($AB$5:AB129)+1))</f>
        <v/>
      </c>
      <c r="AC130" s="16" t="str">
        <f aca="false">IF($H130="","",IF(COUNTIF($H$6:$H130,$H130)&gt;1,"",MAX($AC$5:AC129)+1))</f>
        <v/>
      </c>
    </row>
    <row r="131" customFormat="false" ht="15" hidden="false" customHeight="false" outlineLevel="0" collapsed="false">
      <c r="A131" s="16" t="str">
        <f aca="false">IF($C131="","",COUNTA($C$6:$C131))</f>
        <v/>
      </c>
      <c r="B131" s="17"/>
      <c r="C131" s="8"/>
      <c r="D131" s="8"/>
      <c r="E131" s="8"/>
      <c r="F131" s="8"/>
      <c r="G131" s="8"/>
      <c r="H131" s="8"/>
      <c r="I131" s="9"/>
      <c r="J131" s="10" t="str">
        <f aca="false">IF($H131="","",IFERROR(VLOOKUP($H131,'BẢNG GIÁ GỐC'!$A$5:$D$204,3,FALSE()),""))</f>
        <v/>
      </c>
      <c r="K131" s="9"/>
      <c r="L131" s="10" t="str">
        <f aca="false">IF($C131="","",N($I131)*N($K131))</f>
        <v/>
      </c>
      <c r="M131" s="8"/>
      <c r="N131" s="11" t="str">
        <f aca="false">IF($C131="","",IF($M131="VAT 5%",0.05,IF($M131="VAT 8%",0.08,IF($M131="VAT 10%",0.1,0))))</f>
        <v/>
      </c>
      <c r="O131" s="10" t="str">
        <f aca="false">IF($C131="","",$L131*$N131)</f>
        <v/>
      </c>
      <c r="P131" s="10" t="str">
        <f aca="false">IF($C131="","",$L131+$O131)</f>
        <v/>
      </c>
      <c r="Q131" s="9"/>
      <c r="R131" s="10" t="str">
        <f aca="false">IF($C131="","",MAX(0,$P131-N($Q131)))</f>
        <v/>
      </c>
      <c r="S131" s="19" t="str">
        <f aca="false">IF(OR($C131="",$P131=0),"",IF(N($Q131)&lt;=0,"Chưa thanh toán",IF(N($Q131)&lt;$P131,"Thanh toán một phần","Đã thanh toán")))</f>
        <v/>
      </c>
      <c r="T131" s="10" t="str">
        <f aca="false">IF(OR($C131="",$J131=""),"",N($I131)*$J131)</f>
        <v/>
      </c>
      <c r="U131" s="10" t="str">
        <f aca="false">IF(OR($C131="",$T131=""),"",$L131-$T131)</f>
        <v/>
      </c>
      <c r="V131" s="11" t="str">
        <f aca="false">IF(OR($U131="",$L131=0),"",$U131/$L131)</f>
        <v/>
      </c>
      <c r="W131" s="8"/>
      <c r="X131" s="19" t="str">
        <f aca="false">IF($C131="","",IF(AND($H131="",N($I131)=0,N($K131)=0),"Dòng chỉ lưu thông tin khách (chưa có đơn); ",IF($B131="","Thiếu ngày đặt; ","")&amp;IF($H131="","Thiếu tên sản phẩm; ",IF($J131="","Sản phẩm chưa có trong BẢNG GIÁ GỐC; ",""))&amp;IF(N($I131)&lt;=0,"Thiếu số lượng; ","")&amp;IF(N($K131)&lt;=0,"Thiếu giá bán; ","")&amp;IF(AND($N131&gt;0,$F131=""),"Khách lấy VAT thiếu mã số thuế; ","")&amp;IF(N($Q131)&gt;$P131,"Đã thu vượt tổng phải thu; ","")&amp;IF(AND($L131&gt;0,$U131&lt;0),"CẢNH BÁO: ĐƠN NÀY ĐANG LỖ; ","")))</f>
        <v/>
      </c>
      <c r="Y131" s="16" t="str">
        <f aca="false">IF(AND($C131&lt;&gt;"",$R131&gt;0),COUNTIFS($C$6:$C131,"&lt;&gt;",$R$6:$R131,"&gt;0"),"")</f>
        <v/>
      </c>
      <c r="Z131" s="16" t="str">
        <f aca="false">IF(AND($H131&lt;&gt;"",N($N131)&gt;0),COUNTIFS($H$6:$H131,"&lt;&gt;",$N$6:$N131,"&gt;0"),"")</f>
        <v/>
      </c>
      <c r="AA131" s="16" t="str">
        <f aca="false">IF(AND($H131&lt;&gt;"",N($N131)=0),COUNTIFS($H$6:$H131,"&lt;&gt;",$N$6:$N131,"&lt;=0"),"")</f>
        <v/>
      </c>
      <c r="AB131" s="16" t="str">
        <f aca="false">IF($C131="","",IF(COUNTIF($C$6:$C131,$C131)&gt;1,"",MAX($AB$5:AB130)+1))</f>
        <v/>
      </c>
      <c r="AC131" s="16" t="str">
        <f aca="false">IF($H131="","",IF(COUNTIF($H$6:$H131,$H131)&gt;1,"",MAX($AC$5:AC130)+1))</f>
        <v/>
      </c>
    </row>
    <row r="132" customFormat="false" ht="15" hidden="false" customHeight="false" outlineLevel="0" collapsed="false">
      <c r="A132" s="16" t="str">
        <f aca="false">IF($C132="","",COUNTA($C$6:$C132))</f>
        <v/>
      </c>
      <c r="B132" s="17"/>
      <c r="C132" s="8"/>
      <c r="D132" s="8"/>
      <c r="E132" s="8"/>
      <c r="F132" s="8"/>
      <c r="G132" s="8"/>
      <c r="H132" s="8"/>
      <c r="I132" s="9"/>
      <c r="J132" s="10" t="str">
        <f aca="false">IF($H132="","",IFERROR(VLOOKUP($H132,'BẢNG GIÁ GỐC'!$A$5:$D$204,3,FALSE()),""))</f>
        <v/>
      </c>
      <c r="K132" s="9"/>
      <c r="L132" s="10" t="str">
        <f aca="false">IF($C132="","",N($I132)*N($K132))</f>
        <v/>
      </c>
      <c r="M132" s="8"/>
      <c r="N132" s="11" t="str">
        <f aca="false">IF($C132="","",IF($M132="VAT 5%",0.05,IF($M132="VAT 8%",0.08,IF($M132="VAT 10%",0.1,0))))</f>
        <v/>
      </c>
      <c r="O132" s="10" t="str">
        <f aca="false">IF($C132="","",$L132*$N132)</f>
        <v/>
      </c>
      <c r="P132" s="10" t="str">
        <f aca="false">IF($C132="","",$L132+$O132)</f>
        <v/>
      </c>
      <c r="Q132" s="9"/>
      <c r="R132" s="10" t="str">
        <f aca="false">IF($C132="","",MAX(0,$P132-N($Q132)))</f>
        <v/>
      </c>
      <c r="S132" s="19" t="str">
        <f aca="false">IF(OR($C132="",$P132=0),"",IF(N($Q132)&lt;=0,"Chưa thanh toán",IF(N($Q132)&lt;$P132,"Thanh toán một phần","Đã thanh toán")))</f>
        <v/>
      </c>
      <c r="T132" s="10" t="str">
        <f aca="false">IF(OR($C132="",$J132=""),"",N($I132)*$J132)</f>
        <v/>
      </c>
      <c r="U132" s="10" t="str">
        <f aca="false">IF(OR($C132="",$T132=""),"",$L132-$T132)</f>
        <v/>
      </c>
      <c r="V132" s="11" t="str">
        <f aca="false">IF(OR($U132="",$L132=0),"",$U132/$L132)</f>
        <v/>
      </c>
      <c r="W132" s="8"/>
      <c r="X132" s="19" t="str">
        <f aca="false">IF($C132="","",IF(AND($H132="",N($I132)=0,N($K132)=0),"Dòng chỉ lưu thông tin khách (chưa có đơn); ",IF($B132="","Thiếu ngày đặt; ","")&amp;IF($H132="","Thiếu tên sản phẩm; ",IF($J132="","Sản phẩm chưa có trong BẢNG GIÁ GỐC; ",""))&amp;IF(N($I132)&lt;=0,"Thiếu số lượng; ","")&amp;IF(N($K132)&lt;=0,"Thiếu giá bán; ","")&amp;IF(AND($N132&gt;0,$F132=""),"Khách lấy VAT thiếu mã số thuế; ","")&amp;IF(N($Q132)&gt;$P132,"Đã thu vượt tổng phải thu; ","")&amp;IF(AND($L132&gt;0,$U132&lt;0),"CẢNH BÁO: ĐƠN NÀY ĐANG LỖ; ","")))</f>
        <v/>
      </c>
      <c r="Y132" s="16" t="str">
        <f aca="false">IF(AND($C132&lt;&gt;"",$R132&gt;0),COUNTIFS($C$6:$C132,"&lt;&gt;",$R$6:$R132,"&gt;0"),"")</f>
        <v/>
      </c>
      <c r="Z132" s="16" t="str">
        <f aca="false">IF(AND($H132&lt;&gt;"",N($N132)&gt;0),COUNTIFS($H$6:$H132,"&lt;&gt;",$N$6:$N132,"&gt;0"),"")</f>
        <v/>
      </c>
      <c r="AA132" s="16" t="str">
        <f aca="false">IF(AND($H132&lt;&gt;"",N($N132)=0),COUNTIFS($H$6:$H132,"&lt;&gt;",$N$6:$N132,"&lt;=0"),"")</f>
        <v/>
      </c>
      <c r="AB132" s="16" t="str">
        <f aca="false">IF($C132="","",IF(COUNTIF($C$6:$C132,$C132)&gt;1,"",MAX($AB$5:AB131)+1))</f>
        <v/>
      </c>
      <c r="AC132" s="16" t="str">
        <f aca="false">IF($H132="","",IF(COUNTIF($H$6:$H132,$H132)&gt;1,"",MAX($AC$5:AC131)+1))</f>
        <v/>
      </c>
    </row>
    <row r="133" customFormat="false" ht="15" hidden="false" customHeight="false" outlineLevel="0" collapsed="false">
      <c r="A133" s="16" t="str">
        <f aca="false">IF($C133="","",COUNTA($C$6:$C133))</f>
        <v/>
      </c>
      <c r="B133" s="17"/>
      <c r="C133" s="8"/>
      <c r="D133" s="8"/>
      <c r="E133" s="8"/>
      <c r="F133" s="8"/>
      <c r="G133" s="8"/>
      <c r="H133" s="8"/>
      <c r="I133" s="9"/>
      <c r="J133" s="10" t="str">
        <f aca="false">IF($H133="","",IFERROR(VLOOKUP($H133,'BẢNG GIÁ GỐC'!$A$5:$D$204,3,FALSE()),""))</f>
        <v/>
      </c>
      <c r="K133" s="9"/>
      <c r="L133" s="10" t="str">
        <f aca="false">IF($C133="","",N($I133)*N($K133))</f>
        <v/>
      </c>
      <c r="M133" s="8"/>
      <c r="N133" s="11" t="str">
        <f aca="false">IF($C133="","",IF($M133="VAT 5%",0.05,IF($M133="VAT 8%",0.08,IF($M133="VAT 10%",0.1,0))))</f>
        <v/>
      </c>
      <c r="O133" s="10" t="str">
        <f aca="false">IF($C133="","",$L133*$N133)</f>
        <v/>
      </c>
      <c r="P133" s="10" t="str">
        <f aca="false">IF($C133="","",$L133+$O133)</f>
        <v/>
      </c>
      <c r="Q133" s="9"/>
      <c r="R133" s="10" t="str">
        <f aca="false">IF($C133="","",MAX(0,$P133-N($Q133)))</f>
        <v/>
      </c>
      <c r="S133" s="19" t="str">
        <f aca="false">IF(OR($C133="",$P133=0),"",IF(N($Q133)&lt;=0,"Chưa thanh toán",IF(N($Q133)&lt;$P133,"Thanh toán một phần","Đã thanh toán")))</f>
        <v/>
      </c>
      <c r="T133" s="10" t="str">
        <f aca="false">IF(OR($C133="",$J133=""),"",N($I133)*$J133)</f>
        <v/>
      </c>
      <c r="U133" s="10" t="str">
        <f aca="false">IF(OR($C133="",$T133=""),"",$L133-$T133)</f>
        <v/>
      </c>
      <c r="V133" s="11" t="str">
        <f aca="false">IF(OR($U133="",$L133=0),"",$U133/$L133)</f>
        <v/>
      </c>
      <c r="W133" s="8"/>
      <c r="X133" s="19" t="str">
        <f aca="false">IF($C133="","",IF(AND($H133="",N($I133)=0,N($K133)=0),"Dòng chỉ lưu thông tin khách (chưa có đơn); ",IF($B133="","Thiếu ngày đặt; ","")&amp;IF($H133="","Thiếu tên sản phẩm; ",IF($J133="","Sản phẩm chưa có trong BẢNG GIÁ GỐC; ",""))&amp;IF(N($I133)&lt;=0,"Thiếu số lượng; ","")&amp;IF(N($K133)&lt;=0,"Thiếu giá bán; ","")&amp;IF(AND($N133&gt;0,$F133=""),"Khách lấy VAT thiếu mã số thuế; ","")&amp;IF(N($Q133)&gt;$P133,"Đã thu vượt tổng phải thu; ","")&amp;IF(AND($L133&gt;0,$U133&lt;0),"CẢNH BÁO: ĐƠN NÀY ĐANG LỖ; ","")))</f>
        <v/>
      </c>
      <c r="Y133" s="16" t="str">
        <f aca="false">IF(AND($C133&lt;&gt;"",$R133&gt;0),COUNTIFS($C$6:$C133,"&lt;&gt;",$R$6:$R133,"&gt;0"),"")</f>
        <v/>
      </c>
      <c r="Z133" s="16" t="str">
        <f aca="false">IF(AND($H133&lt;&gt;"",N($N133)&gt;0),COUNTIFS($H$6:$H133,"&lt;&gt;",$N$6:$N133,"&gt;0"),"")</f>
        <v/>
      </c>
      <c r="AA133" s="16" t="str">
        <f aca="false">IF(AND($H133&lt;&gt;"",N($N133)=0),COUNTIFS($H$6:$H133,"&lt;&gt;",$N$6:$N133,"&lt;=0"),"")</f>
        <v/>
      </c>
      <c r="AB133" s="16" t="str">
        <f aca="false">IF($C133="","",IF(COUNTIF($C$6:$C133,$C133)&gt;1,"",MAX($AB$5:AB132)+1))</f>
        <v/>
      </c>
      <c r="AC133" s="16" t="str">
        <f aca="false">IF($H133="","",IF(COUNTIF($H$6:$H133,$H133)&gt;1,"",MAX($AC$5:AC132)+1))</f>
        <v/>
      </c>
    </row>
    <row r="134" customFormat="false" ht="15" hidden="false" customHeight="false" outlineLevel="0" collapsed="false">
      <c r="A134" s="16" t="str">
        <f aca="false">IF($C134="","",COUNTA($C$6:$C134))</f>
        <v/>
      </c>
      <c r="B134" s="17"/>
      <c r="C134" s="8"/>
      <c r="D134" s="8"/>
      <c r="E134" s="8"/>
      <c r="F134" s="8"/>
      <c r="G134" s="8"/>
      <c r="H134" s="8"/>
      <c r="I134" s="9"/>
      <c r="J134" s="10" t="str">
        <f aca="false">IF($H134="","",IFERROR(VLOOKUP($H134,'BẢNG GIÁ GỐC'!$A$5:$D$204,3,FALSE()),""))</f>
        <v/>
      </c>
      <c r="K134" s="9"/>
      <c r="L134" s="10" t="str">
        <f aca="false">IF($C134="","",N($I134)*N($K134))</f>
        <v/>
      </c>
      <c r="M134" s="8"/>
      <c r="N134" s="11" t="str">
        <f aca="false">IF($C134="","",IF($M134="VAT 5%",0.05,IF($M134="VAT 8%",0.08,IF($M134="VAT 10%",0.1,0))))</f>
        <v/>
      </c>
      <c r="O134" s="10" t="str">
        <f aca="false">IF($C134="","",$L134*$N134)</f>
        <v/>
      </c>
      <c r="P134" s="10" t="str">
        <f aca="false">IF($C134="","",$L134+$O134)</f>
        <v/>
      </c>
      <c r="Q134" s="9"/>
      <c r="R134" s="10" t="str">
        <f aca="false">IF($C134="","",MAX(0,$P134-N($Q134)))</f>
        <v/>
      </c>
      <c r="S134" s="19" t="str">
        <f aca="false">IF(OR($C134="",$P134=0),"",IF(N($Q134)&lt;=0,"Chưa thanh toán",IF(N($Q134)&lt;$P134,"Thanh toán một phần","Đã thanh toán")))</f>
        <v/>
      </c>
      <c r="T134" s="10" t="str">
        <f aca="false">IF(OR($C134="",$J134=""),"",N($I134)*$J134)</f>
        <v/>
      </c>
      <c r="U134" s="10" t="str">
        <f aca="false">IF(OR($C134="",$T134=""),"",$L134-$T134)</f>
        <v/>
      </c>
      <c r="V134" s="11" t="str">
        <f aca="false">IF(OR($U134="",$L134=0),"",$U134/$L134)</f>
        <v/>
      </c>
      <c r="W134" s="8"/>
      <c r="X134" s="19" t="str">
        <f aca="false">IF($C134="","",IF(AND($H134="",N($I134)=0,N($K134)=0),"Dòng chỉ lưu thông tin khách (chưa có đơn); ",IF($B134="","Thiếu ngày đặt; ","")&amp;IF($H134="","Thiếu tên sản phẩm; ",IF($J134="","Sản phẩm chưa có trong BẢNG GIÁ GỐC; ",""))&amp;IF(N($I134)&lt;=0,"Thiếu số lượng; ","")&amp;IF(N($K134)&lt;=0,"Thiếu giá bán; ","")&amp;IF(AND($N134&gt;0,$F134=""),"Khách lấy VAT thiếu mã số thuế; ","")&amp;IF(N($Q134)&gt;$P134,"Đã thu vượt tổng phải thu; ","")&amp;IF(AND($L134&gt;0,$U134&lt;0),"CẢNH BÁO: ĐƠN NÀY ĐANG LỖ; ","")))</f>
        <v/>
      </c>
      <c r="Y134" s="16" t="str">
        <f aca="false">IF(AND($C134&lt;&gt;"",$R134&gt;0),COUNTIFS($C$6:$C134,"&lt;&gt;",$R$6:$R134,"&gt;0"),"")</f>
        <v/>
      </c>
      <c r="Z134" s="16" t="str">
        <f aca="false">IF(AND($H134&lt;&gt;"",N($N134)&gt;0),COUNTIFS($H$6:$H134,"&lt;&gt;",$N$6:$N134,"&gt;0"),"")</f>
        <v/>
      </c>
      <c r="AA134" s="16" t="str">
        <f aca="false">IF(AND($H134&lt;&gt;"",N($N134)=0),COUNTIFS($H$6:$H134,"&lt;&gt;",$N$6:$N134,"&lt;=0"),"")</f>
        <v/>
      </c>
      <c r="AB134" s="16" t="str">
        <f aca="false">IF($C134="","",IF(COUNTIF($C$6:$C134,$C134)&gt;1,"",MAX($AB$5:AB133)+1))</f>
        <v/>
      </c>
      <c r="AC134" s="16" t="str">
        <f aca="false">IF($H134="","",IF(COUNTIF($H$6:$H134,$H134)&gt;1,"",MAX($AC$5:AC133)+1))</f>
        <v/>
      </c>
    </row>
    <row r="135" customFormat="false" ht="15" hidden="false" customHeight="false" outlineLevel="0" collapsed="false">
      <c r="A135" s="16" t="str">
        <f aca="false">IF($C135="","",COUNTA($C$6:$C135))</f>
        <v/>
      </c>
      <c r="B135" s="17"/>
      <c r="C135" s="8"/>
      <c r="D135" s="8"/>
      <c r="E135" s="8"/>
      <c r="F135" s="8"/>
      <c r="G135" s="8"/>
      <c r="H135" s="8"/>
      <c r="I135" s="9"/>
      <c r="J135" s="10" t="str">
        <f aca="false">IF($H135="","",IFERROR(VLOOKUP($H135,'BẢNG GIÁ GỐC'!$A$5:$D$204,3,FALSE()),""))</f>
        <v/>
      </c>
      <c r="K135" s="9"/>
      <c r="L135" s="10" t="str">
        <f aca="false">IF($C135="","",N($I135)*N($K135))</f>
        <v/>
      </c>
      <c r="M135" s="8"/>
      <c r="N135" s="11" t="str">
        <f aca="false">IF($C135="","",IF($M135="VAT 5%",0.05,IF($M135="VAT 8%",0.08,IF($M135="VAT 10%",0.1,0))))</f>
        <v/>
      </c>
      <c r="O135" s="10" t="str">
        <f aca="false">IF($C135="","",$L135*$N135)</f>
        <v/>
      </c>
      <c r="P135" s="10" t="str">
        <f aca="false">IF($C135="","",$L135+$O135)</f>
        <v/>
      </c>
      <c r="Q135" s="9"/>
      <c r="R135" s="10" t="str">
        <f aca="false">IF($C135="","",MAX(0,$P135-N($Q135)))</f>
        <v/>
      </c>
      <c r="S135" s="19" t="str">
        <f aca="false">IF(OR($C135="",$P135=0),"",IF(N($Q135)&lt;=0,"Chưa thanh toán",IF(N($Q135)&lt;$P135,"Thanh toán một phần","Đã thanh toán")))</f>
        <v/>
      </c>
      <c r="T135" s="10" t="str">
        <f aca="false">IF(OR($C135="",$J135=""),"",N($I135)*$J135)</f>
        <v/>
      </c>
      <c r="U135" s="10" t="str">
        <f aca="false">IF(OR($C135="",$T135=""),"",$L135-$T135)</f>
        <v/>
      </c>
      <c r="V135" s="11" t="str">
        <f aca="false">IF(OR($U135="",$L135=0),"",$U135/$L135)</f>
        <v/>
      </c>
      <c r="W135" s="8"/>
      <c r="X135" s="19" t="str">
        <f aca="false">IF($C135="","",IF(AND($H135="",N($I135)=0,N($K135)=0),"Dòng chỉ lưu thông tin khách (chưa có đơn); ",IF($B135="","Thiếu ngày đặt; ","")&amp;IF($H135="","Thiếu tên sản phẩm; ",IF($J135="","Sản phẩm chưa có trong BẢNG GIÁ GỐC; ",""))&amp;IF(N($I135)&lt;=0,"Thiếu số lượng; ","")&amp;IF(N($K135)&lt;=0,"Thiếu giá bán; ","")&amp;IF(AND($N135&gt;0,$F135=""),"Khách lấy VAT thiếu mã số thuế; ","")&amp;IF(N($Q135)&gt;$P135,"Đã thu vượt tổng phải thu; ","")&amp;IF(AND($L135&gt;0,$U135&lt;0),"CẢNH BÁO: ĐƠN NÀY ĐANG LỖ; ","")))</f>
        <v/>
      </c>
      <c r="Y135" s="16" t="str">
        <f aca="false">IF(AND($C135&lt;&gt;"",$R135&gt;0),COUNTIFS($C$6:$C135,"&lt;&gt;",$R$6:$R135,"&gt;0"),"")</f>
        <v/>
      </c>
      <c r="Z135" s="16" t="str">
        <f aca="false">IF(AND($H135&lt;&gt;"",N($N135)&gt;0),COUNTIFS($H$6:$H135,"&lt;&gt;",$N$6:$N135,"&gt;0"),"")</f>
        <v/>
      </c>
      <c r="AA135" s="16" t="str">
        <f aca="false">IF(AND($H135&lt;&gt;"",N($N135)=0),COUNTIFS($H$6:$H135,"&lt;&gt;",$N$6:$N135,"&lt;=0"),"")</f>
        <v/>
      </c>
      <c r="AB135" s="16" t="str">
        <f aca="false">IF($C135="","",IF(COUNTIF($C$6:$C135,$C135)&gt;1,"",MAX($AB$5:AB134)+1))</f>
        <v/>
      </c>
      <c r="AC135" s="16" t="str">
        <f aca="false">IF($H135="","",IF(COUNTIF($H$6:$H135,$H135)&gt;1,"",MAX($AC$5:AC134)+1))</f>
        <v/>
      </c>
    </row>
    <row r="136" customFormat="false" ht="15" hidden="false" customHeight="false" outlineLevel="0" collapsed="false">
      <c r="A136" s="16" t="str">
        <f aca="false">IF($C136="","",COUNTA($C$6:$C136))</f>
        <v/>
      </c>
      <c r="B136" s="17"/>
      <c r="C136" s="8"/>
      <c r="D136" s="8"/>
      <c r="E136" s="8"/>
      <c r="F136" s="8"/>
      <c r="G136" s="8"/>
      <c r="H136" s="8"/>
      <c r="I136" s="9"/>
      <c r="J136" s="10" t="str">
        <f aca="false">IF($H136="","",IFERROR(VLOOKUP($H136,'BẢNG GIÁ GỐC'!$A$5:$D$204,3,FALSE()),""))</f>
        <v/>
      </c>
      <c r="K136" s="9"/>
      <c r="L136" s="10" t="str">
        <f aca="false">IF($C136="","",N($I136)*N($K136))</f>
        <v/>
      </c>
      <c r="M136" s="8"/>
      <c r="N136" s="11" t="str">
        <f aca="false">IF($C136="","",IF($M136="VAT 5%",0.05,IF($M136="VAT 8%",0.08,IF($M136="VAT 10%",0.1,0))))</f>
        <v/>
      </c>
      <c r="O136" s="10" t="str">
        <f aca="false">IF($C136="","",$L136*$N136)</f>
        <v/>
      </c>
      <c r="P136" s="10" t="str">
        <f aca="false">IF($C136="","",$L136+$O136)</f>
        <v/>
      </c>
      <c r="Q136" s="9"/>
      <c r="R136" s="10" t="str">
        <f aca="false">IF($C136="","",MAX(0,$P136-N($Q136)))</f>
        <v/>
      </c>
      <c r="S136" s="19" t="str">
        <f aca="false">IF(OR($C136="",$P136=0),"",IF(N($Q136)&lt;=0,"Chưa thanh toán",IF(N($Q136)&lt;$P136,"Thanh toán một phần","Đã thanh toán")))</f>
        <v/>
      </c>
      <c r="T136" s="10" t="str">
        <f aca="false">IF(OR($C136="",$J136=""),"",N($I136)*$J136)</f>
        <v/>
      </c>
      <c r="U136" s="10" t="str">
        <f aca="false">IF(OR($C136="",$T136=""),"",$L136-$T136)</f>
        <v/>
      </c>
      <c r="V136" s="11" t="str">
        <f aca="false">IF(OR($U136="",$L136=0),"",$U136/$L136)</f>
        <v/>
      </c>
      <c r="W136" s="8"/>
      <c r="X136" s="19" t="str">
        <f aca="false">IF($C136="","",IF(AND($H136="",N($I136)=0,N($K136)=0),"Dòng chỉ lưu thông tin khách (chưa có đơn); ",IF($B136="","Thiếu ngày đặt; ","")&amp;IF($H136="","Thiếu tên sản phẩm; ",IF($J136="","Sản phẩm chưa có trong BẢNG GIÁ GỐC; ",""))&amp;IF(N($I136)&lt;=0,"Thiếu số lượng; ","")&amp;IF(N($K136)&lt;=0,"Thiếu giá bán; ","")&amp;IF(AND($N136&gt;0,$F136=""),"Khách lấy VAT thiếu mã số thuế; ","")&amp;IF(N($Q136)&gt;$P136,"Đã thu vượt tổng phải thu; ","")&amp;IF(AND($L136&gt;0,$U136&lt;0),"CẢNH BÁO: ĐƠN NÀY ĐANG LỖ; ","")))</f>
        <v/>
      </c>
      <c r="Y136" s="16" t="str">
        <f aca="false">IF(AND($C136&lt;&gt;"",$R136&gt;0),COUNTIFS($C$6:$C136,"&lt;&gt;",$R$6:$R136,"&gt;0"),"")</f>
        <v/>
      </c>
      <c r="Z136" s="16" t="str">
        <f aca="false">IF(AND($H136&lt;&gt;"",N($N136)&gt;0),COUNTIFS($H$6:$H136,"&lt;&gt;",$N$6:$N136,"&gt;0"),"")</f>
        <v/>
      </c>
      <c r="AA136" s="16" t="str">
        <f aca="false">IF(AND($H136&lt;&gt;"",N($N136)=0),COUNTIFS($H$6:$H136,"&lt;&gt;",$N$6:$N136,"&lt;=0"),"")</f>
        <v/>
      </c>
      <c r="AB136" s="16" t="str">
        <f aca="false">IF($C136="","",IF(COUNTIF($C$6:$C136,$C136)&gt;1,"",MAX($AB$5:AB135)+1))</f>
        <v/>
      </c>
      <c r="AC136" s="16" t="str">
        <f aca="false">IF($H136="","",IF(COUNTIF($H$6:$H136,$H136)&gt;1,"",MAX($AC$5:AC135)+1))</f>
        <v/>
      </c>
    </row>
    <row r="137" customFormat="false" ht="15" hidden="false" customHeight="false" outlineLevel="0" collapsed="false">
      <c r="A137" s="16" t="str">
        <f aca="false">IF($C137="","",COUNTA($C$6:$C137))</f>
        <v/>
      </c>
      <c r="B137" s="17"/>
      <c r="C137" s="8"/>
      <c r="D137" s="8"/>
      <c r="E137" s="8"/>
      <c r="F137" s="8"/>
      <c r="G137" s="8"/>
      <c r="H137" s="8"/>
      <c r="I137" s="9"/>
      <c r="J137" s="10" t="str">
        <f aca="false">IF($H137="","",IFERROR(VLOOKUP($H137,'BẢNG GIÁ GỐC'!$A$5:$D$204,3,FALSE()),""))</f>
        <v/>
      </c>
      <c r="K137" s="9"/>
      <c r="L137" s="10" t="str">
        <f aca="false">IF($C137="","",N($I137)*N($K137))</f>
        <v/>
      </c>
      <c r="M137" s="8"/>
      <c r="N137" s="11" t="str">
        <f aca="false">IF($C137="","",IF($M137="VAT 5%",0.05,IF($M137="VAT 8%",0.08,IF($M137="VAT 10%",0.1,0))))</f>
        <v/>
      </c>
      <c r="O137" s="10" t="str">
        <f aca="false">IF($C137="","",$L137*$N137)</f>
        <v/>
      </c>
      <c r="P137" s="10" t="str">
        <f aca="false">IF($C137="","",$L137+$O137)</f>
        <v/>
      </c>
      <c r="Q137" s="9"/>
      <c r="R137" s="10" t="str">
        <f aca="false">IF($C137="","",MAX(0,$P137-N($Q137)))</f>
        <v/>
      </c>
      <c r="S137" s="19" t="str">
        <f aca="false">IF(OR($C137="",$P137=0),"",IF(N($Q137)&lt;=0,"Chưa thanh toán",IF(N($Q137)&lt;$P137,"Thanh toán một phần","Đã thanh toán")))</f>
        <v/>
      </c>
      <c r="T137" s="10" t="str">
        <f aca="false">IF(OR($C137="",$J137=""),"",N($I137)*$J137)</f>
        <v/>
      </c>
      <c r="U137" s="10" t="str">
        <f aca="false">IF(OR($C137="",$T137=""),"",$L137-$T137)</f>
        <v/>
      </c>
      <c r="V137" s="11" t="str">
        <f aca="false">IF(OR($U137="",$L137=0),"",$U137/$L137)</f>
        <v/>
      </c>
      <c r="W137" s="8"/>
      <c r="X137" s="19" t="str">
        <f aca="false">IF($C137="","",IF(AND($H137="",N($I137)=0,N($K137)=0),"Dòng chỉ lưu thông tin khách (chưa có đơn); ",IF($B137="","Thiếu ngày đặt; ","")&amp;IF($H137="","Thiếu tên sản phẩm; ",IF($J137="","Sản phẩm chưa có trong BẢNG GIÁ GỐC; ",""))&amp;IF(N($I137)&lt;=0,"Thiếu số lượng; ","")&amp;IF(N($K137)&lt;=0,"Thiếu giá bán; ","")&amp;IF(AND($N137&gt;0,$F137=""),"Khách lấy VAT thiếu mã số thuế; ","")&amp;IF(N($Q137)&gt;$P137,"Đã thu vượt tổng phải thu; ","")&amp;IF(AND($L137&gt;0,$U137&lt;0),"CẢNH BÁO: ĐƠN NÀY ĐANG LỖ; ","")))</f>
        <v/>
      </c>
      <c r="Y137" s="16" t="str">
        <f aca="false">IF(AND($C137&lt;&gt;"",$R137&gt;0),COUNTIFS($C$6:$C137,"&lt;&gt;",$R$6:$R137,"&gt;0"),"")</f>
        <v/>
      </c>
      <c r="Z137" s="16" t="str">
        <f aca="false">IF(AND($H137&lt;&gt;"",N($N137)&gt;0),COUNTIFS($H$6:$H137,"&lt;&gt;",$N$6:$N137,"&gt;0"),"")</f>
        <v/>
      </c>
      <c r="AA137" s="16" t="str">
        <f aca="false">IF(AND($H137&lt;&gt;"",N($N137)=0),COUNTIFS($H$6:$H137,"&lt;&gt;",$N$6:$N137,"&lt;=0"),"")</f>
        <v/>
      </c>
      <c r="AB137" s="16" t="str">
        <f aca="false">IF($C137="","",IF(COUNTIF($C$6:$C137,$C137)&gt;1,"",MAX($AB$5:AB136)+1))</f>
        <v/>
      </c>
      <c r="AC137" s="16" t="str">
        <f aca="false">IF($H137="","",IF(COUNTIF($H$6:$H137,$H137)&gt;1,"",MAX($AC$5:AC136)+1))</f>
        <v/>
      </c>
    </row>
    <row r="138" customFormat="false" ht="15" hidden="false" customHeight="false" outlineLevel="0" collapsed="false">
      <c r="A138" s="16" t="str">
        <f aca="false">IF($C138="","",COUNTA($C$6:$C138))</f>
        <v/>
      </c>
      <c r="B138" s="17"/>
      <c r="C138" s="8"/>
      <c r="D138" s="8"/>
      <c r="E138" s="8"/>
      <c r="F138" s="8"/>
      <c r="G138" s="8"/>
      <c r="H138" s="8"/>
      <c r="I138" s="9"/>
      <c r="J138" s="10" t="str">
        <f aca="false">IF($H138="","",IFERROR(VLOOKUP($H138,'BẢNG GIÁ GỐC'!$A$5:$D$204,3,FALSE()),""))</f>
        <v/>
      </c>
      <c r="K138" s="9"/>
      <c r="L138" s="10" t="str">
        <f aca="false">IF($C138="","",N($I138)*N($K138))</f>
        <v/>
      </c>
      <c r="M138" s="8"/>
      <c r="N138" s="11" t="str">
        <f aca="false">IF($C138="","",IF($M138="VAT 5%",0.05,IF($M138="VAT 8%",0.08,IF($M138="VAT 10%",0.1,0))))</f>
        <v/>
      </c>
      <c r="O138" s="10" t="str">
        <f aca="false">IF($C138="","",$L138*$N138)</f>
        <v/>
      </c>
      <c r="P138" s="10" t="str">
        <f aca="false">IF($C138="","",$L138+$O138)</f>
        <v/>
      </c>
      <c r="Q138" s="9"/>
      <c r="R138" s="10" t="str">
        <f aca="false">IF($C138="","",MAX(0,$P138-N($Q138)))</f>
        <v/>
      </c>
      <c r="S138" s="19" t="str">
        <f aca="false">IF(OR($C138="",$P138=0),"",IF(N($Q138)&lt;=0,"Chưa thanh toán",IF(N($Q138)&lt;$P138,"Thanh toán một phần","Đã thanh toán")))</f>
        <v/>
      </c>
      <c r="T138" s="10" t="str">
        <f aca="false">IF(OR($C138="",$J138=""),"",N($I138)*$J138)</f>
        <v/>
      </c>
      <c r="U138" s="10" t="str">
        <f aca="false">IF(OR($C138="",$T138=""),"",$L138-$T138)</f>
        <v/>
      </c>
      <c r="V138" s="11" t="str">
        <f aca="false">IF(OR($U138="",$L138=0),"",$U138/$L138)</f>
        <v/>
      </c>
      <c r="W138" s="8"/>
      <c r="X138" s="19" t="str">
        <f aca="false">IF($C138="","",IF(AND($H138="",N($I138)=0,N($K138)=0),"Dòng chỉ lưu thông tin khách (chưa có đơn); ",IF($B138="","Thiếu ngày đặt; ","")&amp;IF($H138="","Thiếu tên sản phẩm; ",IF($J138="","Sản phẩm chưa có trong BẢNG GIÁ GỐC; ",""))&amp;IF(N($I138)&lt;=0,"Thiếu số lượng; ","")&amp;IF(N($K138)&lt;=0,"Thiếu giá bán; ","")&amp;IF(AND($N138&gt;0,$F138=""),"Khách lấy VAT thiếu mã số thuế; ","")&amp;IF(N($Q138)&gt;$P138,"Đã thu vượt tổng phải thu; ","")&amp;IF(AND($L138&gt;0,$U138&lt;0),"CẢNH BÁO: ĐƠN NÀY ĐANG LỖ; ","")))</f>
        <v/>
      </c>
      <c r="Y138" s="16" t="str">
        <f aca="false">IF(AND($C138&lt;&gt;"",$R138&gt;0),COUNTIFS($C$6:$C138,"&lt;&gt;",$R$6:$R138,"&gt;0"),"")</f>
        <v/>
      </c>
      <c r="Z138" s="16" t="str">
        <f aca="false">IF(AND($H138&lt;&gt;"",N($N138)&gt;0),COUNTIFS($H$6:$H138,"&lt;&gt;",$N$6:$N138,"&gt;0"),"")</f>
        <v/>
      </c>
      <c r="AA138" s="16" t="str">
        <f aca="false">IF(AND($H138&lt;&gt;"",N($N138)=0),COUNTIFS($H$6:$H138,"&lt;&gt;",$N$6:$N138,"&lt;=0"),"")</f>
        <v/>
      </c>
      <c r="AB138" s="16" t="str">
        <f aca="false">IF($C138="","",IF(COUNTIF($C$6:$C138,$C138)&gt;1,"",MAX($AB$5:AB137)+1))</f>
        <v/>
      </c>
      <c r="AC138" s="16" t="str">
        <f aca="false">IF($H138="","",IF(COUNTIF($H$6:$H138,$H138)&gt;1,"",MAX($AC$5:AC137)+1))</f>
        <v/>
      </c>
    </row>
    <row r="139" customFormat="false" ht="15" hidden="false" customHeight="false" outlineLevel="0" collapsed="false">
      <c r="A139" s="16" t="str">
        <f aca="false">IF($C139="","",COUNTA($C$6:$C139))</f>
        <v/>
      </c>
      <c r="B139" s="17"/>
      <c r="C139" s="8"/>
      <c r="D139" s="8"/>
      <c r="E139" s="8"/>
      <c r="F139" s="8"/>
      <c r="G139" s="8"/>
      <c r="H139" s="8"/>
      <c r="I139" s="9"/>
      <c r="J139" s="10" t="str">
        <f aca="false">IF($H139="","",IFERROR(VLOOKUP($H139,'BẢNG GIÁ GỐC'!$A$5:$D$204,3,FALSE()),""))</f>
        <v/>
      </c>
      <c r="K139" s="9"/>
      <c r="L139" s="10" t="str">
        <f aca="false">IF($C139="","",N($I139)*N($K139))</f>
        <v/>
      </c>
      <c r="M139" s="8"/>
      <c r="N139" s="11" t="str">
        <f aca="false">IF($C139="","",IF($M139="VAT 5%",0.05,IF($M139="VAT 8%",0.08,IF($M139="VAT 10%",0.1,0))))</f>
        <v/>
      </c>
      <c r="O139" s="10" t="str">
        <f aca="false">IF($C139="","",$L139*$N139)</f>
        <v/>
      </c>
      <c r="P139" s="10" t="str">
        <f aca="false">IF($C139="","",$L139+$O139)</f>
        <v/>
      </c>
      <c r="Q139" s="9"/>
      <c r="R139" s="10" t="str">
        <f aca="false">IF($C139="","",MAX(0,$P139-N($Q139)))</f>
        <v/>
      </c>
      <c r="S139" s="19" t="str">
        <f aca="false">IF(OR($C139="",$P139=0),"",IF(N($Q139)&lt;=0,"Chưa thanh toán",IF(N($Q139)&lt;$P139,"Thanh toán một phần","Đã thanh toán")))</f>
        <v/>
      </c>
      <c r="T139" s="10" t="str">
        <f aca="false">IF(OR($C139="",$J139=""),"",N($I139)*$J139)</f>
        <v/>
      </c>
      <c r="U139" s="10" t="str">
        <f aca="false">IF(OR($C139="",$T139=""),"",$L139-$T139)</f>
        <v/>
      </c>
      <c r="V139" s="11" t="str">
        <f aca="false">IF(OR($U139="",$L139=0),"",$U139/$L139)</f>
        <v/>
      </c>
      <c r="W139" s="8"/>
      <c r="X139" s="19" t="str">
        <f aca="false">IF($C139="","",IF(AND($H139="",N($I139)=0,N($K139)=0),"Dòng chỉ lưu thông tin khách (chưa có đơn); ",IF($B139="","Thiếu ngày đặt; ","")&amp;IF($H139="","Thiếu tên sản phẩm; ",IF($J139="","Sản phẩm chưa có trong BẢNG GIÁ GỐC; ",""))&amp;IF(N($I139)&lt;=0,"Thiếu số lượng; ","")&amp;IF(N($K139)&lt;=0,"Thiếu giá bán; ","")&amp;IF(AND($N139&gt;0,$F139=""),"Khách lấy VAT thiếu mã số thuế; ","")&amp;IF(N($Q139)&gt;$P139,"Đã thu vượt tổng phải thu; ","")&amp;IF(AND($L139&gt;0,$U139&lt;0),"CẢNH BÁO: ĐƠN NÀY ĐANG LỖ; ","")))</f>
        <v/>
      </c>
      <c r="Y139" s="16" t="str">
        <f aca="false">IF(AND($C139&lt;&gt;"",$R139&gt;0),COUNTIFS($C$6:$C139,"&lt;&gt;",$R$6:$R139,"&gt;0"),"")</f>
        <v/>
      </c>
      <c r="Z139" s="16" t="str">
        <f aca="false">IF(AND($H139&lt;&gt;"",N($N139)&gt;0),COUNTIFS($H$6:$H139,"&lt;&gt;",$N$6:$N139,"&gt;0"),"")</f>
        <v/>
      </c>
      <c r="AA139" s="16" t="str">
        <f aca="false">IF(AND($H139&lt;&gt;"",N($N139)=0),COUNTIFS($H$6:$H139,"&lt;&gt;",$N$6:$N139,"&lt;=0"),"")</f>
        <v/>
      </c>
      <c r="AB139" s="16" t="str">
        <f aca="false">IF($C139="","",IF(COUNTIF($C$6:$C139,$C139)&gt;1,"",MAX($AB$5:AB138)+1))</f>
        <v/>
      </c>
      <c r="AC139" s="16" t="str">
        <f aca="false">IF($H139="","",IF(COUNTIF($H$6:$H139,$H139)&gt;1,"",MAX($AC$5:AC138)+1))</f>
        <v/>
      </c>
    </row>
    <row r="140" customFormat="false" ht="15" hidden="false" customHeight="false" outlineLevel="0" collapsed="false">
      <c r="A140" s="16" t="str">
        <f aca="false">IF($C140="","",COUNTA($C$6:$C140))</f>
        <v/>
      </c>
      <c r="B140" s="17"/>
      <c r="C140" s="8"/>
      <c r="D140" s="8"/>
      <c r="E140" s="8"/>
      <c r="F140" s="8"/>
      <c r="G140" s="8"/>
      <c r="H140" s="8"/>
      <c r="I140" s="9"/>
      <c r="J140" s="10" t="str">
        <f aca="false">IF($H140="","",IFERROR(VLOOKUP($H140,'BẢNG GIÁ GỐC'!$A$5:$D$204,3,FALSE()),""))</f>
        <v/>
      </c>
      <c r="K140" s="9"/>
      <c r="L140" s="10" t="str">
        <f aca="false">IF($C140="","",N($I140)*N($K140))</f>
        <v/>
      </c>
      <c r="M140" s="8"/>
      <c r="N140" s="11" t="str">
        <f aca="false">IF($C140="","",IF($M140="VAT 5%",0.05,IF($M140="VAT 8%",0.08,IF($M140="VAT 10%",0.1,0))))</f>
        <v/>
      </c>
      <c r="O140" s="10" t="str">
        <f aca="false">IF($C140="","",$L140*$N140)</f>
        <v/>
      </c>
      <c r="P140" s="10" t="str">
        <f aca="false">IF($C140="","",$L140+$O140)</f>
        <v/>
      </c>
      <c r="Q140" s="9"/>
      <c r="R140" s="10" t="str">
        <f aca="false">IF($C140="","",MAX(0,$P140-N($Q140)))</f>
        <v/>
      </c>
      <c r="S140" s="19" t="str">
        <f aca="false">IF(OR($C140="",$P140=0),"",IF(N($Q140)&lt;=0,"Chưa thanh toán",IF(N($Q140)&lt;$P140,"Thanh toán một phần","Đã thanh toán")))</f>
        <v/>
      </c>
      <c r="T140" s="10" t="str">
        <f aca="false">IF(OR($C140="",$J140=""),"",N($I140)*$J140)</f>
        <v/>
      </c>
      <c r="U140" s="10" t="str">
        <f aca="false">IF(OR($C140="",$T140=""),"",$L140-$T140)</f>
        <v/>
      </c>
      <c r="V140" s="11" t="str">
        <f aca="false">IF(OR($U140="",$L140=0),"",$U140/$L140)</f>
        <v/>
      </c>
      <c r="W140" s="8"/>
      <c r="X140" s="19" t="str">
        <f aca="false">IF($C140="","",IF(AND($H140="",N($I140)=0,N($K140)=0),"Dòng chỉ lưu thông tin khách (chưa có đơn); ",IF($B140="","Thiếu ngày đặt; ","")&amp;IF($H140="","Thiếu tên sản phẩm; ",IF($J140="","Sản phẩm chưa có trong BẢNG GIÁ GỐC; ",""))&amp;IF(N($I140)&lt;=0,"Thiếu số lượng; ","")&amp;IF(N($K140)&lt;=0,"Thiếu giá bán; ","")&amp;IF(AND($N140&gt;0,$F140=""),"Khách lấy VAT thiếu mã số thuế; ","")&amp;IF(N($Q140)&gt;$P140,"Đã thu vượt tổng phải thu; ","")&amp;IF(AND($L140&gt;0,$U140&lt;0),"CẢNH BÁO: ĐƠN NÀY ĐANG LỖ; ","")))</f>
        <v/>
      </c>
      <c r="Y140" s="16" t="str">
        <f aca="false">IF(AND($C140&lt;&gt;"",$R140&gt;0),COUNTIFS($C$6:$C140,"&lt;&gt;",$R$6:$R140,"&gt;0"),"")</f>
        <v/>
      </c>
      <c r="Z140" s="16" t="str">
        <f aca="false">IF(AND($H140&lt;&gt;"",N($N140)&gt;0),COUNTIFS($H$6:$H140,"&lt;&gt;",$N$6:$N140,"&gt;0"),"")</f>
        <v/>
      </c>
      <c r="AA140" s="16" t="str">
        <f aca="false">IF(AND($H140&lt;&gt;"",N($N140)=0),COUNTIFS($H$6:$H140,"&lt;&gt;",$N$6:$N140,"&lt;=0"),"")</f>
        <v/>
      </c>
      <c r="AB140" s="16" t="str">
        <f aca="false">IF($C140="","",IF(COUNTIF($C$6:$C140,$C140)&gt;1,"",MAX($AB$5:AB139)+1))</f>
        <v/>
      </c>
      <c r="AC140" s="16" t="str">
        <f aca="false">IF($H140="","",IF(COUNTIF($H$6:$H140,$H140)&gt;1,"",MAX($AC$5:AC139)+1))</f>
        <v/>
      </c>
    </row>
    <row r="141" customFormat="false" ht="15" hidden="false" customHeight="false" outlineLevel="0" collapsed="false">
      <c r="A141" s="16" t="str">
        <f aca="false">IF($C141="","",COUNTA($C$6:$C141))</f>
        <v/>
      </c>
      <c r="B141" s="17"/>
      <c r="C141" s="8"/>
      <c r="D141" s="8"/>
      <c r="E141" s="8"/>
      <c r="F141" s="8"/>
      <c r="G141" s="8"/>
      <c r="H141" s="8"/>
      <c r="I141" s="9"/>
      <c r="J141" s="10" t="str">
        <f aca="false">IF($H141="","",IFERROR(VLOOKUP($H141,'BẢNG GIÁ GỐC'!$A$5:$D$204,3,FALSE()),""))</f>
        <v/>
      </c>
      <c r="K141" s="9"/>
      <c r="L141" s="10" t="str">
        <f aca="false">IF($C141="","",N($I141)*N($K141))</f>
        <v/>
      </c>
      <c r="M141" s="8"/>
      <c r="N141" s="11" t="str">
        <f aca="false">IF($C141="","",IF($M141="VAT 5%",0.05,IF($M141="VAT 8%",0.08,IF($M141="VAT 10%",0.1,0))))</f>
        <v/>
      </c>
      <c r="O141" s="10" t="str">
        <f aca="false">IF($C141="","",$L141*$N141)</f>
        <v/>
      </c>
      <c r="P141" s="10" t="str">
        <f aca="false">IF($C141="","",$L141+$O141)</f>
        <v/>
      </c>
      <c r="Q141" s="9"/>
      <c r="R141" s="10" t="str">
        <f aca="false">IF($C141="","",MAX(0,$P141-N($Q141)))</f>
        <v/>
      </c>
      <c r="S141" s="19" t="str">
        <f aca="false">IF(OR($C141="",$P141=0),"",IF(N($Q141)&lt;=0,"Chưa thanh toán",IF(N($Q141)&lt;$P141,"Thanh toán một phần","Đã thanh toán")))</f>
        <v/>
      </c>
      <c r="T141" s="10" t="str">
        <f aca="false">IF(OR($C141="",$J141=""),"",N($I141)*$J141)</f>
        <v/>
      </c>
      <c r="U141" s="10" t="str">
        <f aca="false">IF(OR($C141="",$T141=""),"",$L141-$T141)</f>
        <v/>
      </c>
      <c r="V141" s="11" t="str">
        <f aca="false">IF(OR($U141="",$L141=0),"",$U141/$L141)</f>
        <v/>
      </c>
      <c r="W141" s="8"/>
      <c r="X141" s="19" t="str">
        <f aca="false">IF($C141="","",IF(AND($H141="",N($I141)=0,N($K141)=0),"Dòng chỉ lưu thông tin khách (chưa có đơn); ",IF($B141="","Thiếu ngày đặt; ","")&amp;IF($H141="","Thiếu tên sản phẩm; ",IF($J141="","Sản phẩm chưa có trong BẢNG GIÁ GỐC; ",""))&amp;IF(N($I141)&lt;=0,"Thiếu số lượng; ","")&amp;IF(N($K141)&lt;=0,"Thiếu giá bán; ","")&amp;IF(AND($N141&gt;0,$F141=""),"Khách lấy VAT thiếu mã số thuế; ","")&amp;IF(N($Q141)&gt;$P141,"Đã thu vượt tổng phải thu; ","")&amp;IF(AND($L141&gt;0,$U141&lt;0),"CẢNH BÁO: ĐƠN NÀY ĐANG LỖ; ","")))</f>
        <v/>
      </c>
      <c r="Y141" s="16" t="str">
        <f aca="false">IF(AND($C141&lt;&gt;"",$R141&gt;0),COUNTIFS($C$6:$C141,"&lt;&gt;",$R$6:$R141,"&gt;0"),"")</f>
        <v/>
      </c>
      <c r="Z141" s="16" t="str">
        <f aca="false">IF(AND($H141&lt;&gt;"",N($N141)&gt;0),COUNTIFS($H$6:$H141,"&lt;&gt;",$N$6:$N141,"&gt;0"),"")</f>
        <v/>
      </c>
      <c r="AA141" s="16" t="str">
        <f aca="false">IF(AND($H141&lt;&gt;"",N($N141)=0),COUNTIFS($H$6:$H141,"&lt;&gt;",$N$6:$N141,"&lt;=0"),"")</f>
        <v/>
      </c>
      <c r="AB141" s="16" t="str">
        <f aca="false">IF($C141="","",IF(COUNTIF($C$6:$C141,$C141)&gt;1,"",MAX($AB$5:AB140)+1))</f>
        <v/>
      </c>
      <c r="AC141" s="16" t="str">
        <f aca="false">IF($H141="","",IF(COUNTIF($H$6:$H141,$H141)&gt;1,"",MAX($AC$5:AC140)+1))</f>
        <v/>
      </c>
    </row>
    <row r="142" customFormat="false" ht="15" hidden="false" customHeight="false" outlineLevel="0" collapsed="false">
      <c r="A142" s="16" t="str">
        <f aca="false">IF($C142="","",COUNTA($C$6:$C142))</f>
        <v/>
      </c>
      <c r="B142" s="17"/>
      <c r="C142" s="8"/>
      <c r="D142" s="8"/>
      <c r="E142" s="8"/>
      <c r="F142" s="8"/>
      <c r="G142" s="8"/>
      <c r="H142" s="8"/>
      <c r="I142" s="9"/>
      <c r="J142" s="10" t="str">
        <f aca="false">IF($H142="","",IFERROR(VLOOKUP($H142,'BẢNG GIÁ GỐC'!$A$5:$D$204,3,FALSE()),""))</f>
        <v/>
      </c>
      <c r="K142" s="9"/>
      <c r="L142" s="10" t="str">
        <f aca="false">IF($C142="","",N($I142)*N($K142))</f>
        <v/>
      </c>
      <c r="M142" s="8"/>
      <c r="N142" s="11" t="str">
        <f aca="false">IF($C142="","",IF($M142="VAT 5%",0.05,IF($M142="VAT 8%",0.08,IF($M142="VAT 10%",0.1,0))))</f>
        <v/>
      </c>
      <c r="O142" s="10" t="str">
        <f aca="false">IF($C142="","",$L142*$N142)</f>
        <v/>
      </c>
      <c r="P142" s="10" t="str">
        <f aca="false">IF($C142="","",$L142+$O142)</f>
        <v/>
      </c>
      <c r="Q142" s="9"/>
      <c r="R142" s="10" t="str">
        <f aca="false">IF($C142="","",MAX(0,$P142-N($Q142)))</f>
        <v/>
      </c>
      <c r="S142" s="19" t="str">
        <f aca="false">IF(OR($C142="",$P142=0),"",IF(N($Q142)&lt;=0,"Chưa thanh toán",IF(N($Q142)&lt;$P142,"Thanh toán một phần","Đã thanh toán")))</f>
        <v/>
      </c>
      <c r="T142" s="10" t="str">
        <f aca="false">IF(OR($C142="",$J142=""),"",N($I142)*$J142)</f>
        <v/>
      </c>
      <c r="U142" s="10" t="str">
        <f aca="false">IF(OR($C142="",$T142=""),"",$L142-$T142)</f>
        <v/>
      </c>
      <c r="V142" s="11" t="str">
        <f aca="false">IF(OR($U142="",$L142=0),"",$U142/$L142)</f>
        <v/>
      </c>
      <c r="W142" s="8"/>
      <c r="X142" s="19" t="str">
        <f aca="false">IF($C142="","",IF(AND($H142="",N($I142)=0,N($K142)=0),"Dòng chỉ lưu thông tin khách (chưa có đơn); ",IF($B142="","Thiếu ngày đặt; ","")&amp;IF($H142="","Thiếu tên sản phẩm; ",IF($J142="","Sản phẩm chưa có trong BẢNG GIÁ GỐC; ",""))&amp;IF(N($I142)&lt;=0,"Thiếu số lượng; ","")&amp;IF(N($K142)&lt;=0,"Thiếu giá bán; ","")&amp;IF(AND($N142&gt;0,$F142=""),"Khách lấy VAT thiếu mã số thuế; ","")&amp;IF(N($Q142)&gt;$P142,"Đã thu vượt tổng phải thu; ","")&amp;IF(AND($L142&gt;0,$U142&lt;0),"CẢNH BÁO: ĐƠN NÀY ĐANG LỖ; ","")))</f>
        <v/>
      </c>
      <c r="Y142" s="16" t="str">
        <f aca="false">IF(AND($C142&lt;&gt;"",$R142&gt;0),COUNTIFS($C$6:$C142,"&lt;&gt;",$R$6:$R142,"&gt;0"),"")</f>
        <v/>
      </c>
      <c r="Z142" s="16" t="str">
        <f aca="false">IF(AND($H142&lt;&gt;"",N($N142)&gt;0),COUNTIFS($H$6:$H142,"&lt;&gt;",$N$6:$N142,"&gt;0"),"")</f>
        <v/>
      </c>
      <c r="AA142" s="16" t="str">
        <f aca="false">IF(AND($H142&lt;&gt;"",N($N142)=0),COUNTIFS($H$6:$H142,"&lt;&gt;",$N$6:$N142,"&lt;=0"),"")</f>
        <v/>
      </c>
      <c r="AB142" s="16" t="str">
        <f aca="false">IF($C142="","",IF(COUNTIF($C$6:$C142,$C142)&gt;1,"",MAX($AB$5:AB141)+1))</f>
        <v/>
      </c>
      <c r="AC142" s="16" t="str">
        <f aca="false">IF($H142="","",IF(COUNTIF($H$6:$H142,$H142)&gt;1,"",MAX($AC$5:AC141)+1))</f>
        <v/>
      </c>
    </row>
    <row r="143" customFormat="false" ht="15" hidden="false" customHeight="false" outlineLevel="0" collapsed="false">
      <c r="A143" s="16" t="str">
        <f aca="false">IF($C143="","",COUNTA($C$6:$C143))</f>
        <v/>
      </c>
      <c r="B143" s="17"/>
      <c r="C143" s="8"/>
      <c r="D143" s="8"/>
      <c r="E143" s="8"/>
      <c r="F143" s="8"/>
      <c r="G143" s="8"/>
      <c r="H143" s="8"/>
      <c r="I143" s="9"/>
      <c r="J143" s="10" t="str">
        <f aca="false">IF($H143="","",IFERROR(VLOOKUP($H143,'BẢNG GIÁ GỐC'!$A$5:$D$204,3,FALSE()),""))</f>
        <v/>
      </c>
      <c r="K143" s="9"/>
      <c r="L143" s="10" t="str">
        <f aca="false">IF($C143="","",N($I143)*N($K143))</f>
        <v/>
      </c>
      <c r="M143" s="8"/>
      <c r="N143" s="11" t="str">
        <f aca="false">IF($C143="","",IF($M143="VAT 5%",0.05,IF($M143="VAT 8%",0.08,IF($M143="VAT 10%",0.1,0))))</f>
        <v/>
      </c>
      <c r="O143" s="10" t="str">
        <f aca="false">IF($C143="","",$L143*$N143)</f>
        <v/>
      </c>
      <c r="P143" s="10" t="str">
        <f aca="false">IF($C143="","",$L143+$O143)</f>
        <v/>
      </c>
      <c r="Q143" s="9"/>
      <c r="R143" s="10" t="str">
        <f aca="false">IF($C143="","",MAX(0,$P143-N($Q143)))</f>
        <v/>
      </c>
      <c r="S143" s="19" t="str">
        <f aca="false">IF(OR($C143="",$P143=0),"",IF(N($Q143)&lt;=0,"Chưa thanh toán",IF(N($Q143)&lt;$P143,"Thanh toán một phần","Đã thanh toán")))</f>
        <v/>
      </c>
      <c r="T143" s="10" t="str">
        <f aca="false">IF(OR($C143="",$J143=""),"",N($I143)*$J143)</f>
        <v/>
      </c>
      <c r="U143" s="10" t="str">
        <f aca="false">IF(OR($C143="",$T143=""),"",$L143-$T143)</f>
        <v/>
      </c>
      <c r="V143" s="11" t="str">
        <f aca="false">IF(OR($U143="",$L143=0),"",$U143/$L143)</f>
        <v/>
      </c>
      <c r="W143" s="8"/>
      <c r="X143" s="19" t="str">
        <f aca="false">IF($C143="","",IF(AND($H143="",N($I143)=0,N($K143)=0),"Dòng chỉ lưu thông tin khách (chưa có đơn); ",IF($B143="","Thiếu ngày đặt; ","")&amp;IF($H143="","Thiếu tên sản phẩm; ",IF($J143="","Sản phẩm chưa có trong BẢNG GIÁ GỐC; ",""))&amp;IF(N($I143)&lt;=0,"Thiếu số lượng; ","")&amp;IF(N($K143)&lt;=0,"Thiếu giá bán; ","")&amp;IF(AND($N143&gt;0,$F143=""),"Khách lấy VAT thiếu mã số thuế; ","")&amp;IF(N($Q143)&gt;$P143,"Đã thu vượt tổng phải thu; ","")&amp;IF(AND($L143&gt;0,$U143&lt;0),"CẢNH BÁO: ĐƠN NÀY ĐANG LỖ; ","")))</f>
        <v/>
      </c>
      <c r="Y143" s="16" t="str">
        <f aca="false">IF(AND($C143&lt;&gt;"",$R143&gt;0),COUNTIFS($C$6:$C143,"&lt;&gt;",$R$6:$R143,"&gt;0"),"")</f>
        <v/>
      </c>
      <c r="Z143" s="16" t="str">
        <f aca="false">IF(AND($H143&lt;&gt;"",N($N143)&gt;0),COUNTIFS($H$6:$H143,"&lt;&gt;",$N$6:$N143,"&gt;0"),"")</f>
        <v/>
      </c>
      <c r="AA143" s="16" t="str">
        <f aca="false">IF(AND($H143&lt;&gt;"",N($N143)=0),COUNTIFS($H$6:$H143,"&lt;&gt;",$N$6:$N143,"&lt;=0"),"")</f>
        <v/>
      </c>
      <c r="AB143" s="16" t="str">
        <f aca="false">IF($C143="","",IF(COUNTIF($C$6:$C143,$C143)&gt;1,"",MAX($AB$5:AB142)+1))</f>
        <v/>
      </c>
      <c r="AC143" s="16" t="str">
        <f aca="false">IF($H143="","",IF(COUNTIF($H$6:$H143,$H143)&gt;1,"",MAX($AC$5:AC142)+1))</f>
        <v/>
      </c>
    </row>
    <row r="144" customFormat="false" ht="15" hidden="false" customHeight="false" outlineLevel="0" collapsed="false">
      <c r="A144" s="16" t="str">
        <f aca="false">IF($C144="","",COUNTA($C$6:$C144))</f>
        <v/>
      </c>
      <c r="B144" s="17"/>
      <c r="C144" s="8"/>
      <c r="D144" s="8"/>
      <c r="E144" s="8"/>
      <c r="F144" s="8"/>
      <c r="G144" s="8"/>
      <c r="H144" s="8"/>
      <c r="I144" s="9"/>
      <c r="J144" s="10" t="str">
        <f aca="false">IF($H144="","",IFERROR(VLOOKUP($H144,'BẢNG GIÁ GỐC'!$A$5:$D$204,3,FALSE()),""))</f>
        <v/>
      </c>
      <c r="K144" s="9"/>
      <c r="L144" s="10" t="str">
        <f aca="false">IF($C144="","",N($I144)*N($K144))</f>
        <v/>
      </c>
      <c r="M144" s="8"/>
      <c r="N144" s="11" t="str">
        <f aca="false">IF($C144="","",IF($M144="VAT 5%",0.05,IF($M144="VAT 8%",0.08,IF($M144="VAT 10%",0.1,0))))</f>
        <v/>
      </c>
      <c r="O144" s="10" t="str">
        <f aca="false">IF($C144="","",$L144*$N144)</f>
        <v/>
      </c>
      <c r="P144" s="10" t="str">
        <f aca="false">IF($C144="","",$L144+$O144)</f>
        <v/>
      </c>
      <c r="Q144" s="9"/>
      <c r="R144" s="10" t="str">
        <f aca="false">IF($C144="","",MAX(0,$P144-N($Q144)))</f>
        <v/>
      </c>
      <c r="S144" s="19" t="str">
        <f aca="false">IF(OR($C144="",$P144=0),"",IF(N($Q144)&lt;=0,"Chưa thanh toán",IF(N($Q144)&lt;$P144,"Thanh toán một phần","Đã thanh toán")))</f>
        <v/>
      </c>
      <c r="T144" s="10" t="str">
        <f aca="false">IF(OR($C144="",$J144=""),"",N($I144)*$J144)</f>
        <v/>
      </c>
      <c r="U144" s="10" t="str">
        <f aca="false">IF(OR($C144="",$T144=""),"",$L144-$T144)</f>
        <v/>
      </c>
      <c r="V144" s="11" t="str">
        <f aca="false">IF(OR($U144="",$L144=0),"",$U144/$L144)</f>
        <v/>
      </c>
      <c r="W144" s="8"/>
      <c r="X144" s="19" t="str">
        <f aca="false">IF($C144="","",IF(AND($H144="",N($I144)=0,N($K144)=0),"Dòng chỉ lưu thông tin khách (chưa có đơn); ",IF($B144="","Thiếu ngày đặt; ","")&amp;IF($H144="","Thiếu tên sản phẩm; ",IF($J144="","Sản phẩm chưa có trong BẢNG GIÁ GỐC; ",""))&amp;IF(N($I144)&lt;=0,"Thiếu số lượng; ","")&amp;IF(N($K144)&lt;=0,"Thiếu giá bán; ","")&amp;IF(AND($N144&gt;0,$F144=""),"Khách lấy VAT thiếu mã số thuế; ","")&amp;IF(N($Q144)&gt;$P144,"Đã thu vượt tổng phải thu; ","")&amp;IF(AND($L144&gt;0,$U144&lt;0),"CẢNH BÁO: ĐƠN NÀY ĐANG LỖ; ","")))</f>
        <v/>
      </c>
      <c r="Y144" s="16" t="str">
        <f aca="false">IF(AND($C144&lt;&gt;"",$R144&gt;0),COUNTIFS($C$6:$C144,"&lt;&gt;",$R$6:$R144,"&gt;0"),"")</f>
        <v/>
      </c>
      <c r="Z144" s="16" t="str">
        <f aca="false">IF(AND($H144&lt;&gt;"",N($N144)&gt;0),COUNTIFS($H$6:$H144,"&lt;&gt;",$N$6:$N144,"&gt;0"),"")</f>
        <v/>
      </c>
      <c r="AA144" s="16" t="str">
        <f aca="false">IF(AND($H144&lt;&gt;"",N($N144)=0),COUNTIFS($H$6:$H144,"&lt;&gt;",$N$6:$N144,"&lt;=0"),"")</f>
        <v/>
      </c>
      <c r="AB144" s="16" t="str">
        <f aca="false">IF($C144="","",IF(COUNTIF($C$6:$C144,$C144)&gt;1,"",MAX($AB$5:AB143)+1))</f>
        <v/>
      </c>
      <c r="AC144" s="16" t="str">
        <f aca="false">IF($H144="","",IF(COUNTIF($H$6:$H144,$H144)&gt;1,"",MAX($AC$5:AC143)+1))</f>
        <v/>
      </c>
    </row>
    <row r="145" customFormat="false" ht="15" hidden="false" customHeight="false" outlineLevel="0" collapsed="false">
      <c r="A145" s="16" t="str">
        <f aca="false">IF($C145="","",COUNTA($C$6:$C145))</f>
        <v/>
      </c>
      <c r="B145" s="17"/>
      <c r="C145" s="8"/>
      <c r="D145" s="8"/>
      <c r="E145" s="8"/>
      <c r="F145" s="8"/>
      <c r="G145" s="8"/>
      <c r="H145" s="8"/>
      <c r="I145" s="9"/>
      <c r="J145" s="10" t="str">
        <f aca="false">IF($H145="","",IFERROR(VLOOKUP($H145,'BẢNG GIÁ GỐC'!$A$5:$D$204,3,FALSE()),""))</f>
        <v/>
      </c>
      <c r="K145" s="9"/>
      <c r="L145" s="10" t="str">
        <f aca="false">IF($C145="","",N($I145)*N($K145))</f>
        <v/>
      </c>
      <c r="M145" s="8"/>
      <c r="N145" s="11" t="str">
        <f aca="false">IF($C145="","",IF($M145="VAT 5%",0.05,IF($M145="VAT 8%",0.08,IF($M145="VAT 10%",0.1,0))))</f>
        <v/>
      </c>
      <c r="O145" s="10" t="str">
        <f aca="false">IF($C145="","",$L145*$N145)</f>
        <v/>
      </c>
      <c r="P145" s="10" t="str">
        <f aca="false">IF($C145="","",$L145+$O145)</f>
        <v/>
      </c>
      <c r="Q145" s="9"/>
      <c r="R145" s="10" t="str">
        <f aca="false">IF($C145="","",MAX(0,$P145-N($Q145)))</f>
        <v/>
      </c>
      <c r="S145" s="19" t="str">
        <f aca="false">IF(OR($C145="",$P145=0),"",IF(N($Q145)&lt;=0,"Chưa thanh toán",IF(N($Q145)&lt;$P145,"Thanh toán một phần","Đã thanh toán")))</f>
        <v/>
      </c>
      <c r="T145" s="10" t="str">
        <f aca="false">IF(OR($C145="",$J145=""),"",N($I145)*$J145)</f>
        <v/>
      </c>
      <c r="U145" s="10" t="str">
        <f aca="false">IF(OR($C145="",$T145=""),"",$L145-$T145)</f>
        <v/>
      </c>
      <c r="V145" s="11" t="str">
        <f aca="false">IF(OR($U145="",$L145=0),"",$U145/$L145)</f>
        <v/>
      </c>
      <c r="W145" s="8"/>
      <c r="X145" s="19" t="str">
        <f aca="false">IF($C145="","",IF(AND($H145="",N($I145)=0,N($K145)=0),"Dòng chỉ lưu thông tin khách (chưa có đơn); ",IF($B145="","Thiếu ngày đặt; ","")&amp;IF($H145="","Thiếu tên sản phẩm; ",IF($J145="","Sản phẩm chưa có trong BẢNG GIÁ GỐC; ",""))&amp;IF(N($I145)&lt;=0,"Thiếu số lượng; ","")&amp;IF(N($K145)&lt;=0,"Thiếu giá bán; ","")&amp;IF(AND($N145&gt;0,$F145=""),"Khách lấy VAT thiếu mã số thuế; ","")&amp;IF(N($Q145)&gt;$P145,"Đã thu vượt tổng phải thu; ","")&amp;IF(AND($L145&gt;0,$U145&lt;0),"CẢNH BÁO: ĐƠN NÀY ĐANG LỖ; ","")))</f>
        <v/>
      </c>
      <c r="Y145" s="16" t="str">
        <f aca="false">IF(AND($C145&lt;&gt;"",$R145&gt;0),COUNTIFS($C$6:$C145,"&lt;&gt;",$R$6:$R145,"&gt;0"),"")</f>
        <v/>
      </c>
      <c r="Z145" s="16" t="str">
        <f aca="false">IF(AND($H145&lt;&gt;"",N($N145)&gt;0),COUNTIFS($H$6:$H145,"&lt;&gt;",$N$6:$N145,"&gt;0"),"")</f>
        <v/>
      </c>
      <c r="AA145" s="16" t="str">
        <f aca="false">IF(AND($H145&lt;&gt;"",N($N145)=0),COUNTIFS($H$6:$H145,"&lt;&gt;",$N$6:$N145,"&lt;=0"),"")</f>
        <v/>
      </c>
      <c r="AB145" s="16" t="str">
        <f aca="false">IF($C145="","",IF(COUNTIF($C$6:$C145,$C145)&gt;1,"",MAX($AB$5:AB144)+1))</f>
        <v/>
      </c>
      <c r="AC145" s="16" t="str">
        <f aca="false">IF($H145="","",IF(COUNTIF($H$6:$H145,$H145)&gt;1,"",MAX($AC$5:AC144)+1))</f>
        <v/>
      </c>
    </row>
    <row r="146" customFormat="false" ht="15" hidden="false" customHeight="false" outlineLevel="0" collapsed="false">
      <c r="A146" s="16" t="str">
        <f aca="false">IF($C146="","",COUNTA($C$6:$C146))</f>
        <v/>
      </c>
      <c r="B146" s="17"/>
      <c r="C146" s="8"/>
      <c r="D146" s="8"/>
      <c r="E146" s="8"/>
      <c r="F146" s="8"/>
      <c r="G146" s="8"/>
      <c r="H146" s="8"/>
      <c r="I146" s="9"/>
      <c r="J146" s="10" t="str">
        <f aca="false">IF($H146="","",IFERROR(VLOOKUP($H146,'BẢNG GIÁ GỐC'!$A$5:$D$204,3,FALSE()),""))</f>
        <v/>
      </c>
      <c r="K146" s="9"/>
      <c r="L146" s="10" t="str">
        <f aca="false">IF($C146="","",N($I146)*N($K146))</f>
        <v/>
      </c>
      <c r="M146" s="8"/>
      <c r="N146" s="11" t="str">
        <f aca="false">IF($C146="","",IF($M146="VAT 5%",0.05,IF($M146="VAT 8%",0.08,IF($M146="VAT 10%",0.1,0))))</f>
        <v/>
      </c>
      <c r="O146" s="10" t="str">
        <f aca="false">IF($C146="","",$L146*$N146)</f>
        <v/>
      </c>
      <c r="P146" s="10" t="str">
        <f aca="false">IF($C146="","",$L146+$O146)</f>
        <v/>
      </c>
      <c r="Q146" s="9"/>
      <c r="R146" s="10" t="str">
        <f aca="false">IF($C146="","",MAX(0,$P146-N($Q146)))</f>
        <v/>
      </c>
      <c r="S146" s="19" t="str">
        <f aca="false">IF(OR($C146="",$P146=0),"",IF(N($Q146)&lt;=0,"Chưa thanh toán",IF(N($Q146)&lt;$P146,"Thanh toán một phần","Đã thanh toán")))</f>
        <v/>
      </c>
      <c r="T146" s="10" t="str">
        <f aca="false">IF(OR($C146="",$J146=""),"",N($I146)*$J146)</f>
        <v/>
      </c>
      <c r="U146" s="10" t="str">
        <f aca="false">IF(OR($C146="",$T146=""),"",$L146-$T146)</f>
        <v/>
      </c>
      <c r="V146" s="11" t="str">
        <f aca="false">IF(OR($U146="",$L146=0),"",$U146/$L146)</f>
        <v/>
      </c>
      <c r="W146" s="8"/>
      <c r="X146" s="19" t="str">
        <f aca="false">IF($C146="","",IF(AND($H146="",N($I146)=0,N($K146)=0),"Dòng chỉ lưu thông tin khách (chưa có đơn); ",IF($B146="","Thiếu ngày đặt; ","")&amp;IF($H146="","Thiếu tên sản phẩm; ",IF($J146="","Sản phẩm chưa có trong BẢNG GIÁ GỐC; ",""))&amp;IF(N($I146)&lt;=0,"Thiếu số lượng; ","")&amp;IF(N($K146)&lt;=0,"Thiếu giá bán; ","")&amp;IF(AND($N146&gt;0,$F146=""),"Khách lấy VAT thiếu mã số thuế; ","")&amp;IF(N($Q146)&gt;$P146,"Đã thu vượt tổng phải thu; ","")&amp;IF(AND($L146&gt;0,$U146&lt;0),"CẢNH BÁO: ĐƠN NÀY ĐANG LỖ; ","")))</f>
        <v/>
      </c>
      <c r="Y146" s="16" t="str">
        <f aca="false">IF(AND($C146&lt;&gt;"",$R146&gt;0),COUNTIFS($C$6:$C146,"&lt;&gt;",$R$6:$R146,"&gt;0"),"")</f>
        <v/>
      </c>
      <c r="Z146" s="16" t="str">
        <f aca="false">IF(AND($H146&lt;&gt;"",N($N146)&gt;0),COUNTIFS($H$6:$H146,"&lt;&gt;",$N$6:$N146,"&gt;0"),"")</f>
        <v/>
      </c>
      <c r="AA146" s="16" t="str">
        <f aca="false">IF(AND($H146&lt;&gt;"",N($N146)=0),COUNTIFS($H$6:$H146,"&lt;&gt;",$N$6:$N146,"&lt;=0"),"")</f>
        <v/>
      </c>
      <c r="AB146" s="16" t="str">
        <f aca="false">IF($C146="","",IF(COUNTIF($C$6:$C146,$C146)&gt;1,"",MAX($AB$5:AB145)+1))</f>
        <v/>
      </c>
      <c r="AC146" s="16" t="str">
        <f aca="false">IF($H146="","",IF(COUNTIF($H$6:$H146,$H146)&gt;1,"",MAX($AC$5:AC145)+1))</f>
        <v/>
      </c>
    </row>
    <row r="147" customFormat="false" ht="15" hidden="false" customHeight="false" outlineLevel="0" collapsed="false">
      <c r="A147" s="16" t="str">
        <f aca="false">IF($C147="","",COUNTA($C$6:$C147))</f>
        <v/>
      </c>
      <c r="B147" s="17"/>
      <c r="C147" s="8"/>
      <c r="D147" s="8"/>
      <c r="E147" s="8"/>
      <c r="F147" s="8"/>
      <c r="G147" s="8"/>
      <c r="H147" s="8"/>
      <c r="I147" s="9"/>
      <c r="J147" s="10" t="str">
        <f aca="false">IF($H147="","",IFERROR(VLOOKUP($H147,'BẢNG GIÁ GỐC'!$A$5:$D$204,3,FALSE()),""))</f>
        <v/>
      </c>
      <c r="K147" s="9"/>
      <c r="L147" s="10" t="str">
        <f aca="false">IF($C147="","",N($I147)*N($K147))</f>
        <v/>
      </c>
      <c r="M147" s="8"/>
      <c r="N147" s="11" t="str">
        <f aca="false">IF($C147="","",IF($M147="VAT 5%",0.05,IF($M147="VAT 8%",0.08,IF($M147="VAT 10%",0.1,0))))</f>
        <v/>
      </c>
      <c r="O147" s="10" t="str">
        <f aca="false">IF($C147="","",$L147*$N147)</f>
        <v/>
      </c>
      <c r="P147" s="10" t="str">
        <f aca="false">IF($C147="","",$L147+$O147)</f>
        <v/>
      </c>
      <c r="Q147" s="9"/>
      <c r="R147" s="10" t="str">
        <f aca="false">IF($C147="","",MAX(0,$P147-N($Q147)))</f>
        <v/>
      </c>
      <c r="S147" s="19" t="str">
        <f aca="false">IF(OR($C147="",$P147=0),"",IF(N($Q147)&lt;=0,"Chưa thanh toán",IF(N($Q147)&lt;$P147,"Thanh toán một phần","Đã thanh toán")))</f>
        <v/>
      </c>
      <c r="T147" s="10" t="str">
        <f aca="false">IF(OR($C147="",$J147=""),"",N($I147)*$J147)</f>
        <v/>
      </c>
      <c r="U147" s="10" t="str">
        <f aca="false">IF(OR($C147="",$T147=""),"",$L147-$T147)</f>
        <v/>
      </c>
      <c r="V147" s="11" t="str">
        <f aca="false">IF(OR($U147="",$L147=0),"",$U147/$L147)</f>
        <v/>
      </c>
      <c r="W147" s="8"/>
      <c r="X147" s="19" t="str">
        <f aca="false">IF($C147="","",IF(AND($H147="",N($I147)=0,N($K147)=0),"Dòng chỉ lưu thông tin khách (chưa có đơn); ",IF($B147="","Thiếu ngày đặt; ","")&amp;IF($H147="","Thiếu tên sản phẩm; ",IF($J147="","Sản phẩm chưa có trong BẢNG GIÁ GỐC; ",""))&amp;IF(N($I147)&lt;=0,"Thiếu số lượng; ","")&amp;IF(N($K147)&lt;=0,"Thiếu giá bán; ","")&amp;IF(AND($N147&gt;0,$F147=""),"Khách lấy VAT thiếu mã số thuế; ","")&amp;IF(N($Q147)&gt;$P147,"Đã thu vượt tổng phải thu; ","")&amp;IF(AND($L147&gt;0,$U147&lt;0),"CẢNH BÁO: ĐƠN NÀY ĐANG LỖ; ","")))</f>
        <v/>
      </c>
      <c r="Y147" s="16" t="str">
        <f aca="false">IF(AND($C147&lt;&gt;"",$R147&gt;0),COUNTIFS($C$6:$C147,"&lt;&gt;",$R$6:$R147,"&gt;0"),"")</f>
        <v/>
      </c>
      <c r="Z147" s="16" t="str">
        <f aca="false">IF(AND($H147&lt;&gt;"",N($N147)&gt;0),COUNTIFS($H$6:$H147,"&lt;&gt;",$N$6:$N147,"&gt;0"),"")</f>
        <v/>
      </c>
      <c r="AA147" s="16" t="str">
        <f aca="false">IF(AND($H147&lt;&gt;"",N($N147)=0),COUNTIFS($H$6:$H147,"&lt;&gt;",$N$6:$N147,"&lt;=0"),"")</f>
        <v/>
      </c>
      <c r="AB147" s="16" t="str">
        <f aca="false">IF($C147="","",IF(COUNTIF($C$6:$C147,$C147)&gt;1,"",MAX($AB$5:AB146)+1))</f>
        <v/>
      </c>
      <c r="AC147" s="16" t="str">
        <f aca="false">IF($H147="","",IF(COUNTIF($H$6:$H147,$H147)&gt;1,"",MAX($AC$5:AC146)+1))</f>
        <v/>
      </c>
    </row>
    <row r="148" customFormat="false" ht="15" hidden="false" customHeight="false" outlineLevel="0" collapsed="false">
      <c r="A148" s="16" t="str">
        <f aca="false">IF($C148="","",COUNTA($C$6:$C148))</f>
        <v/>
      </c>
      <c r="B148" s="17"/>
      <c r="C148" s="8"/>
      <c r="D148" s="8"/>
      <c r="E148" s="8"/>
      <c r="F148" s="8"/>
      <c r="G148" s="8"/>
      <c r="H148" s="8"/>
      <c r="I148" s="9"/>
      <c r="J148" s="10" t="str">
        <f aca="false">IF($H148="","",IFERROR(VLOOKUP($H148,'BẢNG GIÁ GỐC'!$A$5:$D$204,3,FALSE()),""))</f>
        <v/>
      </c>
      <c r="K148" s="9"/>
      <c r="L148" s="10" t="str">
        <f aca="false">IF($C148="","",N($I148)*N($K148))</f>
        <v/>
      </c>
      <c r="M148" s="8"/>
      <c r="N148" s="11" t="str">
        <f aca="false">IF($C148="","",IF($M148="VAT 5%",0.05,IF($M148="VAT 8%",0.08,IF($M148="VAT 10%",0.1,0))))</f>
        <v/>
      </c>
      <c r="O148" s="10" t="str">
        <f aca="false">IF($C148="","",$L148*$N148)</f>
        <v/>
      </c>
      <c r="P148" s="10" t="str">
        <f aca="false">IF($C148="","",$L148+$O148)</f>
        <v/>
      </c>
      <c r="Q148" s="9"/>
      <c r="R148" s="10" t="str">
        <f aca="false">IF($C148="","",MAX(0,$P148-N($Q148)))</f>
        <v/>
      </c>
      <c r="S148" s="19" t="str">
        <f aca="false">IF(OR($C148="",$P148=0),"",IF(N($Q148)&lt;=0,"Chưa thanh toán",IF(N($Q148)&lt;$P148,"Thanh toán một phần","Đã thanh toán")))</f>
        <v/>
      </c>
      <c r="T148" s="10" t="str">
        <f aca="false">IF(OR($C148="",$J148=""),"",N($I148)*$J148)</f>
        <v/>
      </c>
      <c r="U148" s="10" t="str">
        <f aca="false">IF(OR($C148="",$T148=""),"",$L148-$T148)</f>
        <v/>
      </c>
      <c r="V148" s="11" t="str">
        <f aca="false">IF(OR($U148="",$L148=0),"",$U148/$L148)</f>
        <v/>
      </c>
      <c r="W148" s="8"/>
      <c r="X148" s="19" t="str">
        <f aca="false">IF($C148="","",IF(AND($H148="",N($I148)=0,N($K148)=0),"Dòng chỉ lưu thông tin khách (chưa có đơn); ",IF($B148="","Thiếu ngày đặt; ","")&amp;IF($H148="","Thiếu tên sản phẩm; ",IF($J148="","Sản phẩm chưa có trong BẢNG GIÁ GỐC; ",""))&amp;IF(N($I148)&lt;=0,"Thiếu số lượng; ","")&amp;IF(N($K148)&lt;=0,"Thiếu giá bán; ","")&amp;IF(AND($N148&gt;0,$F148=""),"Khách lấy VAT thiếu mã số thuế; ","")&amp;IF(N($Q148)&gt;$P148,"Đã thu vượt tổng phải thu; ","")&amp;IF(AND($L148&gt;0,$U148&lt;0),"CẢNH BÁO: ĐƠN NÀY ĐANG LỖ; ","")))</f>
        <v/>
      </c>
      <c r="Y148" s="16" t="str">
        <f aca="false">IF(AND($C148&lt;&gt;"",$R148&gt;0),COUNTIFS($C$6:$C148,"&lt;&gt;",$R$6:$R148,"&gt;0"),"")</f>
        <v/>
      </c>
      <c r="Z148" s="16" t="str">
        <f aca="false">IF(AND($H148&lt;&gt;"",N($N148)&gt;0),COUNTIFS($H$6:$H148,"&lt;&gt;",$N$6:$N148,"&gt;0"),"")</f>
        <v/>
      </c>
      <c r="AA148" s="16" t="str">
        <f aca="false">IF(AND($H148&lt;&gt;"",N($N148)=0),COUNTIFS($H$6:$H148,"&lt;&gt;",$N$6:$N148,"&lt;=0"),"")</f>
        <v/>
      </c>
      <c r="AB148" s="16" t="str">
        <f aca="false">IF($C148="","",IF(COUNTIF($C$6:$C148,$C148)&gt;1,"",MAX($AB$5:AB147)+1))</f>
        <v/>
      </c>
      <c r="AC148" s="16" t="str">
        <f aca="false">IF($H148="","",IF(COUNTIF($H$6:$H148,$H148)&gt;1,"",MAX($AC$5:AC147)+1))</f>
        <v/>
      </c>
    </row>
    <row r="149" customFormat="false" ht="15" hidden="false" customHeight="false" outlineLevel="0" collapsed="false">
      <c r="A149" s="16" t="str">
        <f aca="false">IF($C149="","",COUNTA($C$6:$C149))</f>
        <v/>
      </c>
      <c r="B149" s="17"/>
      <c r="C149" s="8"/>
      <c r="D149" s="8"/>
      <c r="E149" s="8"/>
      <c r="F149" s="8"/>
      <c r="G149" s="8"/>
      <c r="H149" s="8"/>
      <c r="I149" s="9"/>
      <c r="J149" s="10" t="str">
        <f aca="false">IF($H149="","",IFERROR(VLOOKUP($H149,'BẢNG GIÁ GỐC'!$A$5:$D$204,3,FALSE()),""))</f>
        <v/>
      </c>
      <c r="K149" s="9"/>
      <c r="L149" s="10" t="str">
        <f aca="false">IF($C149="","",N($I149)*N($K149))</f>
        <v/>
      </c>
      <c r="M149" s="8"/>
      <c r="N149" s="11" t="str">
        <f aca="false">IF($C149="","",IF($M149="VAT 5%",0.05,IF($M149="VAT 8%",0.08,IF($M149="VAT 10%",0.1,0))))</f>
        <v/>
      </c>
      <c r="O149" s="10" t="str">
        <f aca="false">IF($C149="","",$L149*$N149)</f>
        <v/>
      </c>
      <c r="P149" s="10" t="str">
        <f aca="false">IF($C149="","",$L149+$O149)</f>
        <v/>
      </c>
      <c r="Q149" s="9"/>
      <c r="R149" s="10" t="str">
        <f aca="false">IF($C149="","",MAX(0,$P149-N($Q149)))</f>
        <v/>
      </c>
      <c r="S149" s="19" t="str">
        <f aca="false">IF(OR($C149="",$P149=0),"",IF(N($Q149)&lt;=0,"Chưa thanh toán",IF(N($Q149)&lt;$P149,"Thanh toán một phần","Đã thanh toán")))</f>
        <v/>
      </c>
      <c r="T149" s="10" t="str">
        <f aca="false">IF(OR($C149="",$J149=""),"",N($I149)*$J149)</f>
        <v/>
      </c>
      <c r="U149" s="10" t="str">
        <f aca="false">IF(OR($C149="",$T149=""),"",$L149-$T149)</f>
        <v/>
      </c>
      <c r="V149" s="11" t="str">
        <f aca="false">IF(OR($U149="",$L149=0),"",$U149/$L149)</f>
        <v/>
      </c>
      <c r="W149" s="8"/>
      <c r="X149" s="19" t="str">
        <f aca="false">IF($C149="","",IF(AND($H149="",N($I149)=0,N($K149)=0),"Dòng chỉ lưu thông tin khách (chưa có đơn); ",IF($B149="","Thiếu ngày đặt; ","")&amp;IF($H149="","Thiếu tên sản phẩm; ",IF($J149="","Sản phẩm chưa có trong BẢNG GIÁ GỐC; ",""))&amp;IF(N($I149)&lt;=0,"Thiếu số lượng; ","")&amp;IF(N($K149)&lt;=0,"Thiếu giá bán; ","")&amp;IF(AND($N149&gt;0,$F149=""),"Khách lấy VAT thiếu mã số thuế; ","")&amp;IF(N($Q149)&gt;$P149,"Đã thu vượt tổng phải thu; ","")&amp;IF(AND($L149&gt;0,$U149&lt;0),"CẢNH BÁO: ĐƠN NÀY ĐANG LỖ; ","")))</f>
        <v/>
      </c>
      <c r="Y149" s="16" t="str">
        <f aca="false">IF(AND($C149&lt;&gt;"",$R149&gt;0),COUNTIFS($C$6:$C149,"&lt;&gt;",$R$6:$R149,"&gt;0"),"")</f>
        <v/>
      </c>
      <c r="Z149" s="16" t="str">
        <f aca="false">IF(AND($H149&lt;&gt;"",N($N149)&gt;0),COUNTIFS($H$6:$H149,"&lt;&gt;",$N$6:$N149,"&gt;0"),"")</f>
        <v/>
      </c>
      <c r="AA149" s="16" t="str">
        <f aca="false">IF(AND($H149&lt;&gt;"",N($N149)=0),COUNTIFS($H$6:$H149,"&lt;&gt;",$N$6:$N149,"&lt;=0"),"")</f>
        <v/>
      </c>
      <c r="AB149" s="16" t="str">
        <f aca="false">IF($C149="","",IF(COUNTIF($C$6:$C149,$C149)&gt;1,"",MAX($AB$5:AB148)+1))</f>
        <v/>
      </c>
      <c r="AC149" s="16" t="str">
        <f aca="false">IF($H149="","",IF(COUNTIF($H$6:$H149,$H149)&gt;1,"",MAX($AC$5:AC148)+1))</f>
        <v/>
      </c>
    </row>
    <row r="150" customFormat="false" ht="15" hidden="false" customHeight="false" outlineLevel="0" collapsed="false">
      <c r="A150" s="16" t="str">
        <f aca="false">IF($C150="","",COUNTA($C$6:$C150))</f>
        <v/>
      </c>
      <c r="B150" s="17"/>
      <c r="C150" s="8"/>
      <c r="D150" s="8"/>
      <c r="E150" s="8"/>
      <c r="F150" s="8"/>
      <c r="G150" s="8"/>
      <c r="H150" s="8"/>
      <c r="I150" s="9"/>
      <c r="J150" s="10" t="str">
        <f aca="false">IF($H150="","",IFERROR(VLOOKUP($H150,'BẢNG GIÁ GỐC'!$A$5:$D$204,3,FALSE()),""))</f>
        <v/>
      </c>
      <c r="K150" s="9"/>
      <c r="L150" s="10" t="str">
        <f aca="false">IF($C150="","",N($I150)*N($K150))</f>
        <v/>
      </c>
      <c r="M150" s="8"/>
      <c r="N150" s="11" t="str">
        <f aca="false">IF($C150="","",IF($M150="VAT 5%",0.05,IF($M150="VAT 8%",0.08,IF($M150="VAT 10%",0.1,0))))</f>
        <v/>
      </c>
      <c r="O150" s="10" t="str">
        <f aca="false">IF($C150="","",$L150*$N150)</f>
        <v/>
      </c>
      <c r="P150" s="10" t="str">
        <f aca="false">IF($C150="","",$L150+$O150)</f>
        <v/>
      </c>
      <c r="Q150" s="9"/>
      <c r="R150" s="10" t="str">
        <f aca="false">IF($C150="","",MAX(0,$P150-N($Q150)))</f>
        <v/>
      </c>
      <c r="S150" s="19" t="str">
        <f aca="false">IF(OR($C150="",$P150=0),"",IF(N($Q150)&lt;=0,"Chưa thanh toán",IF(N($Q150)&lt;$P150,"Thanh toán một phần","Đã thanh toán")))</f>
        <v/>
      </c>
      <c r="T150" s="10" t="str">
        <f aca="false">IF(OR($C150="",$J150=""),"",N($I150)*$J150)</f>
        <v/>
      </c>
      <c r="U150" s="10" t="str">
        <f aca="false">IF(OR($C150="",$T150=""),"",$L150-$T150)</f>
        <v/>
      </c>
      <c r="V150" s="11" t="str">
        <f aca="false">IF(OR($U150="",$L150=0),"",$U150/$L150)</f>
        <v/>
      </c>
      <c r="W150" s="8"/>
      <c r="X150" s="19" t="str">
        <f aca="false">IF($C150="","",IF(AND($H150="",N($I150)=0,N($K150)=0),"Dòng chỉ lưu thông tin khách (chưa có đơn); ",IF($B150="","Thiếu ngày đặt; ","")&amp;IF($H150="","Thiếu tên sản phẩm; ",IF($J150="","Sản phẩm chưa có trong BẢNG GIÁ GỐC; ",""))&amp;IF(N($I150)&lt;=0,"Thiếu số lượng; ","")&amp;IF(N($K150)&lt;=0,"Thiếu giá bán; ","")&amp;IF(AND($N150&gt;0,$F150=""),"Khách lấy VAT thiếu mã số thuế; ","")&amp;IF(N($Q150)&gt;$P150,"Đã thu vượt tổng phải thu; ","")&amp;IF(AND($L150&gt;0,$U150&lt;0),"CẢNH BÁO: ĐƠN NÀY ĐANG LỖ; ","")))</f>
        <v/>
      </c>
      <c r="Y150" s="16" t="str">
        <f aca="false">IF(AND($C150&lt;&gt;"",$R150&gt;0),COUNTIFS($C$6:$C150,"&lt;&gt;",$R$6:$R150,"&gt;0"),"")</f>
        <v/>
      </c>
      <c r="Z150" s="16" t="str">
        <f aca="false">IF(AND($H150&lt;&gt;"",N($N150)&gt;0),COUNTIFS($H$6:$H150,"&lt;&gt;",$N$6:$N150,"&gt;0"),"")</f>
        <v/>
      </c>
      <c r="AA150" s="16" t="str">
        <f aca="false">IF(AND($H150&lt;&gt;"",N($N150)=0),COUNTIFS($H$6:$H150,"&lt;&gt;",$N$6:$N150,"&lt;=0"),"")</f>
        <v/>
      </c>
      <c r="AB150" s="16" t="str">
        <f aca="false">IF($C150="","",IF(COUNTIF($C$6:$C150,$C150)&gt;1,"",MAX($AB$5:AB149)+1))</f>
        <v/>
      </c>
      <c r="AC150" s="16" t="str">
        <f aca="false">IF($H150="","",IF(COUNTIF($H$6:$H150,$H150)&gt;1,"",MAX($AC$5:AC149)+1))</f>
        <v/>
      </c>
    </row>
    <row r="151" customFormat="false" ht="15" hidden="false" customHeight="false" outlineLevel="0" collapsed="false">
      <c r="A151" s="16" t="str">
        <f aca="false">IF($C151="","",COUNTA($C$6:$C151))</f>
        <v/>
      </c>
      <c r="B151" s="17"/>
      <c r="C151" s="8"/>
      <c r="D151" s="8"/>
      <c r="E151" s="8"/>
      <c r="F151" s="8"/>
      <c r="G151" s="8"/>
      <c r="H151" s="8"/>
      <c r="I151" s="9"/>
      <c r="J151" s="10" t="str">
        <f aca="false">IF($H151="","",IFERROR(VLOOKUP($H151,'BẢNG GIÁ GỐC'!$A$5:$D$204,3,FALSE()),""))</f>
        <v/>
      </c>
      <c r="K151" s="9"/>
      <c r="L151" s="10" t="str">
        <f aca="false">IF($C151="","",N($I151)*N($K151))</f>
        <v/>
      </c>
      <c r="M151" s="8"/>
      <c r="N151" s="11" t="str">
        <f aca="false">IF($C151="","",IF($M151="VAT 5%",0.05,IF($M151="VAT 8%",0.08,IF($M151="VAT 10%",0.1,0))))</f>
        <v/>
      </c>
      <c r="O151" s="10" t="str">
        <f aca="false">IF($C151="","",$L151*$N151)</f>
        <v/>
      </c>
      <c r="P151" s="10" t="str">
        <f aca="false">IF($C151="","",$L151+$O151)</f>
        <v/>
      </c>
      <c r="Q151" s="9"/>
      <c r="R151" s="10" t="str">
        <f aca="false">IF($C151="","",MAX(0,$P151-N($Q151)))</f>
        <v/>
      </c>
      <c r="S151" s="19" t="str">
        <f aca="false">IF(OR($C151="",$P151=0),"",IF(N($Q151)&lt;=0,"Chưa thanh toán",IF(N($Q151)&lt;$P151,"Thanh toán một phần","Đã thanh toán")))</f>
        <v/>
      </c>
      <c r="T151" s="10" t="str">
        <f aca="false">IF(OR($C151="",$J151=""),"",N($I151)*$J151)</f>
        <v/>
      </c>
      <c r="U151" s="10" t="str">
        <f aca="false">IF(OR($C151="",$T151=""),"",$L151-$T151)</f>
        <v/>
      </c>
      <c r="V151" s="11" t="str">
        <f aca="false">IF(OR($U151="",$L151=0),"",$U151/$L151)</f>
        <v/>
      </c>
      <c r="W151" s="8"/>
      <c r="X151" s="19" t="str">
        <f aca="false">IF($C151="","",IF(AND($H151="",N($I151)=0,N($K151)=0),"Dòng chỉ lưu thông tin khách (chưa có đơn); ",IF($B151="","Thiếu ngày đặt; ","")&amp;IF($H151="","Thiếu tên sản phẩm; ",IF($J151="","Sản phẩm chưa có trong BẢNG GIÁ GỐC; ",""))&amp;IF(N($I151)&lt;=0,"Thiếu số lượng; ","")&amp;IF(N($K151)&lt;=0,"Thiếu giá bán; ","")&amp;IF(AND($N151&gt;0,$F151=""),"Khách lấy VAT thiếu mã số thuế; ","")&amp;IF(N($Q151)&gt;$P151,"Đã thu vượt tổng phải thu; ","")&amp;IF(AND($L151&gt;0,$U151&lt;0),"CẢNH BÁO: ĐƠN NÀY ĐANG LỖ; ","")))</f>
        <v/>
      </c>
      <c r="Y151" s="16" t="str">
        <f aca="false">IF(AND($C151&lt;&gt;"",$R151&gt;0),COUNTIFS($C$6:$C151,"&lt;&gt;",$R$6:$R151,"&gt;0"),"")</f>
        <v/>
      </c>
      <c r="Z151" s="16" t="str">
        <f aca="false">IF(AND($H151&lt;&gt;"",N($N151)&gt;0),COUNTIFS($H$6:$H151,"&lt;&gt;",$N$6:$N151,"&gt;0"),"")</f>
        <v/>
      </c>
      <c r="AA151" s="16" t="str">
        <f aca="false">IF(AND($H151&lt;&gt;"",N($N151)=0),COUNTIFS($H$6:$H151,"&lt;&gt;",$N$6:$N151,"&lt;=0"),"")</f>
        <v/>
      </c>
      <c r="AB151" s="16" t="str">
        <f aca="false">IF($C151="","",IF(COUNTIF($C$6:$C151,$C151)&gt;1,"",MAX($AB$5:AB150)+1))</f>
        <v/>
      </c>
      <c r="AC151" s="16" t="str">
        <f aca="false">IF($H151="","",IF(COUNTIF($H$6:$H151,$H151)&gt;1,"",MAX($AC$5:AC150)+1))</f>
        <v/>
      </c>
    </row>
    <row r="152" customFormat="false" ht="15" hidden="false" customHeight="false" outlineLevel="0" collapsed="false">
      <c r="A152" s="16" t="str">
        <f aca="false">IF($C152="","",COUNTA($C$6:$C152))</f>
        <v/>
      </c>
      <c r="B152" s="17"/>
      <c r="C152" s="8"/>
      <c r="D152" s="8"/>
      <c r="E152" s="8"/>
      <c r="F152" s="8"/>
      <c r="G152" s="8"/>
      <c r="H152" s="8"/>
      <c r="I152" s="9"/>
      <c r="J152" s="10" t="str">
        <f aca="false">IF($H152="","",IFERROR(VLOOKUP($H152,'BẢNG GIÁ GỐC'!$A$5:$D$204,3,FALSE()),""))</f>
        <v/>
      </c>
      <c r="K152" s="9"/>
      <c r="L152" s="10" t="str">
        <f aca="false">IF($C152="","",N($I152)*N($K152))</f>
        <v/>
      </c>
      <c r="M152" s="8"/>
      <c r="N152" s="11" t="str">
        <f aca="false">IF($C152="","",IF($M152="VAT 5%",0.05,IF($M152="VAT 8%",0.08,IF($M152="VAT 10%",0.1,0))))</f>
        <v/>
      </c>
      <c r="O152" s="10" t="str">
        <f aca="false">IF($C152="","",$L152*$N152)</f>
        <v/>
      </c>
      <c r="P152" s="10" t="str">
        <f aca="false">IF($C152="","",$L152+$O152)</f>
        <v/>
      </c>
      <c r="Q152" s="9"/>
      <c r="R152" s="10" t="str">
        <f aca="false">IF($C152="","",MAX(0,$P152-N($Q152)))</f>
        <v/>
      </c>
      <c r="S152" s="19" t="str">
        <f aca="false">IF(OR($C152="",$P152=0),"",IF(N($Q152)&lt;=0,"Chưa thanh toán",IF(N($Q152)&lt;$P152,"Thanh toán một phần","Đã thanh toán")))</f>
        <v/>
      </c>
      <c r="T152" s="10" t="str">
        <f aca="false">IF(OR($C152="",$J152=""),"",N($I152)*$J152)</f>
        <v/>
      </c>
      <c r="U152" s="10" t="str">
        <f aca="false">IF(OR($C152="",$T152=""),"",$L152-$T152)</f>
        <v/>
      </c>
      <c r="V152" s="11" t="str">
        <f aca="false">IF(OR($U152="",$L152=0),"",$U152/$L152)</f>
        <v/>
      </c>
      <c r="W152" s="8"/>
      <c r="X152" s="19" t="str">
        <f aca="false">IF($C152="","",IF(AND($H152="",N($I152)=0,N($K152)=0),"Dòng chỉ lưu thông tin khách (chưa có đơn); ",IF($B152="","Thiếu ngày đặt; ","")&amp;IF($H152="","Thiếu tên sản phẩm; ",IF($J152="","Sản phẩm chưa có trong BẢNG GIÁ GỐC; ",""))&amp;IF(N($I152)&lt;=0,"Thiếu số lượng; ","")&amp;IF(N($K152)&lt;=0,"Thiếu giá bán; ","")&amp;IF(AND($N152&gt;0,$F152=""),"Khách lấy VAT thiếu mã số thuế; ","")&amp;IF(N($Q152)&gt;$P152,"Đã thu vượt tổng phải thu; ","")&amp;IF(AND($L152&gt;0,$U152&lt;0),"CẢNH BÁO: ĐƠN NÀY ĐANG LỖ; ","")))</f>
        <v/>
      </c>
      <c r="Y152" s="16" t="str">
        <f aca="false">IF(AND($C152&lt;&gt;"",$R152&gt;0),COUNTIFS($C$6:$C152,"&lt;&gt;",$R$6:$R152,"&gt;0"),"")</f>
        <v/>
      </c>
      <c r="Z152" s="16" t="str">
        <f aca="false">IF(AND($H152&lt;&gt;"",N($N152)&gt;0),COUNTIFS($H$6:$H152,"&lt;&gt;",$N$6:$N152,"&gt;0"),"")</f>
        <v/>
      </c>
      <c r="AA152" s="16" t="str">
        <f aca="false">IF(AND($H152&lt;&gt;"",N($N152)=0),COUNTIFS($H$6:$H152,"&lt;&gt;",$N$6:$N152,"&lt;=0"),"")</f>
        <v/>
      </c>
      <c r="AB152" s="16" t="str">
        <f aca="false">IF($C152="","",IF(COUNTIF($C$6:$C152,$C152)&gt;1,"",MAX($AB$5:AB151)+1))</f>
        <v/>
      </c>
      <c r="AC152" s="16" t="str">
        <f aca="false">IF($H152="","",IF(COUNTIF($H$6:$H152,$H152)&gt;1,"",MAX($AC$5:AC151)+1))</f>
        <v/>
      </c>
    </row>
    <row r="153" customFormat="false" ht="15" hidden="false" customHeight="false" outlineLevel="0" collapsed="false">
      <c r="A153" s="16" t="str">
        <f aca="false">IF($C153="","",COUNTA($C$6:$C153))</f>
        <v/>
      </c>
      <c r="B153" s="17"/>
      <c r="C153" s="8"/>
      <c r="D153" s="8"/>
      <c r="E153" s="8"/>
      <c r="F153" s="8"/>
      <c r="G153" s="8"/>
      <c r="H153" s="8"/>
      <c r="I153" s="9"/>
      <c r="J153" s="10" t="str">
        <f aca="false">IF($H153="","",IFERROR(VLOOKUP($H153,'BẢNG GIÁ GỐC'!$A$5:$D$204,3,FALSE()),""))</f>
        <v/>
      </c>
      <c r="K153" s="9"/>
      <c r="L153" s="10" t="str">
        <f aca="false">IF($C153="","",N($I153)*N($K153))</f>
        <v/>
      </c>
      <c r="M153" s="8"/>
      <c r="N153" s="11" t="str">
        <f aca="false">IF($C153="","",IF($M153="VAT 5%",0.05,IF($M153="VAT 8%",0.08,IF($M153="VAT 10%",0.1,0))))</f>
        <v/>
      </c>
      <c r="O153" s="10" t="str">
        <f aca="false">IF($C153="","",$L153*$N153)</f>
        <v/>
      </c>
      <c r="P153" s="10" t="str">
        <f aca="false">IF($C153="","",$L153+$O153)</f>
        <v/>
      </c>
      <c r="Q153" s="9"/>
      <c r="R153" s="10" t="str">
        <f aca="false">IF($C153="","",MAX(0,$P153-N($Q153)))</f>
        <v/>
      </c>
      <c r="S153" s="19" t="str">
        <f aca="false">IF(OR($C153="",$P153=0),"",IF(N($Q153)&lt;=0,"Chưa thanh toán",IF(N($Q153)&lt;$P153,"Thanh toán một phần","Đã thanh toán")))</f>
        <v/>
      </c>
      <c r="T153" s="10" t="str">
        <f aca="false">IF(OR($C153="",$J153=""),"",N($I153)*$J153)</f>
        <v/>
      </c>
      <c r="U153" s="10" t="str">
        <f aca="false">IF(OR($C153="",$T153=""),"",$L153-$T153)</f>
        <v/>
      </c>
      <c r="V153" s="11" t="str">
        <f aca="false">IF(OR($U153="",$L153=0),"",$U153/$L153)</f>
        <v/>
      </c>
      <c r="W153" s="8"/>
      <c r="X153" s="19" t="str">
        <f aca="false">IF($C153="","",IF(AND($H153="",N($I153)=0,N($K153)=0),"Dòng chỉ lưu thông tin khách (chưa có đơn); ",IF($B153="","Thiếu ngày đặt; ","")&amp;IF($H153="","Thiếu tên sản phẩm; ",IF($J153="","Sản phẩm chưa có trong BẢNG GIÁ GỐC; ",""))&amp;IF(N($I153)&lt;=0,"Thiếu số lượng; ","")&amp;IF(N($K153)&lt;=0,"Thiếu giá bán; ","")&amp;IF(AND($N153&gt;0,$F153=""),"Khách lấy VAT thiếu mã số thuế; ","")&amp;IF(N($Q153)&gt;$P153,"Đã thu vượt tổng phải thu; ","")&amp;IF(AND($L153&gt;0,$U153&lt;0),"CẢNH BÁO: ĐƠN NÀY ĐANG LỖ; ","")))</f>
        <v/>
      </c>
      <c r="Y153" s="16" t="str">
        <f aca="false">IF(AND($C153&lt;&gt;"",$R153&gt;0),COUNTIFS($C$6:$C153,"&lt;&gt;",$R$6:$R153,"&gt;0"),"")</f>
        <v/>
      </c>
      <c r="Z153" s="16" t="str">
        <f aca="false">IF(AND($H153&lt;&gt;"",N($N153)&gt;0),COUNTIFS($H$6:$H153,"&lt;&gt;",$N$6:$N153,"&gt;0"),"")</f>
        <v/>
      </c>
      <c r="AA153" s="16" t="str">
        <f aca="false">IF(AND($H153&lt;&gt;"",N($N153)=0),COUNTIFS($H$6:$H153,"&lt;&gt;",$N$6:$N153,"&lt;=0"),"")</f>
        <v/>
      </c>
      <c r="AB153" s="16" t="str">
        <f aca="false">IF($C153="","",IF(COUNTIF($C$6:$C153,$C153)&gt;1,"",MAX($AB$5:AB152)+1))</f>
        <v/>
      </c>
      <c r="AC153" s="16" t="str">
        <f aca="false">IF($H153="","",IF(COUNTIF($H$6:$H153,$H153)&gt;1,"",MAX($AC$5:AC152)+1))</f>
        <v/>
      </c>
    </row>
    <row r="154" customFormat="false" ht="15" hidden="false" customHeight="false" outlineLevel="0" collapsed="false">
      <c r="A154" s="16" t="str">
        <f aca="false">IF($C154="","",COUNTA($C$6:$C154))</f>
        <v/>
      </c>
      <c r="B154" s="17"/>
      <c r="C154" s="8"/>
      <c r="D154" s="8"/>
      <c r="E154" s="8"/>
      <c r="F154" s="8"/>
      <c r="G154" s="8"/>
      <c r="H154" s="8"/>
      <c r="I154" s="9"/>
      <c r="J154" s="10" t="str">
        <f aca="false">IF($H154="","",IFERROR(VLOOKUP($H154,'BẢNG GIÁ GỐC'!$A$5:$D$204,3,FALSE()),""))</f>
        <v/>
      </c>
      <c r="K154" s="9"/>
      <c r="L154" s="10" t="str">
        <f aca="false">IF($C154="","",N($I154)*N($K154))</f>
        <v/>
      </c>
      <c r="M154" s="8"/>
      <c r="N154" s="11" t="str">
        <f aca="false">IF($C154="","",IF($M154="VAT 5%",0.05,IF($M154="VAT 8%",0.08,IF($M154="VAT 10%",0.1,0))))</f>
        <v/>
      </c>
      <c r="O154" s="10" t="str">
        <f aca="false">IF($C154="","",$L154*$N154)</f>
        <v/>
      </c>
      <c r="P154" s="10" t="str">
        <f aca="false">IF($C154="","",$L154+$O154)</f>
        <v/>
      </c>
      <c r="Q154" s="9"/>
      <c r="R154" s="10" t="str">
        <f aca="false">IF($C154="","",MAX(0,$P154-N($Q154)))</f>
        <v/>
      </c>
      <c r="S154" s="19" t="str">
        <f aca="false">IF(OR($C154="",$P154=0),"",IF(N($Q154)&lt;=0,"Chưa thanh toán",IF(N($Q154)&lt;$P154,"Thanh toán một phần","Đã thanh toán")))</f>
        <v/>
      </c>
      <c r="T154" s="10" t="str">
        <f aca="false">IF(OR($C154="",$J154=""),"",N($I154)*$J154)</f>
        <v/>
      </c>
      <c r="U154" s="10" t="str">
        <f aca="false">IF(OR($C154="",$T154=""),"",$L154-$T154)</f>
        <v/>
      </c>
      <c r="V154" s="11" t="str">
        <f aca="false">IF(OR($U154="",$L154=0),"",$U154/$L154)</f>
        <v/>
      </c>
      <c r="W154" s="8"/>
      <c r="X154" s="19" t="str">
        <f aca="false">IF($C154="","",IF(AND($H154="",N($I154)=0,N($K154)=0),"Dòng chỉ lưu thông tin khách (chưa có đơn); ",IF($B154="","Thiếu ngày đặt; ","")&amp;IF($H154="","Thiếu tên sản phẩm; ",IF($J154="","Sản phẩm chưa có trong BẢNG GIÁ GỐC; ",""))&amp;IF(N($I154)&lt;=0,"Thiếu số lượng; ","")&amp;IF(N($K154)&lt;=0,"Thiếu giá bán; ","")&amp;IF(AND($N154&gt;0,$F154=""),"Khách lấy VAT thiếu mã số thuế; ","")&amp;IF(N($Q154)&gt;$P154,"Đã thu vượt tổng phải thu; ","")&amp;IF(AND($L154&gt;0,$U154&lt;0),"CẢNH BÁO: ĐƠN NÀY ĐANG LỖ; ","")))</f>
        <v/>
      </c>
      <c r="Y154" s="16" t="str">
        <f aca="false">IF(AND($C154&lt;&gt;"",$R154&gt;0),COUNTIFS($C$6:$C154,"&lt;&gt;",$R$6:$R154,"&gt;0"),"")</f>
        <v/>
      </c>
      <c r="Z154" s="16" t="str">
        <f aca="false">IF(AND($H154&lt;&gt;"",N($N154)&gt;0),COUNTIFS($H$6:$H154,"&lt;&gt;",$N$6:$N154,"&gt;0"),"")</f>
        <v/>
      </c>
      <c r="AA154" s="16" t="str">
        <f aca="false">IF(AND($H154&lt;&gt;"",N($N154)=0),COUNTIFS($H$6:$H154,"&lt;&gt;",$N$6:$N154,"&lt;=0"),"")</f>
        <v/>
      </c>
      <c r="AB154" s="16" t="str">
        <f aca="false">IF($C154="","",IF(COUNTIF($C$6:$C154,$C154)&gt;1,"",MAX($AB$5:AB153)+1))</f>
        <v/>
      </c>
      <c r="AC154" s="16" t="str">
        <f aca="false">IF($H154="","",IF(COUNTIF($H$6:$H154,$H154)&gt;1,"",MAX($AC$5:AC153)+1))</f>
        <v/>
      </c>
    </row>
    <row r="155" customFormat="false" ht="15" hidden="false" customHeight="false" outlineLevel="0" collapsed="false">
      <c r="A155" s="16" t="str">
        <f aca="false">IF($C155="","",COUNTA($C$6:$C155))</f>
        <v/>
      </c>
      <c r="B155" s="17"/>
      <c r="C155" s="8"/>
      <c r="D155" s="8"/>
      <c r="E155" s="8"/>
      <c r="F155" s="8"/>
      <c r="G155" s="8"/>
      <c r="H155" s="8"/>
      <c r="I155" s="9"/>
      <c r="J155" s="10" t="str">
        <f aca="false">IF($H155="","",IFERROR(VLOOKUP($H155,'BẢNG GIÁ GỐC'!$A$5:$D$204,3,FALSE()),""))</f>
        <v/>
      </c>
      <c r="K155" s="9"/>
      <c r="L155" s="10" t="str">
        <f aca="false">IF($C155="","",N($I155)*N($K155))</f>
        <v/>
      </c>
      <c r="M155" s="8"/>
      <c r="N155" s="11" t="str">
        <f aca="false">IF($C155="","",IF($M155="VAT 5%",0.05,IF($M155="VAT 8%",0.08,IF($M155="VAT 10%",0.1,0))))</f>
        <v/>
      </c>
      <c r="O155" s="10" t="str">
        <f aca="false">IF($C155="","",$L155*$N155)</f>
        <v/>
      </c>
      <c r="P155" s="10" t="str">
        <f aca="false">IF($C155="","",$L155+$O155)</f>
        <v/>
      </c>
      <c r="Q155" s="9"/>
      <c r="R155" s="10" t="str">
        <f aca="false">IF($C155="","",MAX(0,$P155-N($Q155)))</f>
        <v/>
      </c>
      <c r="S155" s="19" t="str">
        <f aca="false">IF(OR($C155="",$P155=0),"",IF(N($Q155)&lt;=0,"Chưa thanh toán",IF(N($Q155)&lt;$P155,"Thanh toán một phần","Đã thanh toán")))</f>
        <v/>
      </c>
      <c r="T155" s="10" t="str">
        <f aca="false">IF(OR($C155="",$J155=""),"",N($I155)*$J155)</f>
        <v/>
      </c>
      <c r="U155" s="10" t="str">
        <f aca="false">IF(OR($C155="",$T155=""),"",$L155-$T155)</f>
        <v/>
      </c>
      <c r="V155" s="11" t="str">
        <f aca="false">IF(OR($U155="",$L155=0),"",$U155/$L155)</f>
        <v/>
      </c>
      <c r="W155" s="8"/>
      <c r="X155" s="19" t="str">
        <f aca="false">IF($C155="","",IF(AND($H155="",N($I155)=0,N($K155)=0),"Dòng chỉ lưu thông tin khách (chưa có đơn); ",IF($B155="","Thiếu ngày đặt; ","")&amp;IF($H155="","Thiếu tên sản phẩm; ",IF($J155="","Sản phẩm chưa có trong BẢNG GIÁ GỐC; ",""))&amp;IF(N($I155)&lt;=0,"Thiếu số lượng; ","")&amp;IF(N($K155)&lt;=0,"Thiếu giá bán; ","")&amp;IF(AND($N155&gt;0,$F155=""),"Khách lấy VAT thiếu mã số thuế; ","")&amp;IF(N($Q155)&gt;$P155,"Đã thu vượt tổng phải thu; ","")&amp;IF(AND($L155&gt;0,$U155&lt;0),"CẢNH BÁO: ĐƠN NÀY ĐANG LỖ; ","")))</f>
        <v/>
      </c>
      <c r="Y155" s="16" t="str">
        <f aca="false">IF(AND($C155&lt;&gt;"",$R155&gt;0),COUNTIFS($C$6:$C155,"&lt;&gt;",$R$6:$R155,"&gt;0"),"")</f>
        <v/>
      </c>
      <c r="Z155" s="16" t="str">
        <f aca="false">IF(AND($H155&lt;&gt;"",N($N155)&gt;0),COUNTIFS($H$6:$H155,"&lt;&gt;",$N$6:$N155,"&gt;0"),"")</f>
        <v/>
      </c>
      <c r="AA155" s="16" t="str">
        <f aca="false">IF(AND($H155&lt;&gt;"",N($N155)=0),COUNTIFS($H$6:$H155,"&lt;&gt;",$N$6:$N155,"&lt;=0"),"")</f>
        <v/>
      </c>
      <c r="AB155" s="16" t="str">
        <f aca="false">IF($C155="","",IF(COUNTIF($C$6:$C155,$C155)&gt;1,"",MAX($AB$5:AB154)+1))</f>
        <v/>
      </c>
      <c r="AC155" s="16" t="str">
        <f aca="false">IF($H155="","",IF(COUNTIF($H$6:$H155,$H155)&gt;1,"",MAX($AC$5:AC154)+1))</f>
        <v/>
      </c>
    </row>
    <row r="156" customFormat="false" ht="15" hidden="false" customHeight="false" outlineLevel="0" collapsed="false">
      <c r="A156" s="16" t="str">
        <f aca="false">IF($C156="","",COUNTA($C$6:$C156))</f>
        <v/>
      </c>
      <c r="B156" s="17"/>
      <c r="C156" s="8"/>
      <c r="D156" s="8"/>
      <c r="E156" s="8"/>
      <c r="F156" s="8"/>
      <c r="G156" s="8"/>
      <c r="H156" s="8"/>
      <c r="I156" s="9"/>
      <c r="J156" s="10" t="str">
        <f aca="false">IF($H156="","",IFERROR(VLOOKUP($H156,'BẢNG GIÁ GỐC'!$A$5:$D$204,3,FALSE()),""))</f>
        <v/>
      </c>
      <c r="K156" s="9"/>
      <c r="L156" s="10" t="str">
        <f aca="false">IF($C156="","",N($I156)*N($K156))</f>
        <v/>
      </c>
      <c r="M156" s="8"/>
      <c r="N156" s="11" t="str">
        <f aca="false">IF($C156="","",IF($M156="VAT 5%",0.05,IF($M156="VAT 8%",0.08,IF($M156="VAT 10%",0.1,0))))</f>
        <v/>
      </c>
      <c r="O156" s="10" t="str">
        <f aca="false">IF($C156="","",$L156*$N156)</f>
        <v/>
      </c>
      <c r="P156" s="10" t="str">
        <f aca="false">IF($C156="","",$L156+$O156)</f>
        <v/>
      </c>
      <c r="Q156" s="9"/>
      <c r="R156" s="10" t="str">
        <f aca="false">IF($C156="","",MAX(0,$P156-N($Q156)))</f>
        <v/>
      </c>
      <c r="S156" s="19" t="str">
        <f aca="false">IF(OR($C156="",$P156=0),"",IF(N($Q156)&lt;=0,"Chưa thanh toán",IF(N($Q156)&lt;$P156,"Thanh toán một phần","Đã thanh toán")))</f>
        <v/>
      </c>
      <c r="T156" s="10" t="str">
        <f aca="false">IF(OR($C156="",$J156=""),"",N($I156)*$J156)</f>
        <v/>
      </c>
      <c r="U156" s="10" t="str">
        <f aca="false">IF(OR($C156="",$T156=""),"",$L156-$T156)</f>
        <v/>
      </c>
      <c r="V156" s="11" t="str">
        <f aca="false">IF(OR($U156="",$L156=0),"",$U156/$L156)</f>
        <v/>
      </c>
      <c r="W156" s="8"/>
      <c r="X156" s="19" t="str">
        <f aca="false">IF($C156="","",IF(AND($H156="",N($I156)=0,N($K156)=0),"Dòng chỉ lưu thông tin khách (chưa có đơn); ",IF($B156="","Thiếu ngày đặt; ","")&amp;IF($H156="","Thiếu tên sản phẩm; ",IF($J156="","Sản phẩm chưa có trong BẢNG GIÁ GỐC; ",""))&amp;IF(N($I156)&lt;=0,"Thiếu số lượng; ","")&amp;IF(N($K156)&lt;=0,"Thiếu giá bán; ","")&amp;IF(AND($N156&gt;0,$F156=""),"Khách lấy VAT thiếu mã số thuế; ","")&amp;IF(N($Q156)&gt;$P156,"Đã thu vượt tổng phải thu; ","")&amp;IF(AND($L156&gt;0,$U156&lt;0),"CẢNH BÁO: ĐƠN NÀY ĐANG LỖ; ","")))</f>
        <v/>
      </c>
      <c r="Y156" s="16" t="str">
        <f aca="false">IF(AND($C156&lt;&gt;"",$R156&gt;0),COUNTIFS($C$6:$C156,"&lt;&gt;",$R$6:$R156,"&gt;0"),"")</f>
        <v/>
      </c>
      <c r="Z156" s="16" t="str">
        <f aca="false">IF(AND($H156&lt;&gt;"",N($N156)&gt;0),COUNTIFS($H$6:$H156,"&lt;&gt;",$N$6:$N156,"&gt;0"),"")</f>
        <v/>
      </c>
      <c r="AA156" s="16" t="str">
        <f aca="false">IF(AND($H156&lt;&gt;"",N($N156)=0),COUNTIFS($H$6:$H156,"&lt;&gt;",$N$6:$N156,"&lt;=0"),"")</f>
        <v/>
      </c>
      <c r="AB156" s="16" t="str">
        <f aca="false">IF($C156="","",IF(COUNTIF($C$6:$C156,$C156)&gt;1,"",MAX($AB$5:AB155)+1))</f>
        <v/>
      </c>
      <c r="AC156" s="16" t="str">
        <f aca="false">IF($H156="","",IF(COUNTIF($H$6:$H156,$H156)&gt;1,"",MAX($AC$5:AC155)+1))</f>
        <v/>
      </c>
    </row>
    <row r="157" customFormat="false" ht="15" hidden="false" customHeight="false" outlineLevel="0" collapsed="false">
      <c r="A157" s="16" t="str">
        <f aca="false">IF($C157="","",COUNTA($C$6:$C157))</f>
        <v/>
      </c>
      <c r="B157" s="17"/>
      <c r="C157" s="8"/>
      <c r="D157" s="8"/>
      <c r="E157" s="8"/>
      <c r="F157" s="8"/>
      <c r="G157" s="8"/>
      <c r="H157" s="8"/>
      <c r="I157" s="9"/>
      <c r="J157" s="10" t="str">
        <f aca="false">IF($H157="","",IFERROR(VLOOKUP($H157,'BẢNG GIÁ GỐC'!$A$5:$D$204,3,FALSE()),""))</f>
        <v/>
      </c>
      <c r="K157" s="9"/>
      <c r="L157" s="10" t="str">
        <f aca="false">IF($C157="","",N($I157)*N($K157))</f>
        <v/>
      </c>
      <c r="M157" s="8"/>
      <c r="N157" s="11" t="str">
        <f aca="false">IF($C157="","",IF($M157="VAT 5%",0.05,IF($M157="VAT 8%",0.08,IF($M157="VAT 10%",0.1,0))))</f>
        <v/>
      </c>
      <c r="O157" s="10" t="str">
        <f aca="false">IF($C157="","",$L157*$N157)</f>
        <v/>
      </c>
      <c r="P157" s="10" t="str">
        <f aca="false">IF($C157="","",$L157+$O157)</f>
        <v/>
      </c>
      <c r="Q157" s="9"/>
      <c r="R157" s="10" t="str">
        <f aca="false">IF($C157="","",MAX(0,$P157-N($Q157)))</f>
        <v/>
      </c>
      <c r="S157" s="19" t="str">
        <f aca="false">IF(OR($C157="",$P157=0),"",IF(N($Q157)&lt;=0,"Chưa thanh toán",IF(N($Q157)&lt;$P157,"Thanh toán một phần","Đã thanh toán")))</f>
        <v/>
      </c>
      <c r="T157" s="10" t="str">
        <f aca="false">IF(OR($C157="",$J157=""),"",N($I157)*$J157)</f>
        <v/>
      </c>
      <c r="U157" s="10" t="str">
        <f aca="false">IF(OR($C157="",$T157=""),"",$L157-$T157)</f>
        <v/>
      </c>
      <c r="V157" s="11" t="str">
        <f aca="false">IF(OR($U157="",$L157=0),"",$U157/$L157)</f>
        <v/>
      </c>
      <c r="W157" s="8"/>
      <c r="X157" s="19" t="str">
        <f aca="false">IF($C157="","",IF(AND($H157="",N($I157)=0,N($K157)=0),"Dòng chỉ lưu thông tin khách (chưa có đơn); ",IF($B157="","Thiếu ngày đặt; ","")&amp;IF($H157="","Thiếu tên sản phẩm; ",IF($J157="","Sản phẩm chưa có trong BẢNG GIÁ GỐC; ",""))&amp;IF(N($I157)&lt;=0,"Thiếu số lượng; ","")&amp;IF(N($K157)&lt;=0,"Thiếu giá bán; ","")&amp;IF(AND($N157&gt;0,$F157=""),"Khách lấy VAT thiếu mã số thuế; ","")&amp;IF(N($Q157)&gt;$P157,"Đã thu vượt tổng phải thu; ","")&amp;IF(AND($L157&gt;0,$U157&lt;0),"CẢNH BÁO: ĐƠN NÀY ĐANG LỖ; ","")))</f>
        <v/>
      </c>
      <c r="Y157" s="16" t="str">
        <f aca="false">IF(AND($C157&lt;&gt;"",$R157&gt;0),COUNTIFS($C$6:$C157,"&lt;&gt;",$R$6:$R157,"&gt;0"),"")</f>
        <v/>
      </c>
      <c r="Z157" s="16" t="str">
        <f aca="false">IF(AND($H157&lt;&gt;"",N($N157)&gt;0),COUNTIFS($H$6:$H157,"&lt;&gt;",$N$6:$N157,"&gt;0"),"")</f>
        <v/>
      </c>
      <c r="AA157" s="16" t="str">
        <f aca="false">IF(AND($H157&lt;&gt;"",N($N157)=0),COUNTIFS($H$6:$H157,"&lt;&gt;",$N$6:$N157,"&lt;=0"),"")</f>
        <v/>
      </c>
      <c r="AB157" s="16" t="str">
        <f aca="false">IF($C157="","",IF(COUNTIF($C$6:$C157,$C157)&gt;1,"",MAX($AB$5:AB156)+1))</f>
        <v/>
      </c>
      <c r="AC157" s="16" t="str">
        <f aca="false">IF($H157="","",IF(COUNTIF($H$6:$H157,$H157)&gt;1,"",MAX($AC$5:AC156)+1))</f>
        <v/>
      </c>
    </row>
    <row r="158" customFormat="false" ht="15" hidden="false" customHeight="false" outlineLevel="0" collapsed="false">
      <c r="A158" s="16" t="str">
        <f aca="false">IF($C158="","",COUNTA($C$6:$C158))</f>
        <v/>
      </c>
      <c r="B158" s="17"/>
      <c r="C158" s="8"/>
      <c r="D158" s="8"/>
      <c r="E158" s="8"/>
      <c r="F158" s="8"/>
      <c r="G158" s="8"/>
      <c r="H158" s="8"/>
      <c r="I158" s="9"/>
      <c r="J158" s="10" t="str">
        <f aca="false">IF($H158="","",IFERROR(VLOOKUP($H158,'BẢNG GIÁ GỐC'!$A$5:$D$204,3,FALSE()),""))</f>
        <v/>
      </c>
      <c r="K158" s="9"/>
      <c r="L158" s="10" t="str">
        <f aca="false">IF($C158="","",N($I158)*N($K158))</f>
        <v/>
      </c>
      <c r="M158" s="8"/>
      <c r="N158" s="11" t="str">
        <f aca="false">IF($C158="","",IF($M158="VAT 5%",0.05,IF($M158="VAT 8%",0.08,IF($M158="VAT 10%",0.1,0))))</f>
        <v/>
      </c>
      <c r="O158" s="10" t="str">
        <f aca="false">IF($C158="","",$L158*$N158)</f>
        <v/>
      </c>
      <c r="P158" s="10" t="str">
        <f aca="false">IF($C158="","",$L158+$O158)</f>
        <v/>
      </c>
      <c r="Q158" s="9"/>
      <c r="R158" s="10" t="str">
        <f aca="false">IF($C158="","",MAX(0,$P158-N($Q158)))</f>
        <v/>
      </c>
      <c r="S158" s="19" t="str">
        <f aca="false">IF(OR($C158="",$P158=0),"",IF(N($Q158)&lt;=0,"Chưa thanh toán",IF(N($Q158)&lt;$P158,"Thanh toán một phần","Đã thanh toán")))</f>
        <v/>
      </c>
      <c r="T158" s="10" t="str">
        <f aca="false">IF(OR($C158="",$J158=""),"",N($I158)*$J158)</f>
        <v/>
      </c>
      <c r="U158" s="10" t="str">
        <f aca="false">IF(OR($C158="",$T158=""),"",$L158-$T158)</f>
        <v/>
      </c>
      <c r="V158" s="11" t="str">
        <f aca="false">IF(OR($U158="",$L158=0),"",$U158/$L158)</f>
        <v/>
      </c>
      <c r="W158" s="8"/>
      <c r="X158" s="19" t="str">
        <f aca="false">IF($C158="","",IF(AND($H158="",N($I158)=0,N($K158)=0),"Dòng chỉ lưu thông tin khách (chưa có đơn); ",IF($B158="","Thiếu ngày đặt; ","")&amp;IF($H158="","Thiếu tên sản phẩm; ",IF($J158="","Sản phẩm chưa có trong BẢNG GIÁ GỐC; ",""))&amp;IF(N($I158)&lt;=0,"Thiếu số lượng; ","")&amp;IF(N($K158)&lt;=0,"Thiếu giá bán; ","")&amp;IF(AND($N158&gt;0,$F158=""),"Khách lấy VAT thiếu mã số thuế; ","")&amp;IF(N($Q158)&gt;$P158,"Đã thu vượt tổng phải thu; ","")&amp;IF(AND($L158&gt;0,$U158&lt;0),"CẢNH BÁO: ĐƠN NÀY ĐANG LỖ; ","")))</f>
        <v/>
      </c>
      <c r="Y158" s="16" t="str">
        <f aca="false">IF(AND($C158&lt;&gt;"",$R158&gt;0),COUNTIFS($C$6:$C158,"&lt;&gt;",$R$6:$R158,"&gt;0"),"")</f>
        <v/>
      </c>
      <c r="Z158" s="16" t="str">
        <f aca="false">IF(AND($H158&lt;&gt;"",N($N158)&gt;0),COUNTIFS($H$6:$H158,"&lt;&gt;",$N$6:$N158,"&gt;0"),"")</f>
        <v/>
      </c>
      <c r="AA158" s="16" t="str">
        <f aca="false">IF(AND($H158&lt;&gt;"",N($N158)=0),COUNTIFS($H$6:$H158,"&lt;&gt;",$N$6:$N158,"&lt;=0"),"")</f>
        <v/>
      </c>
      <c r="AB158" s="16" t="str">
        <f aca="false">IF($C158="","",IF(COUNTIF($C$6:$C158,$C158)&gt;1,"",MAX($AB$5:AB157)+1))</f>
        <v/>
      </c>
      <c r="AC158" s="16" t="str">
        <f aca="false">IF($H158="","",IF(COUNTIF($H$6:$H158,$H158)&gt;1,"",MAX($AC$5:AC157)+1))</f>
        <v/>
      </c>
    </row>
    <row r="159" customFormat="false" ht="15" hidden="false" customHeight="false" outlineLevel="0" collapsed="false">
      <c r="A159" s="16" t="str">
        <f aca="false">IF($C159="","",COUNTA($C$6:$C159))</f>
        <v/>
      </c>
      <c r="B159" s="17"/>
      <c r="C159" s="8"/>
      <c r="D159" s="8"/>
      <c r="E159" s="8"/>
      <c r="F159" s="8"/>
      <c r="G159" s="8"/>
      <c r="H159" s="8"/>
      <c r="I159" s="9"/>
      <c r="J159" s="10" t="str">
        <f aca="false">IF($H159="","",IFERROR(VLOOKUP($H159,'BẢNG GIÁ GỐC'!$A$5:$D$204,3,FALSE()),""))</f>
        <v/>
      </c>
      <c r="K159" s="9"/>
      <c r="L159" s="10" t="str">
        <f aca="false">IF($C159="","",N($I159)*N($K159))</f>
        <v/>
      </c>
      <c r="M159" s="8"/>
      <c r="N159" s="11" t="str">
        <f aca="false">IF($C159="","",IF($M159="VAT 5%",0.05,IF($M159="VAT 8%",0.08,IF($M159="VAT 10%",0.1,0))))</f>
        <v/>
      </c>
      <c r="O159" s="10" t="str">
        <f aca="false">IF($C159="","",$L159*$N159)</f>
        <v/>
      </c>
      <c r="P159" s="10" t="str">
        <f aca="false">IF($C159="","",$L159+$O159)</f>
        <v/>
      </c>
      <c r="Q159" s="9"/>
      <c r="R159" s="10" t="str">
        <f aca="false">IF($C159="","",MAX(0,$P159-N($Q159)))</f>
        <v/>
      </c>
      <c r="S159" s="19" t="str">
        <f aca="false">IF(OR($C159="",$P159=0),"",IF(N($Q159)&lt;=0,"Chưa thanh toán",IF(N($Q159)&lt;$P159,"Thanh toán một phần","Đã thanh toán")))</f>
        <v/>
      </c>
      <c r="T159" s="10" t="str">
        <f aca="false">IF(OR($C159="",$J159=""),"",N($I159)*$J159)</f>
        <v/>
      </c>
      <c r="U159" s="10" t="str">
        <f aca="false">IF(OR($C159="",$T159=""),"",$L159-$T159)</f>
        <v/>
      </c>
      <c r="V159" s="11" t="str">
        <f aca="false">IF(OR($U159="",$L159=0),"",$U159/$L159)</f>
        <v/>
      </c>
      <c r="W159" s="8"/>
      <c r="X159" s="19" t="str">
        <f aca="false">IF($C159="","",IF(AND($H159="",N($I159)=0,N($K159)=0),"Dòng chỉ lưu thông tin khách (chưa có đơn); ",IF($B159="","Thiếu ngày đặt; ","")&amp;IF($H159="","Thiếu tên sản phẩm; ",IF($J159="","Sản phẩm chưa có trong BẢNG GIÁ GỐC; ",""))&amp;IF(N($I159)&lt;=0,"Thiếu số lượng; ","")&amp;IF(N($K159)&lt;=0,"Thiếu giá bán; ","")&amp;IF(AND($N159&gt;0,$F159=""),"Khách lấy VAT thiếu mã số thuế; ","")&amp;IF(N($Q159)&gt;$P159,"Đã thu vượt tổng phải thu; ","")&amp;IF(AND($L159&gt;0,$U159&lt;0),"CẢNH BÁO: ĐƠN NÀY ĐANG LỖ; ","")))</f>
        <v/>
      </c>
      <c r="Y159" s="16" t="str">
        <f aca="false">IF(AND($C159&lt;&gt;"",$R159&gt;0),COUNTIFS($C$6:$C159,"&lt;&gt;",$R$6:$R159,"&gt;0"),"")</f>
        <v/>
      </c>
      <c r="Z159" s="16" t="str">
        <f aca="false">IF(AND($H159&lt;&gt;"",N($N159)&gt;0),COUNTIFS($H$6:$H159,"&lt;&gt;",$N$6:$N159,"&gt;0"),"")</f>
        <v/>
      </c>
      <c r="AA159" s="16" t="str">
        <f aca="false">IF(AND($H159&lt;&gt;"",N($N159)=0),COUNTIFS($H$6:$H159,"&lt;&gt;",$N$6:$N159,"&lt;=0"),"")</f>
        <v/>
      </c>
      <c r="AB159" s="16" t="str">
        <f aca="false">IF($C159="","",IF(COUNTIF($C$6:$C159,$C159)&gt;1,"",MAX($AB$5:AB158)+1))</f>
        <v/>
      </c>
      <c r="AC159" s="16" t="str">
        <f aca="false">IF($H159="","",IF(COUNTIF($H$6:$H159,$H159)&gt;1,"",MAX($AC$5:AC158)+1))</f>
        <v/>
      </c>
    </row>
    <row r="160" customFormat="false" ht="15" hidden="false" customHeight="false" outlineLevel="0" collapsed="false">
      <c r="A160" s="16" t="str">
        <f aca="false">IF($C160="","",COUNTA($C$6:$C160))</f>
        <v/>
      </c>
      <c r="B160" s="17"/>
      <c r="C160" s="8"/>
      <c r="D160" s="8"/>
      <c r="E160" s="8"/>
      <c r="F160" s="8"/>
      <c r="G160" s="8"/>
      <c r="H160" s="8"/>
      <c r="I160" s="9"/>
      <c r="J160" s="10" t="str">
        <f aca="false">IF($H160="","",IFERROR(VLOOKUP($H160,'BẢNG GIÁ GỐC'!$A$5:$D$204,3,FALSE()),""))</f>
        <v/>
      </c>
      <c r="K160" s="9"/>
      <c r="L160" s="10" t="str">
        <f aca="false">IF($C160="","",N($I160)*N($K160))</f>
        <v/>
      </c>
      <c r="M160" s="8"/>
      <c r="N160" s="11" t="str">
        <f aca="false">IF($C160="","",IF($M160="VAT 5%",0.05,IF($M160="VAT 8%",0.08,IF($M160="VAT 10%",0.1,0))))</f>
        <v/>
      </c>
      <c r="O160" s="10" t="str">
        <f aca="false">IF($C160="","",$L160*$N160)</f>
        <v/>
      </c>
      <c r="P160" s="10" t="str">
        <f aca="false">IF($C160="","",$L160+$O160)</f>
        <v/>
      </c>
      <c r="Q160" s="9"/>
      <c r="R160" s="10" t="str">
        <f aca="false">IF($C160="","",MAX(0,$P160-N($Q160)))</f>
        <v/>
      </c>
      <c r="S160" s="19" t="str">
        <f aca="false">IF(OR($C160="",$P160=0),"",IF(N($Q160)&lt;=0,"Chưa thanh toán",IF(N($Q160)&lt;$P160,"Thanh toán một phần","Đã thanh toán")))</f>
        <v/>
      </c>
      <c r="T160" s="10" t="str">
        <f aca="false">IF(OR($C160="",$J160=""),"",N($I160)*$J160)</f>
        <v/>
      </c>
      <c r="U160" s="10" t="str">
        <f aca="false">IF(OR($C160="",$T160=""),"",$L160-$T160)</f>
        <v/>
      </c>
      <c r="V160" s="11" t="str">
        <f aca="false">IF(OR($U160="",$L160=0),"",$U160/$L160)</f>
        <v/>
      </c>
      <c r="W160" s="8"/>
      <c r="X160" s="19" t="str">
        <f aca="false">IF($C160="","",IF(AND($H160="",N($I160)=0,N($K160)=0),"Dòng chỉ lưu thông tin khách (chưa có đơn); ",IF($B160="","Thiếu ngày đặt; ","")&amp;IF($H160="","Thiếu tên sản phẩm; ",IF($J160="","Sản phẩm chưa có trong BẢNG GIÁ GỐC; ",""))&amp;IF(N($I160)&lt;=0,"Thiếu số lượng; ","")&amp;IF(N($K160)&lt;=0,"Thiếu giá bán; ","")&amp;IF(AND($N160&gt;0,$F160=""),"Khách lấy VAT thiếu mã số thuế; ","")&amp;IF(N($Q160)&gt;$P160,"Đã thu vượt tổng phải thu; ","")&amp;IF(AND($L160&gt;0,$U160&lt;0),"CẢNH BÁO: ĐƠN NÀY ĐANG LỖ; ","")))</f>
        <v/>
      </c>
      <c r="Y160" s="16" t="str">
        <f aca="false">IF(AND($C160&lt;&gt;"",$R160&gt;0),COUNTIFS($C$6:$C160,"&lt;&gt;",$R$6:$R160,"&gt;0"),"")</f>
        <v/>
      </c>
      <c r="Z160" s="16" t="str">
        <f aca="false">IF(AND($H160&lt;&gt;"",N($N160)&gt;0),COUNTIFS($H$6:$H160,"&lt;&gt;",$N$6:$N160,"&gt;0"),"")</f>
        <v/>
      </c>
      <c r="AA160" s="16" t="str">
        <f aca="false">IF(AND($H160&lt;&gt;"",N($N160)=0),COUNTIFS($H$6:$H160,"&lt;&gt;",$N$6:$N160,"&lt;=0"),"")</f>
        <v/>
      </c>
      <c r="AB160" s="16" t="str">
        <f aca="false">IF($C160="","",IF(COUNTIF($C$6:$C160,$C160)&gt;1,"",MAX($AB$5:AB159)+1))</f>
        <v/>
      </c>
      <c r="AC160" s="16" t="str">
        <f aca="false">IF($H160="","",IF(COUNTIF($H$6:$H160,$H160)&gt;1,"",MAX($AC$5:AC159)+1))</f>
        <v/>
      </c>
    </row>
    <row r="161" customFormat="false" ht="15" hidden="false" customHeight="false" outlineLevel="0" collapsed="false">
      <c r="A161" s="16" t="str">
        <f aca="false">IF($C161="","",COUNTA($C$6:$C161))</f>
        <v/>
      </c>
      <c r="B161" s="17"/>
      <c r="C161" s="8"/>
      <c r="D161" s="8"/>
      <c r="E161" s="8"/>
      <c r="F161" s="8"/>
      <c r="G161" s="8"/>
      <c r="H161" s="8"/>
      <c r="I161" s="9"/>
      <c r="J161" s="10" t="str">
        <f aca="false">IF($H161="","",IFERROR(VLOOKUP($H161,'BẢNG GIÁ GỐC'!$A$5:$D$204,3,FALSE()),""))</f>
        <v/>
      </c>
      <c r="K161" s="9"/>
      <c r="L161" s="10" t="str">
        <f aca="false">IF($C161="","",N($I161)*N($K161))</f>
        <v/>
      </c>
      <c r="M161" s="8"/>
      <c r="N161" s="11" t="str">
        <f aca="false">IF($C161="","",IF($M161="VAT 5%",0.05,IF($M161="VAT 8%",0.08,IF($M161="VAT 10%",0.1,0))))</f>
        <v/>
      </c>
      <c r="O161" s="10" t="str">
        <f aca="false">IF($C161="","",$L161*$N161)</f>
        <v/>
      </c>
      <c r="P161" s="10" t="str">
        <f aca="false">IF($C161="","",$L161+$O161)</f>
        <v/>
      </c>
      <c r="Q161" s="9"/>
      <c r="R161" s="10" t="str">
        <f aca="false">IF($C161="","",MAX(0,$P161-N($Q161)))</f>
        <v/>
      </c>
      <c r="S161" s="19" t="str">
        <f aca="false">IF(OR($C161="",$P161=0),"",IF(N($Q161)&lt;=0,"Chưa thanh toán",IF(N($Q161)&lt;$P161,"Thanh toán một phần","Đã thanh toán")))</f>
        <v/>
      </c>
      <c r="T161" s="10" t="str">
        <f aca="false">IF(OR($C161="",$J161=""),"",N($I161)*$J161)</f>
        <v/>
      </c>
      <c r="U161" s="10" t="str">
        <f aca="false">IF(OR($C161="",$T161=""),"",$L161-$T161)</f>
        <v/>
      </c>
      <c r="V161" s="11" t="str">
        <f aca="false">IF(OR($U161="",$L161=0),"",$U161/$L161)</f>
        <v/>
      </c>
      <c r="W161" s="8"/>
      <c r="X161" s="19" t="str">
        <f aca="false">IF($C161="","",IF(AND($H161="",N($I161)=0,N($K161)=0),"Dòng chỉ lưu thông tin khách (chưa có đơn); ",IF($B161="","Thiếu ngày đặt; ","")&amp;IF($H161="","Thiếu tên sản phẩm; ",IF($J161="","Sản phẩm chưa có trong BẢNG GIÁ GỐC; ",""))&amp;IF(N($I161)&lt;=0,"Thiếu số lượng; ","")&amp;IF(N($K161)&lt;=0,"Thiếu giá bán; ","")&amp;IF(AND($N161&gt;0,$F161=""),"Khách lấy VAT thiếu mã số thuế; ","")&amp;IF(N($Q161)&gt;$P161,"Đã thu vượt tổng phải thu; ","")&amp;IF(AND($L161&gt;0,$U161&lt;0),"CẢNH BÁO: ĐƠN NÀY ĐANG LỖ; ","")))</f>
        <v/>
      </c>
      <c r="Y161" s="16" t="str">
        <f aca="false">IF(AND($C161&lt;&gt;"",$R161&gt;0),COUNTIFS($C$6:$C161,"&lt;&gt;",$R$6:$R161,"&gt;0"),"")</f>
        <v/>
      </c>
      <c r="Z161" s="16" t="str">
        <f aca="false">IF(AND($H161&lt;&gt;"",N($N161)&gt;0),COUNTIFS($H$6:$H161,"&lt;&gt;",$N$6:$N161,"&gt;0"),"")</f>
        <v/>
      </c>
      <c r="AA161" s="16" t="str">
        <f aca="false">IF(AND($H161&lt;&gt;"",N($N161)=0),COUNTIFS($H$6:$H161,"&lt;&gt;",$N$6:$N161,"&lt;=0"),"")</f>
        <v/>
      </c>
      <c r="AB161" s="16" t="str">
        <f aca="false">IF($C161="","",IF(COUNTIF($C$6:$C161,$C161)&gt;1,"",MAX($AB$5:AB160)+1))</f>
        <v/>
      </c>
      <c r="AC161" s="16" t="str">
        <f aca="false">IF($H161="","",IF(COUNTIF($H$6:$H161,$H161)&gt;1,"",MAX($AC$5:AC160)+1))</f>
        <v/>
      </c>
    </row>
    <row r="162" customFormat="false" ht="15" hidden="false" customHeight="false" outlineLevel="0" collapsed="false">
      <c r="A162" s="16" t="str">
        <f aca="false">IF($C162="","",COUNTA($C$6:$C162))</f>
        <v/>
      </c>
      <c r="B162" s="17"/>
      <c r="C162" s="8"/>
      <c r="D162" s="8"/>
      <c r="E162" s="8"/>
      <c r="F162" s="8"/>
      <c r="G162" s="8"/>
      <c r="H162" s="8"/>
      <c r="I162" s="9"/>
      <c r="J162" s="10" t="str">
        <f aca="false">IF($H162="","",IFERROR(VLOOKUP($H162,'BẢNG GIÁ GỐC'!$A$5:$D$204,3,FALSE()),""))</f>
        <v/>
      </c>
      <c r="K162" s="9"/>
      <c r="L162" s="10" t="str">
        <f aca="false">IF($C162="","",N($I162)*N($K162))</f>
        <v/>
      </c>
      <c r="M162" s="8"/>
      <c r="N162" s="11" t="str">
        <f aca="false">IF($C162="","",IF($M162="VAT 5%",0.05,IF($M162="VAT 8%",0.08,IF($M162="VAT 10%",0.1,0))))</f>
        <v/>
      </c>
      <c r="O162" s="10" t="str">
        <f aca="false">IF($C162="","",$L162*$N162)</f>
        <v/>
      </c>
      <c r="P162" s="10" t="str">
        <f aca="false">IF($C162="","",$L162+$O162)</f>
        <v/>
      </c>
      <c r="Q162" s="9"/>
      <c r="R162" s="10" t="str">
        <f aca="false">IF($C162="","",MAX(0,$P162-N($Q162)))</f>
        <v/>
      </c>
      <c r="S162" s="19" t="str">
        <f aca="false">IF(OR($C162="",$P162=0),"",IF(N($Q162)&lt;=0,"Chưa thanh toán",IF(N($Q162)&lt;$P162,"Thanh toán một phần","Đã thanh toán")))</f>
        <v/>
      </c>
      <c r="T162" s="10" t="str">
        <f aca="false">IF(OR($C162="",$J162=""),"",N($I162)*$J162)</f>
        <v/>
      </c>
      <c r="U162" s="10" t="str">
        <f aca="false">IF(OR($C162="",$T162=""),"",$L162-$T162)</f>
        <v/>
      </c>
      <c r="V162" s="11" t="str">
        <f aca="false">IF(OR($U162="",$L162=0),"",$U162/$L162)</f>
        <v/>
      </c>
      <c r="W162" s="8"/>
      <c r="X162" s="19" t="str">
        <f aca="false">IF($C162="","",IF(AND($H162="",N($I162)=0,N($K162)=0),"Dòng chỉ lưu thông tin khách (chưa có đơn); ",IF($B162="","Thiếu ngày đặt; ","")&amp;IF($H162="","Thiếu tên sản phẩm; ",IF($J162="","Sản phẩm chưa có trong BẢNG GIÁ GỐC; ",""))&amp;IF(N($I162)&lt;=0,"Thiếu số lượng; ","")&amp;IF(N($K162)&lt;=0,"Thiếu giá bán; ","")&amp;IF(AND($N162&gt;0,$F162=""),"Khách lấy VAT thiếu mã số thuế; ","")&amp;IF(N($Q162)&gt;$P162,"Đã thu vượt tổng phải thu; ","")&amp;IF(AND($L162&gt;0,$U162&lt;0),"CẢNH BÁO: ĐƠN NÀY ĐANG LỖ; ","")))</f>
        <v/>
      </c>
      <c r="Y162" s="16" t="str">
        <f aca="false">IF(AND($C162&lt;&gt;"",$R162&gt;0),COUNTIFS($C$6:$C162,"&lt;&gt;",$R$6:$R162,"&gt;0"),"")</f>
        <v/>
      </c>
      <c r="Z162" s="16" t="str">
        <f aca="false">IF(AND($H162&lt;&gt;"",N($N162)&gt;0),COUNTIFS($H$6:$H162,"&lt;&gt;",$N$6:$N162,"&gt;0"),"")</f>
        <v/>
      </c>
      <c r="AA162" s="16" t="str">
        <f aca="false">IF(AND($H162&lt;&gt;"",N($N162)=0),COUNTIFS($H$6:$H162,"&lt;&gt;",$N$6:$N162,"&lt;=0"),"")</f>
        <v/>
      </c>
      <c r="AB162" s="16" t="str">
        <f aca="false">IF($C162="","",IF(COUNTIF($C$6:$C162,$C162)&gt;1,"",MAX($AB$5:AB161)+1))</f>
        <v/>
      </c>
      <c r="AC162" s="16" t="str">
        <f aca="false">IF($H162="","",IF(COUNTIF($H$6:$H162,$H162)&gt;1,"",MAX($AC$5:AC161)+1))</f>
        <v/>
      </c>
    </row>
    <row r="163" customFormat="false" ht="15" hidden="false" customHeight="false" outlineLevel="0" collapsed="false">
      <c r="A163" s="16" t="str">
        <f aca="false">IF($C163="","",COUNTA($C$6:$C163))</f>
        <v/>
      </c>
      <c r="B163" s="17"/>
      <c r="C163" s="8"/>
      <c r="D163" s="8"/>
      <c r="E163" s="8"/>
      <c r="F163" s="8"/>
      <c r="G163" s="8"/>
      <c r="H163" s="8"/>
      <c r="I163" s="9"/>
      <c r="J163" s="10" t="str">
        <f aca="false">IF($H163="","",IFERROR(VLOOKUP($H163,'BẢNG GIÁ GỐC'!$A$5:$D$204,3,FALSE()),""))</f>
        <v/>
      </c>
      <c r="K163" s="9"/>
      <c r="L163" s="10" t="str">
        <f aca="false">IF($C163="","",N($I163)*N($K163))</f>
        <v/>
      </c>
      <c r="M163" s="8"/>
      <c r="N163" s="11" t="str">
        <f aca="false">IF($C163="","",IF($M163="VAT 5%",0.05,IF($M163="VAT 8%",0.08,IF($M163="VAT 10%",0.1,0))))</f>
        <v/>
      </c>
      <c r="O163" s="10" t="str">
        <f aca="false">IF($C163="","",$L163*$N163)</f>
        <v/>
      </c>
      <c r="P163" s="10" t="str">
        <f aca="false">IF($C163="","",$L163+$O163)</f>
        <v/>
      </c>
      <c r="Q163" s="9"/>
      <c r="R163" s="10" t="str">
        <f aca="false">IF($C163="","",MAX(0,$P163-N($Q163)))</f>
        <v/>
      </c>
      <c r="S163" s="19" t="str">
        <f aca="false">IF(OR($C163="",$P163=0),"",IF(N($Q163)&lt;=0,"Chưa thanh toán",IF(N($Q163)&lt;$P163,"Thanh toán một phần","Đã thanh toán")))</f>
        <v/>
      </c>
      <c r="T163" s="10" t="str">
        <f aca="false">IF(OR($C163="",$J163=""),"",N($I163)*$J163)</f>
        <v/>
      </c>
      <c r="U163" s="10" t="str">
        <f aca="false">IF(OR($C163="",$T163=""),"",$L163-$T163)</f>
        <v/>
      </c>
      <c r="V163" s="11" t="str">
        <f aca="false">IF(OR($U163="",$L163=0),"",$U163/$L163)</f>
        <v/>
      </c>
      <c r="W163" s="8"/>
      <c r="X163" s="19" t="str">
        <f aca="false">IF($C163="","",IF(AND($H163="",N($I163)=0,N($K163)=0),"Dòng chỉ lưu thông tin khách (chưa có đơn); ",IF($B163="","Thiếu ngày đặt; ","")&amp;IF($H163="","Thiếu tên sản phẩm; ",IF($J163="","Sản phẩm chưa có trong BẢNG GIÁ GỐC; ",""))&amp;IF(N($I163)&lt;=0,"Thiếu số lượng; ","")&amp;IF(N($K163)&lt;=0,"Thiếu giá bán; ","")&amp;IF(AND($N163&gt;0,$F163=""),"Khách lấy VAT thiếu mã số thuế; ","")&amp;IF(N($Q163)&gt;$P163,"Đã thu vượt tổng phải thu; ","")&amp;IF(AND($L163&gt;0,$U163&lt;0),"CẢNH BÁO: ĐƠN NÀY ĐANG LỖ; ","")))</f>
        <v/>
      </c>
      <c r="Y163" s="16" t="str">
        <f aca="false">IF(AND($C163&lt;&gt;"",$R163&gt;0),COUNTIFS($C$6:$C163,"&lt;&gt;",$R$6:$R163,"&gt;0"),"")</f>
        <v/>
      </c>
      <c r="Z163" s="16" t="str">
        <f aca="false">IF(AND($H163&lt;&gt;"",N($N163)&gt;0),COUNTIFS($H$6:$H163,"&lt;&gt;",$N$6:$N163,"&gt;0"),"")</f>
        <v/>
      </c>
      <c r="AA163" s="16" t="str">
        <f aca="false">IF(AND($H163&lt;&gt;"",N($N163)=0),COUNTIFS($H$6:$H163,"&lt;&gt;",$N$6:$N163,"&lt;=0"),"")</f>
        <v/>
      </c>
      <c r="AB163" s="16" t="str">
        <f aca="false">IF($C163="","",IF(COUNTIF($C$6:$C163,$C163)&gt;1,"",MAX($AB$5:AB162)+1))</f>
        <v/>
      </c>
      <c r="AC163" s="16" t="str">
        <f aca="false">IF($H163="","",IF(COUNTIF($H$6:$H163,$H163)&gt;1,"",MAX($AC$5:AC162)+1))</f>
        <v/>
      </c>
    </row>
    <row r="164" customFormat="false" ht="15" hidden="false" customHeight="false" outlineLevel="0" collapsed="false">
      <c r="A164" s="16" t="str">
        <f aca="false">IF($C164="","",COUNTA($C$6:$C164))</f>
        <v/>
      </c>
      <c r="B164" s="17"/>
      <c r="C164" s="8"/>
      <c r="D164" s="8"/>
      <c r="E164" s="8"/>
      <c r="F164" s="8"/>
      <c r="G164" s="8"/>
      <c r="H164" s="8"/>
      <c r="I164" s="9"/>
      <c r="J164" s="10" t="str">
        <f aca="false">IF($H164="","",IFERROR(VLOOKUP($H164,'BẢNG GIÁ GỐC'!$A$5:$D$204,3,FALSE()),""))</f>
        <v/>
      </c>
      <c r="K164" s="9"/>
      <c r="L164" s="10" t="str">
        <f aca="false">IF($C164="","",N($I164)*N($K164))</f>
        <v/>
      </c>
      <c r="M164" s="8"/>
      <c r="N164" s="11" t="str">
        <f aca="false">IF($C164="","",IF($M164="VAT 5%",0.05,IF($M164="VAT 8%",0.08,IF($M164="VAT 10%",0.1,0))))</f>
        <v/>
      </c>
      <c r="O164" s="10" t="str">
        <f aca="false">IF($C164="","",$L164*$N164)</f>
        <v/>
      </c>
      <c r="P164" s="10" t="str">
        <f aca="false">IF($C164="","",$L164+$O164)</f>
        <v/>
      </c>
      <c r="Q164" s="9"/>
      <c r="R164" s="10" t="str">
        <f aca="false">IF($C164="","",MAX(0,$P164-N($Q164)))</f>
        <v/>
      </c>
      <c r="S164" s="19" t="str">
        <f aca="false">IF(OR($C164="",$P164=0),"",IF(N($Q164)&lt;=0,"Chưa thanh toán",IF(N($Q164)&lt;$P164,"Thanh toán một phần","Đã thanh toán")))</f>
        <v/>
      </c>
      <c r="T164" s="10" t="str">
        <f aca="false">IF(OR($C164="",$J164=""),"",N($I164)*$J164)</f>
        <v/>
      </c>
      <c r="U164" s="10" t="str">
        <f aca="false">IF(OR($C164="",$T164=""),"",$L164-$T164)</f>
        <v/>
      </c>
      <c r="V164" s="11" t="str">
        <f aca="false">IF(OR($U164="",$L164=0),"",$U164/$L164)</f>
        <v/>
      </c>
      <c r="W164" s="8"/>
      <c r="X164" s="19" t="str">
        <f aca="false">IF($C164="","",IF(AND($H164="",N($I164)=0,N($K164)=0),"Dòng chỉ lưu thông tin khách (chưa có đơn); ",IF($B164="","Thiếu ngày đặt; ","")&amp;IF($H164="","Thiếu tên sản phẩm; ",IF($J164="","Sản phẩm chưa có trong BẢNG GIÁ GỐC; ",""))&amp;IF(N($I164)&lt;=0,"Thiếu số lượng; ","")&amp;IF(N($K164)&lt;=0,"Thiếu giá bán; ","")&amp;IF(AND($N164&gt;0,$F164=""),"Khách lấy VAT thiếu mã số thuế; ","")&amp;IF(N($Q164)&gt;$P164,"Đã thu vượt tổng phải thu; ","")&amp;IF(AND($L164&gt;0,$U164&lt;0),"CẢNH BÁO: ĐƠN NÀY ĐANG LỖ; ","")))</f>
        <v/>
      </c>
      <c r="Y164" s="16" t="str">
        <f aca="false">IF(AND($C164&lt;&gt;"",$R164&gt;0),COUNTIFS($C$6:$C164,"&lt;&gt;",$R$6:$R164,"&gt;0"),"")</f>
        <v/>
      </c>
      <c r="Z164" s="16" t="str">
        <f aca="false">IF(AND($H164&lt;&gt;"",N($N164)&gt;0),COUNTIFS($H$6:$H164,"&lt;&gt;",$N$6:$N164,"&gt;0"),"")</f>
        <v/>
      </c>
      <c r="AA164" s="16" t="str">
        <f aca="false">IF(AND($H164&lt;&gt;"",N($N164)=0),COUNTIFS($H$6:$H164,"&lt;&gt;",$N$6:$N164,"&lt;=0"),"")</f>
        <v/>
      </c>
      <c r="AB164" s="16" t="str">
        <f aca="false">IF($C164="","",IF(COUNTIF($C$6:$C164,$C164)&gt;1,"",MAX($AB$5:AB163)+1))</f>
        <v/>
      </c>
      <c r="AC164" s="16" t="str">
        <f aca="false">IF($H164="","",IF(COUNTIF($H$6:$H164,$H164)&gt;1,"",MAX($AC$5:AC163)+1))</f>
        <v/>
      </c>
    </row>
    <row r="165" customFormat="false" ht="15" hidden="false" customHeight="false" outlineLevel="0" collapsed="false">
      <c r="A165" s="16" t="str">
        <f aca="false">IF($C165="","",COUNTA($C$6:$C165))</f>
        <v/>
      </c>
      <c r="B165" s="17"/>
      <c r="C165" s="8"/>
      <c r="D165" s="8"/>
      <c r="E165" s="8"/>
      <c r="F165" s="8"/>
      <c r="G165" s="8"/>
      <c r="H165" s="8"/>
      <c r="I165" s="9"/>
      <c r="J165" s="10" t="str">
        <f aca="false">IF($H165="","",IFERROR(VLOOKUP($H165,'BẢNG GIÁ GỐC'!$A$5:$D$204,3,FALSE()),""))</f>
        <v/>
      </c>
      <c r="K165" s="9"/>
      <c r="L165" s="10" t="str">
        <f aca="false">IF($C165="","",N($I165)*N($K165))</f>
        <v/>
      </c>
      <c r="M165" s="8"/>
      <c r="N165" s="11" t="str">
        <f aca="false">IF($C165="","",IF($M165="VAT 5%",0.05,IF($M165="VAT 8%",0.08,IF($M165="VAT 10%",0.1,0))))</f>
        <v/>
      </c>
      <c r="O165" s="10" t="str">
        <f aca="false">IF($C165="","",$L165*$N165)</f>
        <v/>
      </c>
      <c r="P165" s="10" t="str">
        <f aca="false">IF($C165="","",$L165+$O165)</f>
        <v/>
      </c>
      <c r="Q165" s="9"/>
      <c r="R165" s="10" t="str">
        <f aca="false">IF($C165="","",MAX(0,$P165-N($Q165)))</f>
        <v/>
      </c>
      <c r="S165" s="19" t="str">
        <f aca="false">IF(OR($C165="",$P165=0),"",IF(N($Q165)&lt;=0,"Chưa thanh toán",IF(N($Q165)&lt;$P165,"Thanh toán một phần","Đã thanh toán")))</f>
        <v/>
      </c>
      <c r="T165" s="10" t="str">
        <f aca="false">IF(OR($C165="",$J165=""),"",N($I165)*$J165)</f>
        <v/>
      </c>
      <c r="U165" s="10" t="str">
        <f aca="false">IF(OR($C165="",$T165=""),"",$L165-$T165)</f>
        <v/>
      </c>
      <c r="V165" s="11" t="str">
        <f aca="false">IF(OR($U165="",$L165=0),"",$U165/$L165)</f>
        <v/>
      </c>
      <c r="W165" s="8"/>
      <c r="X165" s="19" t="str">
        <f aca="false">IF($C165="","",IF(AND($H165="",N($I165)=0,N($K165)=0),"Dòng chỉ lưu thông tin khách (chưa có đơn); ",IF($B165="","Thiếu ngày đặt; ","")&amp;IF($H165="","Thiếu tên sản phẩm; ",IF($J165="","Sản phẩm chưa có trong BẢNG GIÁ GỐC; ",""))&amp;IF(N($I165)&lt;=0,"Thiếu số lượng; ","")&amp;IF(N($K165)&lt;=0,"Thiếu giá bán; ","")&amp;IF(AND($N165&gt;0,$F165=""),"Khách lấy VAT thiếu mã số thuế; ","")&amp;IF(N($Q165)&gt;$P165,"Đã thu vượt tổng phải thu; ","")&amp;IF(AND($L165&gt;0,$U165&lt;0),"CẢNH BÁO: ĐƠN NÀY ĐANG LỖ; ","")))</f>
        <v/>
      </c>
      <c r="Y165" s="16" t="str">
        <f aca="false">IF(AND($C165&lt;&gt;"",$R165&gt;0),COUNTIFS($C$6:$C165,"&lt;&gt;",$R$6:$R165,"&gt;0"),"")</f>
        <v/>
      </c>
      <c r="Z165" s="16" t="str">
        <f aca="false">IF(AND($H165&lt;&gt;"",N($N165)&gt;0),COUNTIFS($H$6:$H165,"&lt;&gt;",$N$6:$N165,"&gt;0"),"")</f>
        <v/>
      </c>
      <c r="AA165" s="16" t="str">
        <f aca="false">IF(AND($H165&lt;&gt;"",N($N165)=0),COUNTIFS($H$6:$H165,"&lt;&gt;",$N$6:$N165,"&lt;=0"),"")</f>
        <v/>
      </c>
      <c r="AB165" s="16" t="str">
        <f aca="false">IF($C165="","",IF(COUNTIF($C$6:$C165,$C165)&gt;1,"",MAX($AB$5:AB164)+1))</f>
        <v/>
      </c>
      <c r="AC165" s="16" t="str">
        <f aca="false">IF($H165="","",IF(COUNTIF($H$6:$H165,$H165)&gt;1,"",MAX($AC$5:AC164)+1))</f>
        <v/>
      </c>
    </row>
    <row r="166" customFormat="false" ht="15" hidden="false" customHeight="false" outlineLevel="0" collapsed="false">
      <c r="A166" s="16" t="str">
        <f aca="false">IF($C166="","",COUNTA($C$6:$C166))</f>
        <v/>
      </c>
      <c r="B166" s="17"/>
      <c r="C166" s="8"/>
      <c r="D166" s="8"/>
      <c r="E166" s="8"/>
      <c r="F166" s="8"/>
      <c r="G166" s="8"/>
      <c r="H166" s="8"/>
      <c r="I166" s="9"/>
      <c r="J166" s="10" t="str">
        <f aca="false">IF($H166="","",IFERROR(VLOOKUP($H166,'BẢNG GIÁ GỐC'!$A$5:$D$204,3,FALSE()),""))</f>
        <v/>
      </c>
      <c r="K166" s="9"/>
      <c r="L166" s="10" t="str">
        <f aca="false">IF($C166="","",N($I166)*N($K166))</f>
        <v/>
      </c>
      <c r="M166" s="8"/>
      <c r="N166" s="11" t="str">
        <f aca="false">IF($C166="","",IF($M166="VAT 5%",0.05,IF($M166="VAT 8%",0.08,IF($M166="VAT 10%",0.1,0))))</f>
        <v/>
      </c>
      <c r="O166" s="10" t="str">
        <f aca="false">IF($C166="","",$L166*$N166)</f>
        <v/>
      </c>
      <c r="P166" s="10" t="str">
        <f aca="false">IF($C166="","",$L166+$O166)</f>
        <v/>
      </c>
      <c r="Q166" s="9"/>
      <c r="R166" s="10" t="str">
        <f aca="false">IF($C166="","",MAX(0,$P166-N($Q166)))</f>
        <v/>
      </c>
      <c r="S166" s="19" t="str">
        <f aca="false">IF(OR($C166="",$P166=0),"",IF(N($Q166)&lt;=0,"Chưa thanh toán",IF(N($Q166)&lt;$P166,"Thanh toán một phần","Đã thanh toán")))</f>
        <v/>
      </c>
      <c r="T166" s="10" t="str">
        <f aca="false">IF(OR($C166="",$J166=""),"",N($I166)*$J166)</f>
        <v/>
      </c>
      <c r="U166" s="10" t="str">
        <f aca="false">IF(OR($C166="",$T166=""),"",$L166-$T166)</f>
        <v/>
      </c>
      <c r="V166" s="11" t="str">
        <f aca="false">IF(OR($U166="",$L166=0),"",$U166/$L166)</f>
        <v/>
      </c>
      <c r="W166" s="8"/>
      <c r="X166" s="19" t="str">
        <f aca="false">IF($C166="","",IF(AND($H166="",N($I166)=0,N($K166)=0),"Dòng chỉ lưu thông tin khách (chưa có đơn); ",IF($B166="","Thiếu ngày đặt; ","")&amp;IF($H166="","Thiếu tên sản phẩm; ",IF($J166="","Sản phẩm chưa có trong BẢNG GIÁ GỐC; ",""))&amp;IF(N($I166)&lt;=0,"Thiếu số lượng; ","")&amp;IF(N($K166)&lt;=0,"Thiếu giá bán; ","")&amp;IF(AND($N166&gt;0,$F166=""),"Khách lấy VAT thiếu mã số thuế; ","")&amp;IF(N($Q166)&gt;$P166,"Đã thu vượt tổng phải thu; ","")&amp;IF(AND($L166&gt;0,$U166&lt;0),"CẢNH BÁO: ĐƠN NÀY ĐANG LỖ; ","")))</f>
        <v/>
      </c>
      <c r="Y166" s="16" t="str">
        <f aca="false">IF(AND($C166&lt;&gt;"",$R166&gt;0),COUNTIFS($C$6:$C166,"&lt;&gt;",$R$6:$R166,"&gt;0"),"")</f>
        <v/>
      </c>
      <c r="Z166" s="16" t="str">
        <f aca="false">IF(AND($H166&lt;&gt;"",N($N166)&gt;0),COUNTIFS($H$6:$H166,"&lt;&gt;",$N$6:$N166,"&gt;0"),"")</f>
        <v/>
      </c>
      <c r="AA166" s="16" t="str">
        <f aca="false">IF(AND($H166&lt;&gt;"",N($N166)=0),COUNTIFS($H$6:$H166,"&lt;&gt;",$N$6:$N166,"&lt;=0"),"")</f>
        <v/>
      </c>
      <c r="AB166" s="16" t="str">
        <f aca="false">IF($C166="","",IF(COUNTIF($C$6:$C166,$C166)&gt;1,"",MAX($AB$5:AB165)+1))</f>
        <v/>
      </c>
      <c r="AC166" s="16" t="str">
        <f aca="false">IF($H166="","",IF(COUNTIF($H$6:$H166,$H166)&gt;1,"",MAX($AC$5:AC165)+1))</f>
        <v/>
      </c>
    </row>
    <row r="167" customFormat="false" ht="15" hidden="false" customHeight="false" outlineLevel="0" collapsed="false">
      <c r="A167" s="16" t="str">
        <f aca="false">IF($C167="","",COUNTA($C$6:$C167))</f>
        <v/>
      </c>
      <c r="B167" s="17"/>
      <c r="C167" s="8"/>
      <c r="D167" s="8"/>
      <c r="E167" s="8"/>
      <c r="F167" s="8"/>
      <c r="G167" s="8"/>
      <c r="H167" s="8"/>
      <c r="I167" s="9"/>
      <c r="J167" s="10" t="str">
        <f aca="false">IF($H167="","",IFERROR(VLOOKUP($H167,'BẢNG GIÁ GỐC'!$A$5:$D$204,3,FALSE()),""))</f>
        <v/>
      </c>
      <c r="K167" s="9"/>
      <c r="L167" s="10" t="str">
        <f aca="false">IF($C167="","",N($I167)*N($K167))</f>
        <v/>
      </c>
      <c r="M167" s="8"/>
      <c r="N167" s="11" t="str">
        <f aca="false">IF($C167="","",IF($M167="VAT 5%",0.05,IF($M167="VAT 8%",0.08,IF($M167="VAT 10%",0.1,0))))</f>
        <v/>
      </c>
      <c r="O167" s="10" t="str">
        <f aca="false">IF($C167="","",$L167*$N167)</f>
        <v/>
      </c>
      <c r="P167" s="10" t="str">
        <f aca="false">IF($C167="","",$L167+$O167)</f>
        <v/>
      </c>
      <c r="Q167" s="9"/>
      <c r="R167" s="10" t="str">
        <f aca="false">IF($C167="","",MAX(0,$P167-N($Q167)))</f>
        <v/>
      </c>
      <c r="S167" s="19" t="str">
        <f aca="false">IF(OR($C167="",$P167=0),"",IF(N($Q167)&lt;=0,"Chưa thanh toán",IF(N($Q167)&lt;$P167,"Thanh toán một phần","Đã thanh toán")))</f>
        <v/>
      </c>
      <c r="T167" s="10" t="str">
        <f aca="false">IF(OR($C167="",$J167=""),"",N($I167)*$J167)</f>
        <v/>
      </c>
      <c r="U167" s="10" t="str">
        <f aca="false">IF(OR($C167="",$T167=""),"",$L167-$T167)</f>
        <v/>
      </c>
      <c r="V167" s="11" t="str">
        <f aca="false">IF(OR($U167="",$L167=0),"",$U167/$L167)</f>
        <v/>
      </c>
      <c r="W167" s="8"/>
      <c r="X167" s="19" t="str">
        <f aca="false">IF($C167="","",IF(AND($H167="",N($I167)=0,N($K167)=0),"Dòng chỉ lưu thông tin khách (chưa có đơn); ",IF($B167="","Thiếu ngày đặt; ","")&amp;IF($H167="","Thiếu tên sản phẩm; ",IF($J167="","Sản phẩm chưa có trong BẢNG GIÁ GỐC; ",""))&amp;IF(N($I167)&lt;=0,"Thiếu số lượng; ","")&amp;IF(N($K167)&lt;=0,"Thiếu giá bán; ","")&amp;IF(AND($N167&gt;0,$F167=""),"Khách lấy VAT thiếu mã số thuế; ","")&amp;IF(N($Q167)&gt;$P167,"Đã thu vượt tổng phải thu; ","")&amp;IF(AND($L167&gt;0,$U167&lt;0),"CẢNH BÁO: ĐƠN NÀY ĐANG LỖ; ","")))</f>
        <v/>
      </c>
      <c r="Y167" s="16" t="str">
        <f aca="false">IF(AND($C167&lt;&gt;"",$R167&gt;0),COUNTIFS($C$6:$C167,"&lt;&gt;",$R$6:$R167,"&gt;0"),"")</f>
        <v/>
      </c>
      <c r="Z167" s="16" t="str">
        <f aca="false">IF(AND($H167&lt;&gt;"",N($N167)&gt;0),COUNTIFS($H$6:$H167,"&lt;&gt;",$N$6:$N167,"&gt;0"),"")</f>
        <v/>
      </c>
      <c r="AA167" s="16" t="str">
        <f aca="false">IF(AND($H167&lt;&gt;"",N($N167)=0),COUNTIFS($H$6:$H167,"&lt;&gt;",$N$6:$N167,"&lt;=0"),"")</f>
        <v/>
      </c>
      <c r="AB167" s="16" t="str">
        <f aca="false">IF($C167="","",IF(COUNTIF($C$6:$C167,$C167)&gt;1,"",MAX($AB$5:AB166)+1))</f>
        <v/>
      </c>
      <c r="AC167" s="16" t="str">
        <f aca="false">IF($H167="","",IF(COUNTIF($H$6:$H167,$H167)&gt;1,"",MAX($AC$5:AC166)+1))</f>
        <v/>
      </c>
    </row>
    <row r="168" customFormat="false" ht="15" hidden="false" customHeight="false" outlineLevel="0" collapsed="false">
      <c r="A168" s="16" t="str">
        <f aca="false">IF($C168="","",COUNTA($C$6:$C168))</f>
        <v/>
      </c>
      <c r="B168" s="17"/>
      <c r="C168" s="8"/>
      <c r="D168" s="8"/>
      <c r="E168" s="8"/>
      <c r="F168" s="8"/>
      <c r="G168" s="8"/>
      <c r="H168" s="8"/>
      <c r="I168" s="9"/>
      <c r="J168" s="10" t="str">
        <f aca="false">IF($H168="","",IFERROR(VLOOKUP($H168,'BẢNG GIÁ GỐC'!$A$5:$D$204,3,FALSE()),""))</f>
        <v/>
      </c>
      <c r="K168" s="9"/>
      <c r="L168" s="10" t="str">
        <f aca="false">IF($C168="","",N($I168)*N($K168))</f>
        <v/>
      </c>
      <c r="M168" s="8"/>
      <c r="N168" s="11" t="str">
        <f aca="false">IF($C168="","",IF($M168="VAT 5%",0.05,IF($M168="VAT 8%",0.08,IF($M168="VAT 10%",0.1,0))))</f>
        <v/>
      </c>
      <c r="O168" s="10" t="str">
        <f aca="false">IF($C168="","",$L168*$N168)</f>
        <v/>
      </c>
      <c r="P168" s="10" t="str">
        <f aca="false">IF($C168="","",$L168+$O168)</f>
        <v/>
      </c>
      <c r="Q168" s="9"/>
      <c r="R168" s="10" t="str">
        <f aca="false">IF($C168="","",MAX(0,$P168-N($Q168)))</f>
        <v/>
      </c>
      <c r="S168" s="19" t="str">
        <f aca="false">IF(OR($C168="",$P168=0),"",IF(N($Q168)&lt;=0,"Chưa thanh toán",IF(N($Q168)&lt;$P168,"Thanh toán một phần","Đã thanh toán")))</f>
        <v/>
      </c>
      <c r="T168" s="10" t="str">
        <f aca="false">IF(OR($C168="",$J168=""),"",N($I168)*$J168)</f>
        <v/>
      </c>
      <c r="U168" s="10" t="str">
        <f aca="false">IF(OR($C168="",$T168=""),"",$L168-$T168)</f>
        <v/>
      </c>
      <c r="V168" s="11" t="str">
        <f aca="false">IF(OR($U168="",$L168=0),"",$U168/$L168)</f>
        <v/>
      </c>
      <c r="W168" s="8"/>
      <c r="X168" s="19" t="str">
        <f aca="false">IF($C168="","",IF(AND($H168="",N($I168)=0,N($K168)=0),"Dòng chỉ lưu thông tin khách (chưa có đơn); ",IF($B168="","Thiếu ngày đặt; ","")&amp;IF($H168="","Thiếu tên sản phẩm; ",IF($J168="","Sản phẩm chưa có trong BẢNG GIÁ GỐC; ",""))&amp;IF(N($I168)&lt;=0,"Thiếu số lượng; ","")&amp;IF(N($K168)&lt;=0,"Thiếu giá bán; ","")&amp;IF(AND($N168&gt;0,$F168=""),"Khách lấy VAT thiếu mã số thuế; ","")&amp;IF(N($Q168)&gt;$P168,"Đã thu vượt tổng phải thu; ","")&amp;IF(AND($L168&gt;0,$U168&lt;0),"CẢNH BÁO: ĐƠN NÀY ĐANG LỖ; ","")))</f>
        <v/>
      </c>
      <c r="Y168" s="16" t="str">
        <f aca="false">IF(AND($C168&lt;&gt;"",$R168&gt;0),COUNTIFS($C$6:$C168,"&lt;&gt;",$R$6:$R168,"&gt;0"),"")</f>
        <v/>
      </c>
      <c r="Z168" s="16" t="str">
        <f aca="false">IF(AND($H168&lt;&gt;"",N($N168)&gt;0),COUNTIFS($H$6:$H168,"&lt;&gt;",$N$6:$N168,"&gt;0"),"")</f>
        <v/>
      </c>
      <c r="AA168" s="16" t="str">
        <f aca="false">IF(AND($H168&lt;&gt;"",N($N168)=0),COUNTIFS($H$6:$H168,"&lt;&gt;",$N$6:$N168,"&lt;=0"),"")</f>
        <v/>
      </c>
      <c r="AB168" s="16" t="str">
        <f aca="false">IF($C168="","",IF(COUNTIF($C$6:$C168,$C168)&gt;1,"",MAX($AB$5:AB167)+1))</f>
        <v/>
      </c>
      <c r="AC168" s="16" t="str">
        <f aca="false">IF($H168="","",IF(COUNTIF($H$6:$H168,$H168)&gt;1,"",MAX($AC$5:AC167)+1))</f>
        <v/>
      </c>
    </row>
    <row r="169" customFormat="false" ht="15" hidden="false" customHeight="false" outlineLevel="0" collapsed="false">
      <c r="A169" s="16" t="str">
        <f aca="false">IF($C169="","",COUNTA($C$6:$C169))</f>
        <v/>
      </c>
      <c r="B169" s="17"/>
      <c r="C169" s="8"/>
      <c r="D169" s="8"/>
      <c r="E169" s="8"/>
      <c r="F169" s="8"/>
      <c r="G169" s="8"/>
      <c r="H169" s="8"/>
      <c r="I169" s="9"/>
      <c r="J169" s="10" t="str">
        <f aca="false">IF($H169="","",IFERROR(VLOOKUP($H169,'BẢNG GIÁ GỐC'!$A$5:$D$204,3,FALSE()),""))</f>
        <v/>
      </c>
      <c r="K169" s="9"/>
      <c r="L169" s="10" t="str">
        <f aca="false">IF($C169="","",N($I169)*N($K169))</f>
        <v/>
      </c>
      <c r="M169" s="8"/>
      <c r="N169" s="11" t="str">
        <f aca="false">IF($C169="","",IF($M169="VAT 5%",0.05,IF($M169="VAT 8%",0.08,IF($M169="VAT 10%",0.1,0))))</f>
        <v/>
      </c>
      <c r="O169" s="10" t="str">
        <f aca="false">IF($C169="","",$L169*$N169)</f>
        <v/>
      </c>
      <c r="P169" s="10" t="str">
        <f aca="false">IF($C169="","",$L169+$O169)</f>
        <v/>
      </c>
      <c r="Q169" s="9"/>
      <c r="R169" s="10" t="str">
        <f aca="false">IF($C169="","",MAX(0,$P169-N($Q169)))</f>
        <v/>
      </c>
      <c r="S169" s="19" t="str">
        <f aca="false">IF(OR($C169="",$P169=0),"",IF(N($Q169)&lt;=0,"Chưa thanh toán",IF(N($Q169)&lt;$P169,"Thanh toán một phần","Đã thanh toán")))</f>
        <v/>
      </c>
      <c r="T169" s="10" t="str">
        <f aca="false">IF(OR($C169="",$J169=""),"",N($I169)*$J169)</f>
        <v/>
      </c>
      <c r="U169" s="10" t="str">
        <f aca="false">IF(OR($C169="",$T169=""),"",$L169-$T169)</f>
        <v/>
      </c>
      <c r="V169" s="11" t="str">
        <f aca="false">IF(OR($U169="",$L169=0),"",$U169/$L169)</f>
        <v/>
      </c>
      <c r="W169" s="8"/>
      <c r="X169" s="19" t="str">
        <f aca="false">IF($C169="","",IF(AND($H169="",N($I169)=0,N($K169)=0),"Dòng chỉ lưu thông tin khách (chưa có đơn); ",IF($B169="","Thiếu ngày đặt; ","")&amp;IF($H169="","Thiếu tên sản phẩm; ",IF($J169="","Sản phẩm chưa có trong BẢNG GIÁ GỐC; ",""))&amp;IF(N($I169)&lt;=0,"Thiếu số lượng; ","")&amp;IF(N($K169)&lt;=0,"Thiếu giá bán; ","")&amp;IF(AND($N169&gt;0,$F169=""),"Khách lấy VAT thiếu mã số thuế; ","")&amp;IF(N($Q169)&gt;$P169,"Đã thu vượt tổng phải thu; ","")&amp;IF(AND($L169&gt;0,$U169&lt;0),"CẢNH BÁO: ĐƠN NÀY ĐANG LỖ; ","")))</f>
        <v/>
      </c>
      <c r="Y169" s="16" t="str">
        <f aca="false">IF(AND($C169&lt;&gt;"",$R169&gt;0),COUNTIFS($C$6:$C169,"&lt;&gt;",$R$6:$R169,"&gt;0"),"")</f>
        <v/>
      </c>
      <c r="Z169" s="16" t="str">
        <f aca="false">IF(AND($H169&lt;&gt;"",N($N169)&gt;0),COUNTIFS($H$6:$H169,"&lt;&gt;",$N$6:$N169,"&gt;0"),"")</f>
        <v/>
      </c>
      <c r="AA169" s="16" t="str">
        <f aca="false">IF(AND($H169&lt;&gt;"",N($N169)=0),COUNTIFS($H$6:$H169,"&lt;&gt;",$N$6:$N169,"&lt;=0"),"")</f>
        <v/>
      </c>
      <c r="AB169" s="16" t="str">
        <f aca="false">IF($C169="","",IF(COUNTIF($C$6:$C169,$C169)&gt;1,"",MAX($AB$5:AB168)+1))</f>
        <v/>
      </c>
      <c r="AC169" s="16" t="str">
        <f aca="false">IF($H169="","",IF(COUNTIF($H$6:$H169,$H169)&gt;1,"",MAX($AC$5:AC168)+1))</f>
        <v/>
      </c>
    </row>
    <row r="170" customFormat="false" ht="15" hidden="false" customHeight="false" outlineLevel="0" collapsed="false">
      <c r="A170" s="16" t="str">
        <f aca="false">IF($C170="","",COUNTA($C$6:$C170))</f>
        <v/>
      </c>
      <c r="B170" s="17"/>
      <c r="C170" s="8"/>
      <c r="D170" s="8"/>
      <c r="E170" s="8"/>
      <c r="F170" s="8"/>
      <c r="G170" s="8"/>
      <c r="H170" s="8"/>
      <c r="I170" s="9"/>
      <c r="J170" s="10" t="str">
        <f aca="false">IF($H170="","",IFERROR(VLOOKUP($H170,'BẢNG GIÁ GỐC'!$A$5:$D$204,3,FALSE()),""))</f>
        <v/>
      </c>
      <c r="K170" s="9"/>
      <c r="L170" s="10" t="str">
        <f aca="false">IF($C170="","",N($I170)*N($K170))</f>
        <v/>
      </c>
      <c r="M170" s="8"/>
      <c r="N170" s="11" t="str">
        <f aca="false">IF($C170="","",IF($M170="VAT 5%",0.05,IF($M170="VAT 8%",0.08,IF($M170="VAT 10%",0.1,0))))</f>
        <v/>
      </c>
      <c r="O170" s="10" t="str">
        <f aca="false">IF($C170="","",$L170*$N170)</f>
        <v/>
      </c>
      <c r="P170" s="10" t="str">
        <f aca="false">IF($C170="","",$L170+$O170)</f>
        <v/>
      </c>
      <c r="Q170" s="9"/>
      <c r="R170" s="10" t="str">
        <f aca="false">IF($C170="","",MAX(0,$P170-N($Q170)))</f>
        <v/>
      </c>
      <c r="S170" s="19" t="str">
        <f aca="false">IF(OR($C170="",$P170=0),"",IF(N($Q170)&lt;=0,"Chưa thanh toán",IF(N($Q170)&lt;$P170,"Thanh toán một phần","Đã thanh toán")))</f>
        <v/>
      </c>
      <c r="T170" s="10" t="str">
        <f aca="false">IF(OR($C170="",$J170=""),"",N($I170)*$J170)</f>
        <v/>
      </c>
      <c r="U170" s="10" t="str">
        <f aca="false">IF(OR($C170="",$T170=""),"",$L170-$T170)</f>
        <v/>
      </c>
      <c r="V170" s="11" t="str">
        <f aca="false">IF(OR($U170="",$L170=0),"",$U170/$L170)</f>
        <v/>
      </c>
      <c r="W170" s="8"/>
      <c r="X170" s="19" t="str">
        <f aca="false">IF($C170="","",IF(AND($H170="",N($I170)=0,N($K170)=0),"Dòng chỉ lưu thông tin khách (chưa có đơn); ",IF($B170="","Thiếu ngày đặt; ","")&amp;IF($H170="","Thiếu tên sản phẩm; ",IF($J170="","Sản phẩm chưa có trong BẢNG GIÁ GỐC; ",""))&amp;IF(N($I170)&lt;=0,"Thiếu số lượng; ","")&amp;IF(N($K170)&lt;=0,"Thiếu giá bán; ","")&amp;IF(AND($N170&gt;0,$F170=""),"Khách lấy VAT thiếu mã số thuế; ","")&amp;IF(N($Q170)&gt;$P170,"Đã thu vượt tổng phải thu; ","")&amp;IF(AND($L170&gt;0,$U170&lt;0),"CẢNH BÁO: ĐƠN NÀY ĐANG LỖ; ","")))</f>
        <v/>
      </c>
      <c r="Y170" s="16" t="str">
        <f aca="false">IF(AND($C170&lt;&gt;"",$R170&gt;0),COUNTIFS($C$6:$C170,"&lt;&gt;",$R$6:$R170,"&gt;0"),"")</f>
        <v/>
      </c>
      <c r="Z170" s="16" t="str">
        <f aca="false">IF(AND($H170&lt;&gt;"",N($N170)&gt;0),COUNTIFS($H$6:$H170,"&lt;&gt;",$N$6:$N170,"&gt;0"),"")</f>
        <v/>
      </c>
      <c r="AA170" s="16" t="str">
        <f aca="false">IF(AND($H170&lt;&gt;"",N($N170)=0),COUNTIFS($H$6:$H170,"&lt;&gt;",$N$6:$N170,"&lt;=0"),"")</f>
        <v/>
      </c>
      <c r="AB170" s="16" t="str">
        <f aca="false">IF($C170="","",IF(COUNTIF($C$6:$C170,$C170)&gt;1,"",MAX($AB$5:AB169)+1))</f>
        <v/>
      </c>
      <c r="AC170" s="16" t="str">
        <f aca="false">IF($H170="","",IF(COUNTIF($H$6:$H170,$H170)&gt;1,"",MAX($AC$5:AC169)+1))</f>
        <v/>
      </c>
    </row>
    <row r="171" customFormat="false" ht="15" hidden="false" customHeight="false" outlineLevel="0" collapsed="false">
      <c r="A171" s="16" t="str">
        <f aca="false">IF($C171="","",COUNTA($C$6:$C171))</f>
        <v/>
      </c>
      <c r="B171" s="17"/>
      <c r="C171" s="8"/>
      <c r="D171" s="8"/>
      <c r="E171" s="8"/>
      <c r="F171" s="8"/>
      <c r="G171" s="8"/>
      <c r="H171" s="8"/>
      <c r="I171" s="9"/>
      <c r="J171" s="10" t="str">
        <f aca="false">IF($H171="","",IFERROR(VLOOKUP($H171,'BẢNG GIÁ GỐC'!$A$5:$D$204,3,FALSE()),""))</f>
        <v/>
      </c>
      <c r="K171" s="9"/>
      <c r="L171" s="10" t="str">
        <f aca="false">IF($C171="","",N($I171)*N($K171))</f>
        <v/>
      </c>
      <c r="M171" s="8"/>
      <c r="N171" s="11" t="str">
        <f aca="false">IF($C171="","",IF($M171="VAT 5%",0.05,IF($M171="VAT 8%",0.08,IF($M171="VAT 10%",0.1,0))))</f>
        <v/>
      </c>
      <c r="O171" s="10" t="str">
        <f aca="false">IF($C171="","",$L171*$N171)</f>
        <v/>
      </c>
      <c r="P171" s="10" t="str">
        <f aca="false">IF($C171="","",$L171+$O171)</f>
        <v/>
      </c>
      <c r="Q171" s="9"/>
      <c r="R171" s="10" t="str">
        <f aca="false">IF($C171="","",MAX(0,$P171-N($Q171)))</f>
        <v/>
      </c>
      <c r="S171" s="19" t="str">
        <f aca="false">IF(OR($C171="",$P171=0),"",IF(N($Q171)&lt;=0,"Chưa thanh toán",IF(N($Q171)&lt;$P171,"Thanh toán một phần","Đã thanh toán")))</f>
        <v/>
      </c>
      <c r="T171" s="10" t="str">
        <f aca="false">IF(OR($C171="",$J171=""),"",N($I171)*$J171)</f>
        <v/>
      </c>
      <c r="U171" s="10" t="str">
        <f aca="false">IF(OR($C171="",$T171=""),"",$L171-$T171)</f>
        <v/>
      </c>
      <c r="V171" s="11" t="str">
        <f aca="false">IF(OR($U171="",$L171=0),"",$U171/$L171)</f>
        <v/>
      </c>
      <c r="W171" s="8"/>
      <c r="X171" s="19" t="str">
        <f aca="false">IF($C171="","",IF(AND($H171="",N($I171)=0,N($K171)=0),"Dòng chỉ lưu thông tin khách (chưa có đơn); ",IF($B171="","Thiếu ngày đặt; ","")&amp;IF($H171="","Thiếu tên sản phẩm; ",IF($J171="","Sản phẩm chưa có trong BẢNG GIÁ GỐC; ",""))&amp;IF(N($I171)&lt;=0,"Thiếu số lượng; ","")&amp;IF(N($K171)&lt;=0,"Thiếu giá bán; ","")&amp;IF(AND($N171&gt;0,$F171=""),"Khách lấy VAT thiếu mã số thuế; ","")&amp;IF(N($Q171)&gt;$P171,"Đã thu vượt tổng phải thu; ","")&amp;IF(AND($L171&gt;0,$U171&lt;0),"CẢNH BÁO: ĐƠN NÀY ĐANG LỖ; ","")))</f>
        <v/>
      </c>
      <c r="Y171" s="16" t="str">
        <f aca="false">IF(AND($C171&lt;&gt;"",$R171&gt;0),COUNTIFS($C$6:$C171,"&lt;&gt;",$R$6:$R171,"&gt;0"),"")</f>
        <v/>
      </c>
      <c r="Z171" s="16" t="str">
        <f aca="false">IF(AND($H171&lt;&gt;"",N($N171)&gt;0),COUNTIFS($H$6:$H171,"&lt;&gt;",$N$6:$N171,"&gt;0"),"")</f>
        <v/>
      </c>
      <c r="AA171" s="16" t="str">
        <f aca="false">IF(AND($H171&lt;&gt;"",N($N171)=0),COUNTIFS($H$6:$H171,"&lt;&gt;",$N$6:$N171,"&lt;=0"),"")</f>
        <v/>
      </c>
      <c r="AB171" s="16" t="str">
        <f aca="false">IF($C171="","",IF(COUNTIF($C$6:$C171,$C171)&gt;1,"",MAX($AB$5:AB170)+1))</f>
        <v/>
      </c>
      <c r="AC171" s="16" t="str">
        <f aca="false">IF($H171="","",IF(COUNTIF($H$6:$H171,$H171)&gt;1,"",MAX($AC$5:AC170)+1))</f>
        <v/>
      </c>
    </row>
    <row r="172" customFormat="false" ht="15" hidden="false" customHeight="false" outlineLevel="0" collapsed="false">
      <c r="A172" s="16" t="str">
        <f aca="false">IF($C172="","",COUNTA($C$6:$C172))</f>
        <v/>
      </c>
      <c r="B172" s="17"/>
      <c r="C172" s="8"/>
      <c r="D172" s="8"/>
      <c r="E172" s="8"/>
      <c r="F172" s="8"/>
      <c r="G172" s="8"/>
      <c r="H172" s="8"/>
      <c r="I172" s="9"/>
      <c r="J172" s="10" t="str">
        <f aca="false">IF($H172="","",IFERROR(VLOOKUP($H172,'BẢNG GIÁ GỐC'!$A$5:$D$204,3,FALSE()),""))</f>
        <v/>
      </c>
      <c r="K172" s="9"/>
      <c r="L172" s="10" t="str">
        <f aca="false">IF($C172="","",N($I172)*N($K172))</f>
        <v/>
      </c>
      <c r="M172" s="8"/>
      <c r="N172" s="11" t="str">
        <f aca="false">IF($C172="","",IF($M172="VAT 5%",0.05,IF($M172="VAT 8%",0.08,IF($M172="VAT 10%",0.1,0))))</f>
        <v/>
      </c>
      <c r="O172" s="10" t="str">
        <f aca="false">IF($C172="","",$L172*$N172)</f>
        <v/>
      </c>
      <c r="P172" s="10" t="str">
        <f aca="false">IF($C172="","",$L172+$O172)</f>
        <v/>
      </c>
      <c r="Q172" s="9"/>
      <c r="R172" s="10" t="str">
        <f aca="false">IF($C172="","",MAX(0,$P172-N($Q172)))</f>
        <v/>
      </c>
      <c r="S172" s="19" t="str">
        <f aca="false">IF(OR($C172="",$P172=0),"",IF(N($Q172)&lt;=0,"Chưa thanh toán",IF(N($Q172)&lt;$P172,"Thanh toán một phần","Đã thanh toán")))</f>
        <v/>
      </c>
      <c r="T172" s="10" t="str">
        <f aca="false">IF(OR($C172="",$J172=""),"",N($I172)*$J172)</f>
        <v/>
      </c>
      <c r="U172" s="10" t="str">
        <f aca="false">IF(OR($C172="",$T172=""),"",$L172-$T172)</f>
        <v/>
      </c>
      <c r="V172" s="11" t="str">
        <f aca="false">IF(OR($U172="",$L172=0),"",$U172/$L172)</f>
        <v/>
      </c>
      <c r="W172" s="8"/>
      <c r="X172" s="19" t="str">
        <f aca="false">IF($C172="","",IF(AND($H172="",N($I172)=0,N($K172)=0),"Dòng chỉ lưu thông tin khách (chưa có đơn); ",IF($B172="","Thiếu ngày đặt; ","")&amp;IF($H172="","Thiếu tên sản phẩm; ",IF($J172="","Sản phẩm chưa có trong BẢNG GIÁ GỐC; ",""))&amp;IF(N($I172)&lt;=0,"Thiếu số lượng; ","")&amp;IF(N($K172)&lt;=0,"Thiếu giá bán; ","")&amp;IF(AND($N172&gt;0,$F172=""),"Khách lấy VAT thiếu mã số thuế; ","")&amp;IF(N($Q172)&gt;$P172,"Đã thu vượt tổng phải thu; ","")&amp;IF(AND($L172&gt;0,$U172&lt;0),"CẢNH BÁO: ĐƠN NÀY ĐANG LỖ; ","")))</f>
        <v/>
      </c>
      <c r="Y172" s="16" t="str">
        <f aca="false">IF(AND($C172&lt;&gt;"",$R172&gt;0),COUNTIFS($C$6:$C172,"&lt;&gt;",$R$6:$R172,"&gt;0"),"")</f>
        <v/>
      </c>
      <c r="Z172" s="16" t="str">
        <f aca="false">IF(AND($H172&lt;&gt;"",N($N172)&gt;0),COUNTIFS($H$6:$H172,"&lt;&gt;",$N$6:$N172,"&gt;0"),"")</f>
        <v/>
      </c>
      <c r="AA172" s="16" t="str">
        <f aca="false">IF(AND($H172&lt;&gt;"",N($N172)=0),COUNTIFS($H$6:$H172,"&lt;&gt;",$N$6:$N172,"&lt;=0"),"")</f>
        <v/>
      </c>
      <c r="AB172" s="16" t="str">
        <f aca="false">IF($C172="","",IF(COUNTIF($C$6:$C172,$C172)&gt;1,"",MAX($AB$5:AB171)+1))</f>
        <v/>
      </c>
      <c r="AC172" s="16" t="str">
        <f aca="false">IF($H172="","",IF(COUNTIF($H$6:$H172,$H172)&gt;1,"",MAX($AC$5:AC171)+1))</f>
        <v/>
      </c>
    </row>
    <row r="173" customFormat="false" ht="15" hidden="false" customHeight="false" outlineLevel="0" collapsed="false">
      <c r="A173" s="16" t="str">
        <f aca="false">IF($C173="","",COUNTA($C$6:$C173))</f>
        <v/>
      </c>
      <c r="B173" s="17"/>
      <c r="C173" s="8"/>
      <c r="D173" s="8"/>
      <c r="E173" s="8"/>
      <c r="F173" s="8"/>
      <c r="G173" s="8"/>
      <c r="H173" s="8"/>
      <c r="I173" s="9"/>
      <c r="J173" s="10" t="str">
        <f aca="false">IF($H173="","",IFERROR(VLOOKUP($H173,'BẢNG GIÁ GỐC'!$A$5:$D$204,3,FALSE()),""))</f>
        <v/>
      </c>
      <c r="K173" s="9"/>
      <c r="L173" s="10" t="str">
        <f aca="false">IF($C173="","",N($I173)*N($K173))</f>
        <v/>
      </c>
      <c r="M173" s="8"/>
      <c r="N173" s="11" t="str">
        <f aca="false">IF($C173="","",IF($M173="VAT 5%",0.05,IF($M173="VAT 8%",0.08,IF($M173="VAT 10%",0.1,0))))</f>
        <v/>
      </c>
      <c r="O173" s="10" t="str">
        <f aca="false">IF($C173="","",$L173*$N173)</f>
        <v/>
      </c>
      <c r="P173" s="10" t="str">
        <f aca="false">IF($C173="","",$L173+$O173)</f>
        <v/>
      </c>
      <c r="Q173" s="9"/>
      <c r="R173" s="10" t="str">
        <f aca="false">IF($C173="","",MAX(0,$P173-N($Q173)))</f>
        <v/>
      </c>
      <c r="S173" s="19" t="str">
        <f aca="false">IF(OR($C173="",$P173=0),"",IF(N($Q173)&lt;=0,"Chưa thanh toán",IF(N($Q173)&lt;$P173,"Thanh toán một phần","Đã thanh toán")))</f>
        <v/>
      </c>
      <c r="T173" s="10" t="str">
        <f aca="false">IF(OR($C173="",$J173=""),"",N($I173)*$J173)</f>
        <v/>
      </c>
      <c r="U173" s="10" t="str">
        <f aca="false">IF(OR($C173="",$T173=""),"",$L173-$T173)</f>
        <v/>
      </c>
      <c r="V173" s="11" t="str">
        <f aca="false">IF(OR($U173="",$L173=0),"",$U173/$L173)</f>
        <v/>
      </c>
      <c r="W173" s="8"/>
      <c r="X173" s="19" t="str">
        <f aca="false">IF($C173="","",IF(AND($H173="",N($I173)=0,N($K173)=0),"Dòng chỉ lưu thông tin khách (chưa có đơn); ",IF($B173="","Thiếu ngày đặt; ","")&amp;IF($H173="","Thiếu tên sản phẩm; ",IF($J173="","Sản phẩm chưa có trong BẢNG GIÁ GỐC; ",""))&amp;IF(N($I173)&lt;=0,"Thiếu số lượng; ","")&amp;IF(N($K173)&lt;=0,"Thiếu giá bán; ","")&amp;IF(AND($N173&gt;0,$F173=""),"Khách lấy VAT thiếu mã số thuế; ","")&amp;IF(N($Q173)&gt;$P173,"Đã thu vượt tổng phải thu; ","")&amp;IF(AND($L173&gt;0,$U173&lt;0),"CẢNH BÁO: ĐƠN NÀY ĐANG LỖ; ","")))</f>
        <v/>
      </c>
      <c r="Y173" s="16" t="str">
        <f aca="false">IF(AND($C173&lt;&gt;"",$R173&gt;0),COUNTIFS($C$6:$C173,"&lt;&gt;",$R$6:$R173,"&gt;0"),"")</f>
        <v/>
      </c>
      <c r="Z173" s="16" t="str">
        <f aca="false">IF(AND($H173&lt;&gt;"",N($N173)&gt;0),COUNTIFS($H$6:$H173,"&lt;&gt;",$N$6:$N173,"&gt;0"),"")</f>
        <v/>
      </c>
      <c r="AA173" s="16" t="str">
        <f aca="false">IF(AND($H173&lt;&gt;"",N($N173)=0),COUNTIFS($H$6:$H173,"&lt;&gt;",$N$6:$N173,"&lt;=0"),"")</f>
        <v/>
      </c>
      <c r="AB173" s="16" t="str">
        <f aca="false">IF($C173="","",IF(COUNTIF($C$6:$C173,$C173)&gt;1,"",MAX($AB$5:AB172)+1))</f>
        <v/>
      </c>
      <c r="AC173" s="16" t="str">
        <f aca="false">IF($H173="","",IF(COUNTIF($H$6:$H173,$H173)&gt;1,"",MAX($AC$5:AC172)+1))</f>
        <v/>
      </c>
    </row>
    <row r="174" customFormat="false" ht="15" hidden="false" customHeight="false" outlineLevel="0" collapsed="false">
      <c r="A174" s="16" t="str">
        <f aca="false">IF($C174="","",COUNTA($C$6:$C174))</f>
        <v/>
      </c>
      <c r="B174" s="17"/>
      <c r="C174" s="8"/>
      <c r="D174" s="8"/>
      <c r="E174" s="8"/>
      <c r="F174" s="8"/>
      <c r="G174" s="8"/>
      <c r="H174" s="8"/>
      <c r="I174" s="9"/>
      <c r="J174" s="10" t="str">
        <f aca="false">IF($H174="","",IFERROR(VLOOKUP($H174,'BẢNG GIÁ GỐC'!$A$5:$D$204,3,FALSE()),""))</f>
        <v/>
      </c>
      <c r="K174" s="9"/>
      <c r="L174" s="10" t="str">
        <f aca="false">IF($C174="","",N($I174)*N($K174))</f>
        <v/>
      </c>
      <c r="M174" s="8"/>
      <c r="N174" s="11" t="str">
        <f aca="false">IF($C174="","",IF($M174="VAT 5%",0.05,IF($M174="VAT 8%",0.08,IF($M174="VAT 10%",0.1,0))))</f>
        <v/>
      </c>
      <c r="O174" s="10" t="str">
        <f aca="false">IF($C174="","",$L174*$N174)</f>
        <v/>
      </c>
      <c r="P174" s="10" t="str">
        <f aca="false">IF($C174="","",$L174+$O174)</f>
        <v/>
      </c>
      <c r="Q174" s="9"/>
      <c r="R174" s="10" t="str">
        <f aca="false">IF($C174="","",MAX(0,$P174-N($Q174)))</f>
        <v/>
      </c>
      <c r="S174" s="19" t="str">
        <f aca="false">IF(OR($C174="",$P174=0),"",IF(N($Q174)&lt;=0,"Chưa thanh toán",IF(N($Q174)&lt;$P174,"Thanh toán một phần","Đã thanh toán")))</f>
        <v/>
      </c>
      <c r="T174" s="10" t="str">
        <f aca="false">IF(OR($C174="",$J174=""),"",N($I174)*$J174)</f>
        <v/>
      </c>
      <c r="U174" s="10" t="str">
        <f aca="false">IF(OR($C174="",$T174=""),"",$L174-$T174)</f>
        <v/>
      </c>
      <c r="V174" s="11" t="str">
        <f aca="false">IF(OR($U174="",$L174=0),"",$U174/$L174)</f>
        <v/>
      </c>
      <c r="W174" s="8"/>
      <c r="X174" s="19" t="str">
        <f aca="false">IF($C174="","",IF(AND($H174="",N($I174)=0,N($K174)=0),"Dòng chỉ lưu thông tin khách (chưa có đơn); ",IF($B174="","Thiếu ngày đặt; ","")&amp;IF($H174="","Thiếu tên sản phẩm; ",IF($J174="","Sản phẩm chưa có trong BẢNG GIÁ GỐC; ",""))&amp;IF(N($I174)&lt;=0,"Thiếu số lượng; ","")&amp;IF(N($K174)&lt;=0,"Thiếu giá bán; ","")&amp;IF(AND($N174&gt;0,$F174=""),"Khách lấy VAT thiếu mã số thuế; ","")&amp;IF(N($Q174)&gt;$P174,"Đã thu vượt tổng phải thu; ","")&amp;IF(AND($L174&gt;0,$U174&lt;0),"CẢNH BÁO: ĐƠN NÀY ĐANG LỖ; ","")))</f>
        <v/>
      </c>
      <c r="Y174" s="16" t="str">
        <f aca="false">IF(AND($C174&lt;&gt;"",$R174&gt;0),COUNTIFS($C$6:$C174,"&lt;&gt;",$R$6:$R174,"&gt;0"),"")</f>
        <v/>
      </c>
      <c r="Z174" s="16" t="str">
        <f aca="false">IF(AND($H174&lt;&gt;"",N($N174)&gt;0),COUNTIFS($H$6:$H174,"&lt;&gt;",$N$6:$N174,"&gt;0"),"")</f>
        <v/>
      </c>
      <c r="AA174" s="16" t="str">
        <f aca="false">IF(AND($H174&lt;&gt;"",N($N174)=0),COUNTIFS($H$6:$H174,"&lt;&gt;",$N$6:$N174,"&lt;=0"),"")</f>
        <v/>
      </c>
      <c r="AB174" s="16" t="str">
        <f aca="false">IF($C174="","",IF(COUNTIF($C$6:$C174,$C174)&gt;1,"",MAX($AB$5:AB173)+1))</f>
        <v/>
      </c>
      <c r="AC174" s="16" t="str">
        <f aca="false">IF($H174="","",IF(COUNTIF($H$6:$H174,$H174)&gt;1,"",MAX($AC$5:AC173)+1))</f>
        <v/>
      </c>
    </row>
    <row r="175" customFormat="false" ht="15" hidden="false" customHeight="false" outlineLevel="0" collapsed="false">
      <c r="A175" s="16" t="str">
        <f aca="false">IF($C175="","",COUNTA($C$6:$C175))</f>
        <v/>
      </c>
      <c r="B175" s="17"/>
      <c r="C175" s="8"/>
      <c r="D175" s="8"/>
      <c r="E175" s="8"/>
      <c r="F175" s="8"/>
      <c r="G175" s="8"/>
      <c r="H175" s="8"/>
      <c r="I175" s="9"/>
      <c r="J175" s="10" t="str">
        <f aca="false">IF($H175="","",IFERROR(VLOOKUP($H175,'BẢNG GIÁ GỐC'!$A$5:$D$204,3,FALSE()),""))</f>
        <v/>
      </c>
      <c r="K175" s="9"/>
      <c r="L175" s="10" t="str">
        <f aca="false">IF($C175="","",N($I175)*N($K175))</f>
        <v/>
      </c>
      <c r="M175" s="8"/>
      <c r="N175" s="11" t="str">
        <f aca="false">IF($C175="","",IF($M175="VAT 5%",0.05,IF($M175="VAT 8%",0.08,IF($M175="VAT 10%",0.1,0))))</f>
        <v/>
      </c>
      <c r="O175" s="10" t="str">
        <f aca="false">IF($C175="","",$L175*$N175)</f>
        <v/>
      </c>
      <c r="P175" s="10" t="str">
        <f aca="false">IF($C175="","",$L175+$O175)</f>
        <v/>
      </c>
      <c r="Q175" s="9"/>
      <c r="R175" s="10" t="str">
        <f aca="false">IF($C175="","",MAX(0,$P175-N($Q175)))</f>
        <v/>
      </c>
      <c r="S175" s="19" t="str">
        <f aca="false">IF(OR($C175="",$P175=0),"",IF(N($Q175)&lt;=0,"Chưa thanh toán",IF(N($Q175)&lt;$P175,"Thanh toán một phần","Đã thanh toán")))</f>
        <v/>
      </c>
      <c r="T175" s="10" t="str">
        <f aca="false">IF(OR($C175="",$J175=""),"",N($I175)*$J175)</f>
        <v/>
      </c>
      <c r="U175" s="10" t="str">
        <f aca="false">IF(OR($C175="",$T175=""),"",$L175-$T175)</f>
        <v/>
      </c>
      <c r="V175" s="11" t="str">
        <f aca="false">IF(OR($U175="",$L175=0),"",$U175/$L175)</f>
        <v/>
      </c>
      <c r="W175" s="8"/>
      <c r="X175" s="19" t="str">
        <f aca="false">IF($C175="","",IF(AND($H175="",N($I175)=0,N($K175)=0),"Dòng chỉ lưu thông tin khách (chưa có đơn); ",IF($B175="","Thiếu ngày đặt; ","")&amp;IF($H175="","Thiếu tên sản phẩm; ",IF($J175="","Sản phẩm chưa có trong BẢNG GIÁ GỐC; ",""))&amp;IF(N($I175)&lt;=0,"Thiếu số lượng; ","")&amp;IF(N($K175)&lt;=0,"Thiếu giá bán; ","")&amp;IF(AND($N175&gt;0,$F175=""),"Khách lấy VAT thiếu mã số thuế; ","")&amp;IF(N($Q175)&gt;$P175,"Đã thu vượt tổng phải thu; ","")&amp;IF(AND($L175&gt;0,$U175&lt;0),"CẢNH BÁO: ĐƠN NÀY ĐANG LỖ; ","")))</f>
        <v/>
      </c>
      <c r="Y175" s="16" t="str">
        <f aca="false">IF(AND($C175&lt;&gt;"",$R175&gt;0),COUNTIFS($C$6:$C175,"&lt;&gt;",$R$6:$R175,"&gt;0"),"")</f>
        <v/>
      </c>
      <c r="Z175" s="16" t="str">
        <f aca="false">IF(AND($H175&lt;&gt;"",N($N175)&gt;0),COUNTIFS($H$6:$H175,"&lt;&gt;",$N$6:$N175,"&gt;0"),"")</f>
        <v/>
      </c>
      <c r="AA175" s="16" t="str">
        <f aca="false">IF(AND($H175&lt;&gt;"",N($N175)=0),COUNTIFS($H$6:$H175,"&lt;&gt;",$N$6:$N175,"&lt;=0"),"")</f>
        <v/>
      </c>
      <c r="AB175" s="16" t="str">
        <f aca="false">IF($C175="","",IF(COUNTIF($C$6:$C175,$C175)&gt;1,"",MAX($AB$5:AB174)+1))</f>
        <v/>
      </c>
      <c r="AC175" s="16" t="str">
        <f aca="false">IF($H175="","",IF(COUNTIF($H$6:$H175,$H175)&gt;1,"",MAX($AC$5:AC174)+1))</f>
        <v/>
      </c>
    </row>
    <row r="176" customFormat="false" ht="15" hidden="false" customHeight="false" outlineLevel="0" collapsed="false">
      <c r="A176" s="16" t="str">
        <f aca="false">IF($C176="","",COUNTA($C$6:$C176))</f>
        <v/>
      </c>
      <c r="B176" s="17"/>
      <c r="C176" s="8"/>
      <c r="D176" s="8"/>
      <c r="E176" s="8"/>
      <c r="F176" s="8"/>
      <c r="G176" s="8"/>
      <c r="H176" s="8"/>
      <c r="I176" s="9"/>
      <c r="J176" s="10" t="str">
        <f aca="false">IF($H176="","",IFERROR(VLOOKUP($H176,'BẢNG GIÁ GỐC'!$A$5:$D$204,3,FALSE()),""))</f>
        <v/>
      </c>
      <c r="K176" s="9"/>
      <c r="L176" s="10" t="str">
        <f aca="false">IF($C176="","",N($I176)*N($K176))</f>
        <v/>
      </c>
      <c r="M176" s="8"/>
      <c r="N176" s="11" t="str">
        <f aca="false">IF($C176="","",IF($M176="VAT 5%",0.05,IF($M176="VAT 8%",0.08,IF($M176="VAT 10%",0.1,0))))</f>
        <v/>
      </c>
      <c r="O176" s="10" t="str">
        <f aca="false">IF($C176="","",$L176*$N176)</f>
        <v/>
      </c>
      <c r="P176" s="10" t="str">
        <f aca="false">IF($C176="","",$L176+$O176)</f>
        <v/>
      </c>
      <c r="Q176" s="9"/>
      <c r="R176" s="10" t="str">
        <f aca="false">IF($C176="","",MAX(0,$P176-N($Q176)))</f>
        <v/>
      </c>
      <c r="S176" s="19" t="str">
        <f aca="false">IF(OR($C176="",$P176=0),"",IF(N($Q176)&lt;=0,"Chưa thanh toán",IF(N($Q176)&lt;$P176,"Thanh toán một phần","Đã thanh toán")))</f>
        <v/>
      </c>
      <c r="T176" s="10" t="str">
        <f aca="false">IF(OR($C176="",$J176=""),"",N($I176)*$J176)</f>
        <v/>
      </c>
      <c r="U176" s="10" t="str">
        <f aca="false">IF(OR($C176="",$T176=""),"",$L176-$T176)</f>
        <v/>
      </c>
      <c r="V176" s="11" t="str">
        <f aca="false">IF(OR($U176="",$L176=0),"",$U176/$L176)</f>
        <v/>
      </c>
      <c r="W176" s="8"/>
      <c r="X176" s="19" t="str">
        <f aca="false">IF($C176="","",IF(AND($H176="",N($I176)=0,N($K176)=0),"Dòng chỉ lưu thông tin khách (chưa có đơn); ",IF($B176="","Thiếu ngày đặt; ","")&amp;IF($H176="","Thiếu tên sản phẩm; ",IF($J176="","Sản phẩm chưa có trong BẢNG GIÁ GỐC; ",""))&amp;IF(N($I176)&lt;=0,"Thiếu số lượng; ","")&amp;IF(N($K176)&lt;=0,"Thiếu giá bán; ","")&amp;IF(AND($N176&gt;0,$F176=""),"Khách lấy VAT thiếu mã số thuế; ","")&amp;IF(N($Q176)&gt;$P176,"Đã thu vượt tổng phải thu; ","")&amp;IF(AND($L176&gt;0,$U176&lt;0),"CẢNH BÁO: ĐƠN NÀY ĐANG LỖ; ","")))</f>
        <v/>
      </c>
      <c r="Y176" s="16" t="str">
        <f aca="false">IF(AND($C176&lt;&gt;"",$R176&gt;0),COUNTIFS($C$6:$C176,"&lt;&gt;",$R$6:$R176,"&gt;0"),"")</f>
        <v/>
      </c>
      <c r="Z176" s="16" t="str">
        <f aca="false">IF(AND($H176&lt;&gt;"",N($N176)&gt;0),COUNTIFS($H$6:$H176,"&lt;&gt;",$N$6:$N176,"&gt;0"),"")</f>
        <v/>
      </c>
      <c r="AA176" s="16" t="str">
        <f aca="false">IF(AND($H176&lt;&gt;"",N($N176)=0),COUNTIFS($H$6:$H176,"&lt;&gt;",$N$6:$N176,"&lt;=0"),"")</f>
        <v/>
      </c>
      <c r="AB176" s="16" t="str">
        <f aca="false">IF($C176="","",IF(COUNTIF($C$6:$C176,$C176)&gt;1,"",MAX($AB$5:AB175)+1))</f>
        <v/>
      </c>
      <c r="AC176" s="16" t="str">
        <f aca="false">IF($H176="","",IF(COUNTIF($H$6:$H176,$H176)&gt;1,"",MAX($AC$5:AC175)+1))</f>
        <v/>
      </c>
    </row>
    <row r="177" customFormat="false" ht="15" hidden="false" customHeight="false" outlineLevel="0" collapsed="false">
      <c r="A177" s="16" t="str">
        <f aca="false">IF($C177="","",COUNTA($C$6:$C177))</f>
        <v/>
      </c>
      <c r="B177" s="17"/>
      <c r="C177" s="8"/>
      <c r="D177" s="8"/>
      <c r="E177" s="8"/>
      <c r="F177" s="8"/>
      <c r="G177" s="8"/>
      <c r="H177" s="8"/>
      <c r="I177" s="9"/>
      <c r="J177" s="10" t="str">
        <f aca="false">IF($H177="","",IFERROR(VLOOKUP($H177,'BẢNG GIÁ GỐC'!$A$5:$D$204,3,FALSE()),""))</f>
        <v/>
      </c>
      <c r="K177" s="9"/>
      <c r="L177" s="10" t="str">
        <f aca="false">IF($C177="","",N($I177)*N($K177))</f>
        <v/>
      </c>
      <c r="M177" s="8"/>
      <c r="N177" s="11" t="str">
        <f aca="false">IF($C177="","",IF($M177="VAT 5%",0.05,IF($M177="VAT 8%",0.08,IF($M177="VAT 10%",0.1,0))))</f>
        <v/>
      </c>
      <c r="O177" s="10" t="str">
        <f aca="false">IF($C177="","",$L177*$N177)</f>
        <v/>
      </c>
      <c r="P177" s="10" t="str">
        <f aca="false">IF($C177="","",$L177+$O177)</f>
        <v/>
      </c>
      <c r="Q177" s="9"/>
      <c r="R177" s="10" t="str">
        <f aca="false">IF($C177="","",MAX(0,$P177-N($Q177)))</f>
        <v/>
      </c>
      <c r="S177" s="19" t="str">
        <f aca="false">IF(OR($C177="",$P177=0),"",IF(N($Q177)&lt;=0,"Chưa thanh toán",IF(N($Q177)&lt;$P177,"Thanh toán một phần","Đã thanh toán")))</f>
        <v/>
      </c>
      <c r="T177" s="10" t="str">
        <f aca="false">IF(OR($C177="",$J177=""),"",N($I177)*$J177)</f>
        <v/>
      </c>
      <c r="U177" s="10" t="str">
        <f aca="false">IF(OR($C177="",$T177=""),"",$L177-$T177)</f>
        <v/>
      </c>
      <c r="V177" s="11" t="str">
        <f aca="false">IF(OR($U177="",$L177=0),"",$U177/$L177)</f>
        <v/>
      </c>
      <c r="W177" s="8"/>
      <c r="X177" s="19" t="str">
        <f aca="false">IF($C177="","",IF(AND($H177="",N($I177)=0,N($K177)=0),"Dòng chỉ lưu thông tin khách (chưa có đơn); ",IF($B177="","Thiếu ngày đặt; ","")&amp;IF($H177="","Thiếu tên sản phẩm; ",IF($J177="","Sản phẩm chưa có trong BẢNG GIÁ GỐC; ",""))&amp;IF(N($I177)&lt;=0,"Thiếu số lượng; ","")&amp;IF(N($K177)&lt;=0,"Thiếu giá bán; ","")&amp;IF(AND($N177&gt;0,$F177=""),"Khách lấy VAT thiếu mã số thuế; ","")&amp;IF(N($Q177)&gt;$P177,"Đã thu vượt tổng phải thu; ","")&amp;IF(AND($L177&gt;0,$U177&lt;0),"CẢNH BÁO: ĐƠN NÀY ĐANG LỖ; ","")))</f>
        <v/>
      </c>
      <c r="Y177" s="16" t="str">
        <f aca="false">IF(AND($C177&lt;&gt;"",$R177&gt;0),COUNTIFS($C$6:$C177,"&lt;&gt;",$R$6:$R177,"&gt;0"),"")</f>
        <v/>
      </c>
      <c r="Z177" s="16" t="str">
        <f aca="false">IF(AND($H177&lt;&gt;"",N($N177)&gt;0),COUNTIFS($H$6:$H177,"&lt;&gt;",$N$6:$N177,"&gt;0"),"")</f>
        <v/>
      </c>
      <c r="AA177" s="16" t="str">
        <f aca="false">IF(AND($H177&lt;&gt;"",N($N177)=0),COUNTIFS($H$6:$H177,"&lt;&gt;",$N$6:$N177,"&lt;=0"),"")</f>
        <v/>
      </c>
      <c r="AB177" s="16" t="str">
        <f aca="false">IF($C177="","",IF(COUNTIF($C$6:$C177,$C177)&gt;1,"",MAX($AB$5:AB176)+1))</f>
        <v/>
      </c>
      <c r="AC177" s="16" t="str">
        <f aca="false">IF($H177="","",IF(COUNTIF($H$6:$H177,$H177)&gt;1,"",MAX($AC$5:AC176)+1))</f>
        <v/>
      </c>
    </row>
    <row r="178" customFormat="false" ht="15" hidden="false" customHeight="false" outlineLevel="0" collapsed="false">
      <c r="A178" s="16" t="str">
        <f aca="false">IF($C178="","",COUNTA($C$6:$C178))</f>
        <v/>
      </c>
      <c r="B178" s="17"/>
      <c r="C178" s="8"/>
      <c r="D178" s="8"/>
      <c r="E178" s="8"/>
      <c r="F178" s="8"/>
      <c r="G178" s="8"/>
      <c r="H178" s="8"/>
      <c r="I178" s="9"/>
      <c r="J178" s="10" t="str">
        <f aca="false">IF($H178="","",IFERROR(VLOOKUP($H178,'BẢNG GIÁ GỐC'!$A$5:$D$204,3,FALSE()),""))</f>
        <v/>
      </c>
      <c r="K178" s="9"/>
      <c r="L178" s="10" t="str">
        <f aca="false">IF($C178="","",N($I178)*N($K178))</f>
        <v/>
      </c>
      <c r="M178" s="8"/>
      <c r="N178" s="11" t="str">
        <f aca="false">IF($C178="","",IF($M178="VAT 5%",0.05,IF($M178="VAT 8%",0.08,IF($M178="VAT 10%",0.1,0))))</f>
        <v/>
      </c>
      <c r="O178" s="10" t="str">
        <f aca="false">IF($C178="","",$L178*$N178)</f>
        <v/>
      </c>
      <c r="P178" s="10" t="str">
        <f aca="false">IF($C178="","",$L178+$O178)</f>
        <v/>
      </c>
      <c r="Q178" s="9"/>
      <c r="R178" s="10" t="str">
        <f aca="false">IF($C178="","",MAX(0,$P178-N($Q178)))</f>
        <v/>
      </c>
      <c r="S178" s="19" t="str">
        <f aca="false">IF(OR($C178="",$P178=0),"",IF(N($Q178)&lt;=0,"Chưa thanh toán",IF(N($Q178)&lt;$P178,"Thanh toán một phần","Đã thanh toán")))</f>
        <v/>
      </c>
      <c r="T178" s="10" t="str">
        <f aca="false">IF(OR($C178="",$J178=""),"",N($I178)*$J178)</f>
        <v/>
      </c>
      <c r="U178" s="10" t="str">
        <f aca="false">IF(OR($C178="",$T178=""),"",$L178-$T178)</f>
        <v/>
      </c>
      <c r="V178" s="11" t="str">
        <f aca="false">IF(OR($U178="",$L178=0),"",$U178/$L178)</f>
        <v/>
      </c>
      <c r="W178" s="8"/>
      <c r="X178" s="19" t="str">
        <f aca="false">IF($C178="","",IF(AND($H178="",N($I178)=0,N($K178)=0),"Dòng chỉ lưu thông tin khách (chưa có đơn); ",IF($B178="","Thiếu ngày đặt; ","")&amp;IF($H178="","Thiếu tên sản phẩm; ",IF($J178="","Sản phẩm chưa có trong BẢNG GIÁ GỐC; ",""))&amp;IF(N($I178)&lt;=0,"Thiếu số lượng; ","")&amp;IF(N($K178)&lt;=0,"Thiếu giá bán; ","")&amp;IF(AND($N178&gt;0,$F178=""),"Khách lấy VAT thiếu mã số thuế; ","")&amp;IF(N($Q178)&gt;$P178,"Đã thu vượt tổng phải thu; ","")&amp;IF(AND($L178&gt;0,$U178&lt;0),"CẢNH BÁO: ĐƠN NÀY ĐANG LỖ; ","")))</f>
        <v/>
      </c>
      <c r="Y178" s="16" t="str">
        <f aca="false">IF(AND($C178&lt;&gt;"",$R178&gt;0),COUNTIFS($C$6:$C178,"&lt;&gt;",$R$6:$R178,"&gt;0"),"")</f>
        <v/>
      </c>
      <c r="Z178" s="16" t="str">
        <f aca="false">IF(AND($H178&lt;&gt;"",N($N178)&gt;0),COUNTIFS($H$6:$H178,"&lt;&gt;",$N$6:$N178,"&gt;0"),"")</f>
        <v/>
      </c>
      <c r="AA178" s="16" t="str">
        <f aca="false">IF(AND($H178&lt;&gt;"",N($N178)=0),COUNTIFS($H$6:$H178,"&lt;&gt;",$N$6:$N178,"&lt;=0"),"")</f>
        <v/>
      </c>
      <c r="AB178" s="16" t="str">
        <f aca="false">IF($C178="","",IF(COUNTIF($C$6:$C178,$C178)&gt;1,"",MAX($AB$5:AB177)+1))</f>
        <v/>
      </c>
      <c r="AC178" s="16" t="str">
        <f aca="false">IF($H178="","",IF(COUNTIF($H$6:$H178,$H178)&gt;1,"",MAX($AC$5:AC177)+1))</f>
        <v/>
      </c>
    </row>
    <row r="179" customFormat="false" ht="15" hidden="false" customHeight="false" outlineLevel="0" collapsed="false">
      <c r="A179" s="16" t="str">
        <f aca="false">IF($C179="","",COUNTA($C$6:$C179))</f>
        <v/>
      </c>
      <c r="B179" s="17"/>
      <c r="C179" s="8"/>
      <c r="D179" s="8"/>
      <c r="E179" s="8"/>
      <c r="F179" s="8"/>
      <c r="G179" s="8"/>
      <c r="H179" s="8"/>
      <c r="I179" s="9"/>
      <c r="J179" s="10" t="str">
        <f aca="false">IF($H179="","",IFERROR(VLOOKUP($H179,'BẢNG GIÁ GỐC'!$A$5:$D$204,3,FALSE()),""))</f>
        <v/>
      </c>
      <c r="K179" s="9"/>
      <c r="L179" s="10" t="str">
        <f aca="false">IF($C179="","",N($I179)*N($K179))</f>
        <v/>
      </c>
      <c r="M179" s="8"/>
      <c r="N179" s="11" t="str">
        <f aca="false">IF($C179="","",IF($M179="VAT 5%",0.05,IF($M179="VAT 8%",0.08,IF($M179="VAT 10%",0.1,0))))</f>
        <v/>
      </c>
      <c r="O179" s="10" t="str">
        <f aca="false">IF($C179="","",$L179*$N179)</f>
        <v/>
      </c>
      <c r="P179" s="10" t="str">
        <f aca="false">IF($C179="","",$L179+$O179)</f>
        <v/>
      </c>
      <c r="Q179" s="9"/>
      <c r="R179" s="10" t="str">
        <f aca="false">IF($C179="","",MAX(0,$P179-N($Q179)))</f>
        <v/>
      </c>
      <c r="S179" s="19" t="str">
        <f aca="false">IF(OR($C179="",$P179=0),"",IF(N($Q179)&lt;=0,"Chưa thanh toán",IF(N($Q179)&lt;$P179,"Thanh toán một phần","Đã thanh toán")))</f>
        <v/>
      </c>
      <c r="T179" s="10" t="str">
        <f aca="false">IF(OR($C179="",$J179=""),"",N($I179)*$J179)</f>
        <v/>
      </c>
      <c r="U179" s="10" t="str">
        <f aca="false">IF(OR($C179="",$T179=""),"",$L179-$T179)</f>
        <v/>
      </c>
      <c r="V179" s="11" t="str">
        <f aca="false">IF(OR($U179="",$L179=0),"",$U179/$L179)</f>
        <v/>
      </c>
      <c r="W179" s="8"/>
      <c r="X179" s="19" t="str">
        <f aca="false">IF($C179="","",IF(AND($H179="",N($I179)=0,N($K179)=0),"Dòng chỉ lưu thông tin khách (chưa có đơn); ",IF($B179="","Thiếu ngày đặt; ","")&amp;IF($H179="","Thiếu tên sản phẩm; ",IF($J179="","Sản phẩm chưa có trong BẢNG GIÁ GỐC; ",""))&amp;IF(N($I179)&lt;=0,"Thiếu số lượng; ","")&amp;IF(N($K179)&lt;=0,"Thiếu giá bán; ","")&amp;IF(AND($N179&gt;0,$F179=""),"Khách lấy VAT thiếu mã số thuế; ","")&amp;IF(N($Q179)&gt;$P179,"Đã thu vượt tổng phải thu; ","")&amp;IF(AND($L179&gt;0,$U179&lt;0),"CẢNH BÁO: ĐƠN NÀY ĐANG LỖ; ","")))</f>
        <v/>
      </c>
      <c r="Y179" s="16" t="str">
        <f aca="false">IF(AND($C179&lt;&gt;"",$R179&gt;0),COUNTIFS($C$6:$C179,"&lt;&gt;",$R$6:$R179,"&gt;0"),"")</f>
        <v/>
      </c>
      <c r="Z179" s="16" t="str">
        <f aca="false">IF(AND($H179&lt;&gt;"",N($N179)&gt;0),COUNTIFS($H$6:$H179,"&lt;&gt;",$N$6:$N179,"&gt;0"),"")</f>
        <v/>
      </c>
      <c r="AA179" s="16" t="str">
        <f aca="false">IF(AND($H179&lt;&gt;"",N($N179)=0),COUNTIFS($H$6:$H179,"&lt;&gt;",$N$6:$N179,"&lt;=0"),"")</f>
        <v/>
      </c>
      <c r="AB179" s="16" t="str">
        <f aca="false">IF($C179="","",IF(COUNTIF($C$6:$C179,$C179)&gt;1,"",MAX($AB$5:AB178)+1))</f>
        <v/>
      </c>
      <c r="AC179" s="16" t="str">
        <f aca="false">IF($H179="","",IF(COUNTIF($H$6:$H179,$H179)&gt;1,"",MAX($AC$5:AC178)+1))</f>
        <v/>
      </c>
    </row>
    <row r="180" customFormat="false" ht="15" hidden="false" customHeight="false" outlineLevel="0" collapsed="false">
      <c r="A180" s="16" t="str">
        <f aca="false">IF($C180="","",COUNTA($C$6:$C180))</f>
        <v/>
      </c>
      <c r="B180" s="17"/>
      <c r="C180" s="8"/>
      <c r="D180" s="8"/>
      <c r="E180" s="8"/>
      <c r="F180" s="8"/>
      <c r="G180" s="8"/>
      <c r="H180" s="8"/>
      <c r="I180" s="9"/>
      <c r="J180" s="10" t="str">
        <f aca="false">IF($H180="","",IFERROR(VLOOKUP($H180,'BẢNG GIÁ GỐC'!$A$5:$D$204,3,FALSE()),""))</f>
        <v/>
      </c>
      <c r="K180" s="9"/>
      <c r="L180" s="10" t="str">
        <f aca="false">IF($C180="","",N($I180)*N($K180))</f>
        <v/>
      </c>
      <c r="M180" s="8"/>
      <c r="N180" s="11" t="str">
        <f aca="false">IF($C180="","",IF($M180="VAT 5%",0.05,IF($M180="VAT 8%",0.08,IF($M180="VAT 10%",0.1,0))))</f>
        <v/>
      </c>
      <c r="O180" s="10" t="str">
        <f aca="false">IF($C180="","",$L180*$N180)</f>
        <v/>
      </c>
      <c r="P180" s="10" t="str">
        <f aca="false">IF($C180="","",$L180+$O180)</f>
        <v/>
      </c>
      <c r="Q180" s="9"/>
      <c r="R180" s="10" t="str">
        <f aca="false">IF($C180="","",MAX(0,$P180-N($Q180)))</f>
        <v/>
      </c>
      <c r="S180" s="19" t="str">
        <f aca="false">IF(OR($C180="",$P180=0),"",IF(N($Q180)&lt;=0,"Chưa thanh toán",IF(N($Q180)&lt;$P180,"Thanh toán một phần","Đã thanh toán")))</f>
        <v/>
      </c>
      <c r="T180" s="10" t="str">
        <f aca="false">IF(OR($C180="",$J180=""),"",N($I180)*$J180)</f>
        <v/>
      </c>
      <c r="U180" s="10" t="str">
        <f aca="false">IF(OR($C180="",$T180=""),"",$L180-$T180)</f>
        <v/>
      </c>
      <c r="V180" s="11" t="str">
        <f aca="false">IF(OR($U180="",$L180=0),"",$U180/$L180)</f>
        <v/>
      </c>
      <c r="W180" s="8"/>
      <c r="X180" s="19" t="str">
        <f aca="false">IF($C180="","",IF(AND($H180="",N($I180)=0,N($K180)=0),"Dòng chỉ lưu thông tin khách (chưa có đơn); ",IF($B180="","Thiếu ngày đặt; ","")&amp;IF($H180="","Thiếu tên sản phẩm; ",IF($J180="","Sản phẩm chưa có trong BẢNG GIÁ GỐC; ",""))&amp;IF(N($I180)&lt;=0,"Thiếu số lượng; ","")&amp;IF(N($K180)&lt;=0,"Thiếu giá bán; ","")&amp;IF(AND($N180&gt;0,$F180=""),"Khách lấy VAT thiếu mã số thuế; ","")&amp;IF(N($Q180)&gt;$P180,"Đã thu vượt tổng phải thu; ","")&amp;IF(AND($L180&gt;0,$U180&lt;0),"CẢNH BÁO: ĐƠN NÀY ĐANG LỖ; ","")))</f>
        <v/>
      </c>
      <c r="Y180" s="16" t="str">
        <f aca="false">IF(AND($C180&lt;&gt;"",$R180&gt;0),COUNTIFS($C$6:$C180,"&lt;&gt;",$R$6:$R180,"&gt;0"),"")</f>
        <v/>
      </c>
      <c r="Z180" s="16" t="str">
        <f aca="false">IF(AND($H180&lt;&gt;"",N($N180)&gt;0),COUNTIFS($H$6:$H180,"&lt;&gt;",$N$6:$N180,"&gt;0"),"")</f>
        <v/>
      </c>
      <c r="AA180" s="16" t="str">
        <f aca="false">IF(AND($H180&lt;&gt;"",N($N180)=0),COUNTIFS($H$6:$H180,"&lt;&gt;",$N$6:$N180,"&lt;=0"),"")</f>
        <v/>
      </c>
      <c r="AB180" s="16" t="str">
        <f aca="false">IF($C180="","",IF(COUNTIF($C$6:$C180,$C180)&gt;1,"",MAX($AB$5:AB179)+1))</f>
        <v/>
      </c>
      <c r="AC180" s="16" t="str">
        <f aca="false">IF($H180="","",IF(COUNTIF($H$6:$H180,$H180)&gt;1,"",MAX($AC$5:AC179)+1))</f>
        <v/>
      </c>
    </row>
    <row r="181" customFormat="false" ht="15" hidden="false" customHeight="false" outlineLevel="0" collapsed="false">
      <c r="A181" s="16" t="str">
        <f aca="false">IF($C181="","",COUNTA($C$6:$C181))</f>
        <v/>
      </c>
      <c r="B181" s="17"/>
      <c r="C181" s="8"/>
      <c r="D181" s="8"/>
      <c r="E181" s="8"/>
      <c r="F181" s="8"/>
      <c r="G181" s="8"/>
      <c r="H181" s="8"/>
      <c r="I181" s="9"/>
      <c r="J181" s="10" t="str">
        <f aca="false">IF($H181="","",IFERROR(VLOOKUP($H181,'BẢNG GIÁ GỐC'!$A$5:$D$204,3,FALSE()),""))</f>
        <v/>
      </c>
      <c r="K181" s="9"/>
      <c r="L181" s="10" t="str">
        <f aca="false">IF($C181="","",N($I181)*N($K181))</f>
        <v/>
      </c>
      <c r="M181" s="8"/>
      <c r="N181" s="11" t="str">
        <f aca="false">IF($C181="","",IF($M181="VAT 5%",0.05,IF($M181="VAT 8%",0.08,IF($M181="VAT 10%",0.1,0))))</f>
        <v/>
      </c>
      <c r="O181" s="10" t="str">
        <f aca="false">IF($C181="","",$L181*$N181)</f>
        <v/>
      </c>
      <c r="P181" s="10" t="str">
        <f aca="false">IF($C181="","",$L181+$O181)</f>
        <v/>
      </c>
      <c r="Q181" s="9"/>
      <c r="R181" s="10" t="str">
        <f aca="false">IF($C181="","",MAX(0,$P181-N($Q181)))</f>
        <v/>
      </c>
      <c r="S181" s="19" t="str">
        <f aca="false">IF(OR($C181="",$P181=0),"",IF(N($Q181)&lt;=0,"Chưa thanh toán",IF(N($Q181)&lt;$P181,"Thanh toán một phần","Đã thanh toán")))</f>
        <v/>
      </c>
      <c r="T181" s="10" t="str">
        <f aca="false">IF(OR($C181="",$J181=""),"",N($I181)*$J181)</f>
        <v/>
      </c>
      <c r="U181" s="10" t="str">
        <f aca="false">IF(OR($C181="",$T181=""),"",$L181-$T181)</f>
        <v/>
      </c>
      <c r="V181" s="11" t="str">
        <f aca="false">IF(OR($U181="",$L181=0),"",$U181/$L181)</f>
        <v/>
      </c>
      <c r="W181" s="8"/>
      <c r="X181" s="19" t="str">
        <f aca="false">IF($C181="","",IF(AND($H181="",N($I181)=0,N($K181)=0),"Dòng chỉ lưu thông tin khách (chưa có đơn); ",IF($B181="","Thiếu ngày đặt; ","")&amp;IF($H181="","Thiếu tên sản phẩm; ",IF($J181="","Sản phẩm chưa có trong BẢNG GIÁ GỐC; ",""))&amp;IF(N($I181)&lt;=0,"Thiếu số lượng; ","")&amp;IF(N($K181)&lt;=0,"Thiếu giá bán; ","")&amp;IF(AND($N181&gt;0,$F181=""),"Khách lấy VAT thiếu mã số thuế; ","")&amp;IF(N($Q181)&gt;$P181,"Đã thu vượt tổng phải thu; ","")&amp;IF(AND($L181&gt;0,$U181&lt;0),"CẢNH BÁO: ĐƠN NÀY ĐANG LỖ; ","")))</f>
        <v/>
      </c>
      <c r="Y181" s="16" t="str">
        <f aca="false">IF(AND($C181&lt;&gt;"",$R181&gt;0),COUNTIFS($C$6:$C181,"&lt;&gt;",$R$6:$R181,"&gt;0"),"")</f>
        <v/>
      </c>
      <c r="Z181" s="16" t="str">
        <f aca="false">IF(AND($H181&lt;&gt;"",N($N181)&gt;0),COUNTIFS($H$6:$H181,"&lt;&gt;",$N$6:$N181,"&gt;0"),"")</f>
        <v/>
      </c>
      <c r="AA181" s="16" t="str">
        <f aca="false">IF(AND($H181&lt;&gt;"",N($N181)=0),COUNTIFS($H$6:$H181,"&lt;&gt;",$N$6:$N181,"&lt;=0"),"")</f>
        <v/>
      </c>
      <c r="AB181" s="16" t="str">
        <f aca="false">IF($C181="","",IF(COUNTIF($C$6:$C181,$C181)&gt;1,"",MAX($AB$5:AB180)+1))</f>
        <v/>
      </c>
      <c r="AC181" s="16" t="str">
        <f aca="false">IF($H181="","",IF(COUNTIF($H$6:$H181,$H181)&gt;1,"",MAX($AC$5:AC180)+1))</f>
        <v/>
      </c>
    </row>
    <row r="182" customFormat="false" ht="15" hidden="false" customHeight="false" outlineLevel="0" collapsed="false">
      <c r="A182" s="16" t="str">
        <f aca="false">IF($C182="","",COUNTA($C$6:$C182))</f>
        <v/>
      </c>
      <c r="B182" s="17"/>
      <c r="C182" s="8"/>
      <c r="D182" s="8"/>
      <c r="E182" s="8"/>
      <c r="F182" s="8"/>
      <c r="G182" s="8"/>
      <c r="H182" s="8"/>
      <c r="I182" s="9"/>
      <c r="J182" s="10" t="str">
        <f aca="false">IF($H182="","",IFERROR(VLOOKUP($H182,'BẢNG GIÁ GỐC'!$A$5:$D$204,3,FALSE()),""))</f>
        <v/>
      </c>
      <c r="K182" s="9"/>
      <c r="L182" s="10" t="str">
        <f aca="false">IF($C182="","",N($I182)*N($K182))</f>
        <v/>
      </c>
      <c r="M182" s="8"/>
      <c r="N182" s="11" t="str">
        <f aca="false">IF($C182="","",IF($M182="VAT 5%",0.05,IF($M182="VAT 8%",0.08,IF($M182="VAT 10%",0.1,0))))</f>
        <v/>
      </c>
      <c r="O182" s="10" t="str">
        <f aca="false">IF($C182="","",$L182*$N182)</f>
        <v/>
      </c>
      <c r="P182" s="10" t="str">
        <f aca="false">IF($C182="","",$L182+$O182)</f>
        <v/>
      </c>
      <c r="Q182" s="9"/>
      <c r="R182" s="10" t="str">
        <f aca="false">IF($C182="","",MAX(0,$P182-N($Q182)))</f>
        <v/>
      </c>
      <c r="S182" s="19" t="str">
        <f aca="false">IF(OR($C182="",$P182=0),"",IF(N($Q182)&lt;=0,"Chưa thanh toán",IF(N($Q182)&lt;$P182,"Thanh toán một phần","Đã thanh toán")))</f>
        <v/>
      </c>
      <c r="T182" s="10" t="str">
        <f aca="false">IF(OR($C182="",$J182=""),"",N($I182)*$J182)</f>
        <v/>
      </c>
      <c r="U182" s="10" t="str">
        <f aca="false">IF(OR($C182="",$T182=""),"",$L182-$T182)</f>
        <v/>
      </c>
      <c r="V182" s="11" t="str">
        <f aca="false">IF(OR($U182="",$L182=0),"",$U182/$L182)</f>
        <v/>
      </c>
      <c r="W182" s="8"/>
      <c r="X182" s="19" t="str">
        <f aca="false">IF($C182="","",IF(AND($H182="",N($I182)=0,N($K182)=0),"Dòng chỉ lưu thông tin khách (chưa có đơn); ",IF($B182="","Thiếu ngày đặt; ","")&amp;IF($H182="","Thiếu tên sản phẩm; ",IF($J182="","Sản phẩm chưa có trong BẢNG GIÁ GỐC; ",""))&amp;IF(N($I182)&lt;=0,"Thiếu số lượng; ","")&amp;IF(N($K182)&lt;=0,"Thiếu giá bán; ","")&amp;IF(AND($N182&gt;0,$F182=""),"Khách lấy VAT thiếu mã số thuế; ","")&amp;IF(N($Q182)&gt;$P182,"Đã thu vượt tổng phải thu; ","")&amp;IF(AND($L182&gt;0,$U182&lt;0),"CẢNH BÁO: ĐƠN NÀY ĐANG LỖ; ","")))</f>
        <v/>
      </c>
      <c r="Y182" s="16" t="str">
        <f aca="false">IF(AND($C182&lt;&gt;"",$R182&gt;0),COUNTIFS($C$6:$C182,"&lt;&gt;",$R$6:$R182,"&gt;0"),"")</f>
        <v/>
      </c>
      <c r="Z182" s="16" t="str">
        <f aca="false">IF(AND($H182&lt;&gt;"",N($N182)&gt;0),COUNTIFS($H$6:$H182,"&lt;&gt;",$N$6:$N182,"&gt;0"),"")</f>
        <v/>
      </c>
      <c r="AA182" s="16" t="str">
        <f aca="false">IF(AND($H182&lt;&gt;"",N($N182)=0),COUNTIFS($H$6:$H182,"&lt;&gt;",$N$6:$N182,"&lt;=0"),"")</f>
        <v/>
      </c>
      <c r="AB182" s="16" t="str">
        <f aca="false">IF($C182="","",IF(COUNTIF($C$6:$C182,$C182)&gt;1,"",MAX($AB$5:AB181)+1))</f>
        <v/>
      </c>
      <c r="AC182" s="16" t="str">
        <f aca="false">IF($H182="","",IF(COUNTIF($H$6:$H182,$H182)&gt;1,"",MAX($AC$5:AC181)+1))</f>
        <v/>
      </c>
    </row>
    <row r="183" customFormat="false" ht="15" hidden="false" customHeight="false" outlineLevel="0" collapsed="false">
      <c r="A183" s="16" t="str">
        <f aca="false">IF($C183="","",COUNTA($C$6:$C183))</f>
        <v/>
      </c>
      <c r="B183" s="17"/>
      <c r="C183" s="8"/>
      <c r="D183" s="8"/>
      <c r="E183" s="8"/>
      <c r="F183" s="8"/>
      <c r="G183" s="8"/>
      <c r="H183" s="8"/>
      <c r="I183" s="9"/>
      <c r="J183" s="10" t="str">
        <f aca="false">IF($H183="","",IFERROR(VLOOKUP($H183,'BẢNG GIÁ GỐC'!$A$5:$D$204,3,FALSE()),""))</f>
        <v/>
      </c>
      <c r="K183" s="9"/>
      <c r="L183" s="10" t="str">
        <f aca="false">IF($C183="","",N($I183)*N($K183))</f>
        <v/>
      </c>
      <c r="M183" s="8"/>
      <c r="N183" s="11" t="str">
        <f aca="false">IF($C183="","",IF($M183="VAT 5%",0.05,IF($M183="VAT 8%",0.08,IF($M183="VAT 10%",0.1,0))))</f>
        <v/>
      </c>
      <c r="O183" s="10" t="str">
        <f aca="false">IF($C183="","",$L183*$N183)</f>
        <v/>
      </c>
      <c r="P183" s="10" t="str">
        <f aca="false">IF($C183="","",$L183+$O183)</f>
        <v/>
      </c>
      <c r="Q183" s="9"/>
      <c r="R183" s="10" t="str">
        <f aca="false">IF($C183="","",MAX(0,$P183-N($Q183)))</f>
        <v/>
      </c>
      <c r="S183" s="19" t="str">
        <f aca="false">IF(OR($C183="",$P183=0),"",IF(N($Q183)&lt;=0,"Chưa thanh toán",IF(N($Q183)&lt;$P183,"Thanh toán một phần","Đã thanh toán")))</f>
        <v/>
      </c>
      <c r="T183" s="10" t="str">
        <f aca="false">IF(OR($C183="",$J183=""),"",N($I183)*$J183)</f>
        <v/>
      </c>
      <c r="U183" s="10" t="str">
        <f aca="false">IF(OR($C183="",$T183=""),"",$L183-$T183)</f>
        <v/>
      </c>
      <c r="V183" s="11" t="str">
        <f aca="false">IF(OR($U183="",$L183=0),"",$U183/$L183)</f>
        <v/>
      </c>
      <c r="W183" s="8"/>
      <c r="X183" s="19" t="str">
        <f aca="false">IF($C183="","",IF(AND($H183="",N($I183)=0,N($K183)=0),"Dòng chỉ lưu thông tin khách (chưa có đơn); ",IF($B183="","Thiếu ngày đặt; ","")&amp;IF($H183="","Thiếu tên sản phẩm; ",IF($J183="","Sản phẩm chưa có trong BẢNG GIÁ GỐC; ",""))&amp;IF(N($I183)&lt;=0,"Thiếu số lượng; ","")&amp;IF(N($K183)&lt;=0,"Thiếu giá bán; ","")&amp;IF(AND($N183&gt;0,$F183=""),"Khách lấy VAT thiếu mã số thuế; ","")&amp;IF(N($Q183)&gt;$P183,"Đã thu vượt tổng phải thu; ","")&amp;IF(AND($L183&gt;0,$U183&lt;0),"CẢNH BÁO: ĐƠN NÀY ĐANG LỖ; ","")))</f>
        <v/>
      </c>
      <c r="Y183" s="16" t="str">
        <f aca="false">IF(AND($C183&lt;&gt;"",$R183&gt;0),COUNTIFS($C$6:$C183,"&lt;&gt;",$R$6:$R183,"&gt;0"),"")</f>
        <v/>
      </c>
      <c r="Z183" s="16" t="str">
        <f aca="false">IF(AND($H183&lt;&gt;"",N($N183)&gt;0),COUNTIFS($H$6:$H183,"&lt;&gt;",$N$6:$N183,"&gt;0"),"")</f>
        <v/>
      </c>
      <c r="AA183" s="16" t="str">
        <f aca="false">IF(AND($H183&lt;&gt;"",N($N183)=0),COUNTIFS($H$6:$H183,"&lt;&gt;",$N$6:$N183,"&lt;=0"),"")</f>
        <v/>
      </c>
      <c r="AB183" s="16" t="str">
        <f aca="false">IF($C183="","",IF(COUNTIF($C$6:$C183,$C183)&gt;1,"",MAX($AB$5:AB182)+1))</f>
        <v/>
      </c>
      <c r="AC183" s="16" t="str">
        <f aca="false">IF($H183="","",IF(COUNTIF($H$6:$H183,$H183)&gt;1,"",MAX($AC$5:AC182)+1))</f>
        <v/>
      </c>
    </row>
    <row r="184" customFormat="false" ht="15" hidden="false" customHeight="false" outlineLevel="0" collapsed="false">
      <c r="A184" s="16" t="str">
        <f aca="false">IF($C184="","",COUNTA($C$6:$C184))</f>
        <v/>
      </c>
      <c r="B184" s="17"/>
      <c r="C184" s="8"/>
      <c r="D184" s="8"/>
      <c r="E184" s="8"/>
      <c r="F184" s="8"/>
      <c r="G184" s="8"/>
      <c r="H184" s="8"/>
      <c r="I184" s="9"/>
      <c r="J184" s="10" t="str">
        <f aca="false">IF($H184="","",IFERROR(VLOOKUP($H184,'BẢNG GIÁ GỐC'!$A$5:$D$204,3,FALSE()),""))</f>
        <v/>
      </c>
      <c r="K184" s="9"/>
      <c r="L184" s="10" t="str">
        <f aca="false">IF($C184="","",N($I184)*N($K184))</f>
        <v/>
      </c>
      <c r="M184" s="8"/>
      <c r="N184" s="11" t="str">
        <f aca="false">IF($C184="","",IF($M184="VAT 5%",0.05,IF($M184="VAT 8%",0.08,IF($M184="VAT 10%",0.1,0))))</f>
        <v/>
      </c>
      <c r="O184" s="10" t="str">
        <f aca="false">IF($C184="","",$L184*$N184)</f>
        <v/>
      </c>
      <c r="P184" s="10" t="str">
        <f aca="false">IF($C184="","",$L184+$O184)</f>
        <v/>
      </c>
      <c r="Q184" s="9"/>
      <c r="R184" s="10" t="str">
        <f aca="false">IF($C184="","",MAX(0,$P184-N($Q184)))</f>
        <v/>
      </c>
      <c r="S184" s="19" t="str">
        <f aca="false">IF(OR($C184="",$P184=0),"",IF(N($Q184)&lt;=0,"Chưa thanh toán",IF(N($Q184)&lt;$P184,"Thanh toán một phần","Đã thanh toán")))</f>
        <v/>
      </c>
      <c r="T184" s="10" t="str">
        <f aca="false">IF(OR($C184="",$J184=""),"",N($I184)*$J184)</f>
        <v/>
      </c>
      <c r="U184" s="10" t="str">
        <f aca="false">IF(OR($C184="",$T184=""),"",$L184-$T184)</f>
        <v/>
      </c>
      <c r="V184" s="11" t="str">
        <f aca="false">IF(OR($U184="",$L184=0),"",$U184/$L184)</f>
        <v/>
      </c>
      <c r="W184" s="8"/>
      <c r="X184" s="19" t="str">
        <f aca="false">IF($C184="","",IF(AND($H184="",N($I184)=0,N($K184)=0),"Dòng chỉ lưu thông tin khách (chưa có đơn); ",IF($B184="","Thiếu ngày đặt; ","")&amp;IF($H184="","Thiếu tên sản phẩm; ",IF($J184="","Sản phẩm chưa có trong BẢNG GIÁ GỐC; ",""))&amp;IF(N($I184)&lt;=0,"Thiếu số lượng; ","")&amp;IF(N($K184)&lt;=0,"Thiếu giá bán; ","")&amp;IF(AND($N184&gt;0,$F184=""),"Khách lấy VAT thiếu mã số thuế; ","")&amp;IF(N($Q184)&gt;$P184,"Đã thu vượt tổng phải thu; ","")&amp;IF(AND($L184&gt;0,$U184&lt;0),"CẢNH BÁO: ĐƠN NÀY ĐANG LỖ; ","")))</f>
        <v/>
      </c>
      <c r="Y184" s="16" t="str">
        <f aca="false">IF(AND($C184&lt;&gt;"",$R184&gt;0),COUNTIFS($C$6:$C184,"&lt;&gt;",$R$6:$R184,"&gt;0"),"")</f>
        <v/>
      </c>
      <c r="Z184" s="16" t="str">
        <f aca="false">IF(AND($H184&lt;&gt;"",N($N184)&gt;0),COUNTIFS($H$6:$H184,"&lt;&gt;",$N$6:$N184,"&gt;0"),"")</f>
        <v/>
      </c>
      <c r="AA184" s="16" t="str">
        <f aca="false">IF(AND($H184&lt;&gt;"",N($N184)=0),COUNTIFS($H$6:$H184,"&lt;&gt;",$N$6:$N184,"&lt;=0"),"")</f>
        <v/>
      </c>
      <c r="AB184" s="16" t="str">
        <f aca="false">IF($C184="","",IF(COUNTIF($C$6:$C184,$C184)&gt;1,"",MAX($AB$5:AB183)+1))</f>
        <v/>
      </c>
      <c r="AC184" s="16" t="str">
        <f aca="false">IF($H184="","",IF(COUNTIF($H$6:$H184,$H184)&gt;1,"",MAX($AC$5:AC183)+1))</f>
        <v/>
      </c>
    </row>
    <row r="185" customFormat="false" ht="15" hidden="false" customHeight="false" outlineLevel="0" collapsed="false">
      <c r="A185" s="16" t="str">
        <f aca="false">IF($C185="","",COUNTA($C$6:$C185))</f>
        <v/>
      </c>
      <c r="B185" s="17"/>
      <c r="C185" s="8"/>
      <c r="D185" s="8"/>
      <c r="E185" s="8"/>
      <c r="F185" s="8"/>
      <c r="G185" s="8"/>
      <c r="H185" s="8"/>
      <c r="I185" s="9"/>
      <c r="J185" s="10" t="str">
        <f aca="false">IF($H185="","",IFERROR(VLOOKUP($H185,'BẢNG GIÁ GỐC'!$A$5:$D$204,3,FALSE()),""))</f>
        <v/>
      </c>
      <c r="K185" s="9"/>
      <c r="L185" s="10" t="str">
        <f aca="false">IF($C185="","",N($I185)*N($K185))</f>
        <v/>
      </c>
      <c r="M185" s="8"/>
      <c r="N185" s="11" t="str">
        <f aca="false">IF($C185="","",IF($M185="VAT 5%",0.05,IF($M185="VAT 8%",0.08,IF($M185="VAT 10%",0.1,0))))</f>
        <v/>
      </c>
      <c r="O185" s="10" t="str">
        <f aca="false">IF($C185="","",$L185*$N185)</f>
        <v/>
      </c>
      <c r="P185" s="10" t="str">
        <f aca="false">IF($C185="","",$L185+$O185)</f>
        <v/>
      </c>
      <c r="Q185" s="9"/>
      <c r="R185" s="10" t="str">
        <f aca="false">IF($C185="","",MAX(0,$P185-N($Q185)))</f>
        <v/>
      </c>
      <c r="S185" s="19" t="str">
        <f aca="false">IF(OR($C185="",$P185=0),"",IF(N($Q185)&lt;=0,"Chưa thanh toán",IF(N($Q185)&lt;$P185,"Thanh toán một phần","Đã thanh toán")))</f>
        <v/>
      </c>
      <c r="T185" s="10" t="str">
        <f aca="false">IF(OR($C185="",$J185=""),"",N($I185)*$J185)</f>
        <v/>
      </c>
      <c r="U185" s="10" t="str">
        <f aca="false">IF(OR($C185="",$T185=""),"",$L185-$T185)</f>
        <v/>
      </c>
      <c r="V185" s="11" t="str">
        <f aca="false">IF(OR($U185="",$L185=0),"",$U185/$L185)</f>
        <v/>
      </c>
      <c r="W185" s="8"/>
      <c r="X185" s="19" t="str">
        <f aca="false">IF($C185="","",IF(AND($H185="",N($I185)=0,N($K185)=0),"Dòng chỉ lưu thông tin khách (chưa có đơn); ",IF($B185="","Thiếu ngày đặt; ","")&amp;IF($H185="","Thiếu tên sản phẩm; ",IF($J185="","Sản phẩm chưa có trong BẢNG GIÁ GỐC; ",""))&amp;IF(N($I185)&lt;=0,"Thiếu số lượng; ","")&amp;IF(N($K185)&lt;=0,"Thiếu giá bán; ","")&amp;IF(AND($N185&gt;0,$F185=""),"Khách lấy VAT thiếu mã số thuế; ","")&amp;IF(N($Q185)&gt;$P185,"Đã thu vượt tổng phải thu; ","")&amp;IF(AND($L185&gt;0,$U185&lt;0),"CẢNH BÁO: ĐƠN NÀY ĐANG LỖ; ","")))</f>
        <v/>
      </c>
      <c r="Y185" s="16" t="str">
        <f aca="false">IF(AND($C185&lt;&gt;"",$R185&gt;0),COUNTIFS($C$6:$C185,"&lt;&gt;",$R$6:$R185,"&gt;0"),"")</f>
        <v/>
      </c>
      <c r="Z185" s="16" t="str">
        <f aca="false">IF(AND($H185&lt;&gt;"",N($N185)&gt;0),COUNTIFS($H$6:$H185,"&lt;&gt;",$N$6:$N185,"&gt;0"),"")</f>
        <v/>
      </c>
      <c r="AA185" s="16" t="str">
        <f aca="false">IF(AND($H185&lt;&gt;"",N($N185)=0),COUNTIFS($H$6:$H185,"&lt;&gt;",$N$6:$N185,"&lt;=0"),"")</f>
        <v/>
      </c>
      <c r="AB185" s="16" t="str">
        <f aca="false">IF($C185="","",IF(COUNTIF($C$6:$C185,$C185)&gt;1,"",MAX($AB$5:AB184)+1))</f>
        <v/>
      </c>
      <c r="AC185" s="16" t="str">
        <f aca="false">IF($H185="","",IF(COUNTIF($H$6:$H185,$H185)&gt;1,"",MAX($AC$5:AC184)+1))</f>
        <v/>
      </c>
    </row>
    <row r="186" customFormat="false" ht="15" hidden="false" customHeight="false" outlineLevel="0" collapsed="false">
      <c r="A186" s="16" t="str">
        <f aca="false">IF($C186="","",COUNTA($C$6:$C186))</f>
        <v/>
      </c>
      <c r="B186" s="17"/>
      <c r="C186" s="8"/>
      <c r="D186" s="8"/>
      <c r="E186" s="8"/>
      <c r="F186" s="8"/>
      <c r="G186" s="8"/>
      <c r="H186" s="8"/>
      <c r="I186" s="9"/>
      <c r="J186" s="10" t="str">
        <f aca="false">IF($H186="","",IFERROR(VLOOKUP($H186,'BẢNG GIÁ GỐC'!$A$5:$D$204,3,FALSE()),""))</f>
        <v/>
      </c>
      <c r="K186" s="9"/>
      <c r="L186" s="10" t="str">
        <f aca="false">IF($C186="","",N($I186)*N($K186))</f>
        <v/>
      </c>
      <c r="M186" s="8"/>
      <c r="N186" s="11" t="str">
        <f aca="false">IF($C186="","",IF($M186="VAT 5%",0.05,IF($M186="VAT 8%",0.08,IF($M186="VAT 10%",0.1,0))))</f>
        <v/>
      </c>
      <c r="O186" s="10" t="str">
        <f aca="false">IF($C186="","",$L186*$N186)</f>
        <v/>
      </c>
      <c r="P186" s="10" t="str">
        <f aca="false">IF($C186="","",$L186+$O186)</f>
        <v/>
      </c>
      <c r="Q186" s="9"/>
      <c r="R186" s="10" t="str">
        <f aca="false">IF($C186="","",MAX(0,$P186-N($Q186)))</f>
        <v/>
      </c>
      <c r="S186" s="19" t="str">
        <f aca="false">IF(OR($C186="",$P186=0),"",IF(N($Q186)&lt;=0,"Chưa thanh toán",IF(N($Q186)&lt;$P186,"Thanh toán một phần","Đã thanh toán")))</f>
        <v/>
      </c>
      <c r="T186" s="10" t="str">
        <f aca="false">IF(OR($C186="",$J186=""),"",N($I186)*$J186)</f>
        <v/>
      </c>
      <c r="U186" s="10" t="str">
        <f aca="false">IF(OR($C186="",$T186=""),"",$L186-$T186)</f>
        <v/>
      </c>
      <c r="V186" s="11" t="str">
        <f aca="false">IF(OR($U186="",$L186=0),"",$U186/$L186)</f>
        <v/>
      </c>
      <c r="W186" s="8"/>
      <c r="X186" s="19" t="str">
        <f aca="false">IF($C186="","",IF(AND($H186="",N($I186)=0,N($K186)=0),"Dòng chỉ lưu thông tin khách (chưa có đơn); ",IF($B186="","Thiếu ngày đặt; ","")&amp;IF($H186="","Thiếu tên sản phẩm; ",IF($J186="","Sản phẩm chưa có trong BẢNG GIÁ GỐC; ",""))&amp;IF(N($I186)&lt;=0,"Thiếu số lượng; ","")&amp;IF(N($K186)&lt;=0,"Thiếu giá bán; ","")&amp;IF(AND($N186&gt;0,$F186=""),"Khách lấy VAT thiếu mã số thuế; ","")&amp;IF(N($Q186)&gt;$P186,"Đã thu vượt tổng phải thu; ","")&amp;IF(AND($L186&gt;0,$U186&lt;0),"CẢNH BÁO: ĐƠN NÀY ĐANG LỖ; ","")))</f>
        <v/>
      </c>
      <c r="Y186" s="16" t="str">
        <f aca="false">IF(AND($C186&lt;&gt;"",$R186&gt;0),COUNTIFS($C$6:$C186,"&lt;&gt;",$R$6:$R186,"&gt;0"),"")</f>
        <v/>
      </c>
      <c r="Z186" s="16" t="str">
        <f aca="false">IF(AND($H186&lt;&gt;"",N($N186)&gt;0),COUNTIFS($H$6:$H186,"&lt;&gt;",$N$6:$N186,"&gt;0"),"")</f>
        <v/>
      </c>
      <c r="AA186" s="16" t="str">
        <f aca="false">IF(AND($H186&lt;&gt;"",N($N186)=0),COUNTIFS($H$6:$H186,"&lt;&gt;",$N$6:$N186,"&lt;=0"),"")</f>
        <v/>
      </c>
      <c r="AB186" s="16" t="str">
        <f aca="false">IF($C186="","",IF(COUNTIF($C$6:$C186,$C186)&gt;1,"",MAX($AB$5:AB185)+1))</f>
        <v/>
      </c>
      <c r="AC186" s="16" t="str">
        <f aca="false">IF($H186="","",IF(COUNTIF($H$6:$H186,$H186)&gt;1,"",MAX($AC$5:AC185)+1))</f>
        <v/>
      </c>
    </row>
    <row r="187" customFormat="false" ht="15" hidden="false" customHeight="false" outlineLevel="0" collapsed="false">
      <c r="A187" s="16" t="str">
        <f aca="false">IF($C187="","",COUNTA($C$6:$C187))</f>
        <v/>
      </c>
      <c r="B187" s="17"/>
      <c r="C187" s="8"/>
      <c r="D187" s="8"/>
      <c r="E187" s="8"/>
      <c r="F187" s="8"/>
      <c r="G187" s="8"/>
      <c r="H187" s="8"/>
      <c r="I187" s="9"/>
      <c r="J187" s="10" t="str">
        <f aca="false">IF($H187="","",IFERROR(VLOOKUP($H187,'BẢNG GIÁ GỐC'!$A$5:$D$204,3,FALSE()),""))</f>
        <v/>
      </c>
      <c r="K187" s="9"/>
      <c r="L187" s="10" t="str">
        <f aca="false">IF($C187="","",N($I187)*N($K187))</f>
        <v/>
      </c>
      <c r="M187" s="8"/>
      <c r="N187" s="11" t="str">
        <f aca="false">IF($C187="","",IF($M187="VAT 5%",0.05,IF($M187="VAT 8%",0.08,IF($M187="VAT 10%",0.1,0))))</f>
        <v/>
      </c>
      <c r="O187" s="10" t="str">
        <f aca="false">IF($C187="","",$L187*$N187)</f>
        <v/>
      </c>
      <c r="P187" s="10" t="str">
        <f aca="false">IF($C187="","",$L187+$O187)</f>
        <v/>
      </c>
      <c r="Q187" s="9"/>
      <c r="R187" s="10" t="str">
        <f aca="false">IF($C187="","",MAX(0,$P187-N($Q187)))</f>
        <v/>
      </c>
      <c r="S187" s="19" t="str">
        <f aca="false">IF(OR($C187="",$P187=0),"",IF(N($Q187)&lt;=0,"Chưa thanh toán",IF(N($Q187)&lt;$P187,"Thanh toán một phần","Đã thanh toán")))</f>
        <v/>
      </c>
      <c r="T187" s="10" t="str">
        <f aca="false">IF(OR($C187="",$J187=""),"",N($I187)*$J187)</f>
        <v/>
      </c>
      <c r="U187" s="10" t="str">
        <f aca="false">IF(OR($C187="",$T187=""),"",$L187-$T187)</f>
        <v/>
      </c>
      <c r="V187" s="11" t="str">
        <f aca="false">IF(OR($U187="",$L187=0),"",$U187/$L187)</f>
        <v/>
      </c>
      <c r="W187" s="8"/>
      <c r="X187" s="19" t="str">
        <f aca="false">IF($C187="","",IF(AND($H187="",N($I187)=0,N($K187)=0),"Dòng chỉ lưu thông tin khách (chưa có đơn); ",IF($B187="","Thiếu ngày đặt; ","")&amp;IF($H187="","Thiếu tên sản phẩm; ",IF($J187="","Sản phẩm chưa có trong BẢNG GIÁ GỐC; ",""))&amp;IF(N($I187)&lt;=0,"Thiếu số lượng; ","")&amp;IF(N($K187)&lt;=0,"Thiếu giá bán; ","")&amp;IF(AND($N187&gt;0,$F187=""),"Khách lấy VAT thiếu mã số thuế; ","")&amp;IF(N($Q187)&gt;$P187,"Đã thu vượt tổng phải thu; ","")&amp;IF(AND($L187&gt;0,$U187&lt;0),"CẢNH BÁO: ĐƠN NÀY ĐANG LỖ; ","")))</f>
        <v/>
      </c>
      <c r="Y187" s="16" t="str">
        <f aca="false">IF(AND($C187&lt;&gt;"",$R187&gt;0),COUNTIFS($C$6:$C187,"&lt;&gt;",$R$6:$R187,"&gt;0"),"")</f>
        <v/>
      </c>
      <c r="Z187" s="16" t="str">
        <f aca="false">IF(AND($H187&lt;&gt;"",N($N187)&gt;0),COUNTIFS($H$6:$H187,"&lt;&gt;",$N$6:$N187,"&gt;0"),"")</f>
        <v/>
      </c>
      <c r="AA187" s="16" t="str">
        <f aca="false">IF(AND($H187&lt;&gt;"",N($N187)=0),COUNTIFS($H$6:$H187,"&lt;&gt;",$N$6:$N187,"&lt;=0"),"")</f>
        <v/>
      </c>
      <c r="AB187" s="16" t="str">
        <f aca="false">IF($C187="","",IF(COUNTIF($C$6:$C187,$C187)&gt;1,"",MAX($AB$5:AB186)+1))</f>
        <v/>
      </c>
      <c r="AC187" s="16" t="str">
        <f aca="false">IF($H187="","",IF(COUNTIF($H$6:$H187,$H187)&gt;1,"",MAX($AC$5:AC186)+1))</f>
        <v/>
      </c>
    </row>
    <row r="188" customFormat="false" ht="15" hidden="false" customHeight="false" outlineLevel="0" collapsed="false">
      <c r="A188" s="16" t="str">
        <f aca="false">IF($C188="","",COUNTA($C$6:$C188))</f>
        <v/>
      </c>
      <c r="B188" s="17"/>
      <c r="C188" s="8"/>
      <c r="D188" s="8"/>
      <c r="E188" s="8"/>
      <c r="F188" s="8"/>
      <c r="G188" s="8"/>
      <c r="H188" s="8"/>
      <c r="I188" s="9"/>
      <c r="J188" s="10" t="str">
        <f aca="false">IF($H188="","",IFERROR(VLOOKUP($H188,'BẢNG GIÁ GỐC'!$A$5:$D$204,3,FALSE()),""))</f>
        <v/>
      </c>
      <c r="K188" s="9"/>
      <c r="L188" s="10" t="str">
        <f aca="false">IF($C188="","",N($I188)*N($K188))</f>
        <v/>
      </c>
      <c r="M188" s="8"/>
      <c r="N188" s="11" t="str">
        <f aca="false">IF($C188="","",IF($M188="VAT 5%",0.05,IF($M188="VAT 8%",0.08,IF($M188="VAT 10%",0.1,0))))</f>
        <v/>
      </c>
      <c r="O188" s="10" t="str">
        <f aca="false">IF($C188="","",$L188*$N188)</f>
        <v/>
      </c>
      <c r="P188" s="10" t="str">
        <f aca="false">IF($C188="","",$L188+$O188)</f>
        <v/>
      </c>
      <c r="Q188" s="9"/>
      <c r="R188" s="10" t="str">
        <f aca="false">IF($C188="","",MAX(0,$P188-N($Q188)))</f>
        <v/>
      </c>
      <c r="S188" s="19" t="str">
        <f aca="false">IF(OR($C188="",$P188=0),"",IF(N($Q188)&lt;=0,"Chưa thanh toán",IF(N($Q188)&lt;$P188,"Thanh toán một phần","Đã thanh toán")))</f>
        <v/>
      </c>
      <c r="T188" s="10" t="str">
        <f aca="false">IF(OR($C188="",$J188=""),"",N($I188)*$J188)</f>
        <v/>
      </c>
      <c r="U188" s="10" t="str">
        <f aca="false">IF(OR($C188="",$T188=""),"",$L188-$T188)</f>
        <v/>
      </c>
      <c r="V188" s="11" t="str">
        <f aca="false">IF(OR($U188="",$L188=0),"",$U188/$L188)</f>
        <v/>
      </c>
      <c r="W188" s="8"/>
      <c r="X188" s="19" t="str">
        <f aca="false">IF($C188="","",IF(AND($H188="",N($I188)=0,N($K188)=0),"Dòng chỉ lưu thông tin khách (chưa có đơn); ",IF($B188="","Thiếu ngày đặt; ","")&amp;IF($H188="","Thiếu tên sản phẩm; ",IF($J188="","Sản phẩm chưa có trong BẢNG GIÁ GỐC; ",""))&amp;IF(N($I188)&lt;=0,"Thiếu số lượng; ","")&amp;IF(N($K188)&lt;=0,"Thiếu giá bán; ","")&amp;IF(AND($N188&gt;0,$F188=""),"Khách lấy VAT thiếu mã số thuế; ","")&amp;IF(N($Q188)&gt;$P188,"Đã thu vượt tổng phải thu; ","")&amp;IF(AND($L188&gt;0,$U188&lt;0),"CẢNH BÁO: ĐƠN NÀY ĐANG LỖ; ","")))</f>
        <v/>
      </c>
      <c r="Y188" s="16" t="str">
        <f aca="false">IF(AND($C188&lt;&gt;"",$R188&gt;0),COUNTIFS($C$6:$C188,"&lt;&gt;",$R$6:$R188,"&gt;0"),"")</f>
        <v/>
      </c>
      <c r="Z188" s="16" t="str">
        <f aca="false">IF(AND($H188&lt;&gt;"",N($N188)&gt;0),COUNTIFS($H$6:$H188,"&lt;&gt;",$N$6:$N188,"&gt;0"),"")</f>
        <v/>
      </c>
      <c r="AA188" s="16" t="str">
        <f aca="false">IF(AND($H188&lt;&gt;"",N($N188)=0),COUNTIFS($H$6:$H188,"&lt;&gt;",$N$6:$N188,"&lt;=0"),"")</f>
        <v/>
      </c>
      <c r="AB188" s="16" t="str">
        <f aca="false">IF($C188="","",IF(COUNTIF($C$6:$C188,$C188)&gt;1,"",MAX($AB$5:AB187)+1))</f>
        <v/>
      </c>
      <c r="AC188" s="16" t="str">
        <f aca="false">IF($H188="","",IF(COUNTIF($H$6:$H188,$H188)&gt;1,"",MAX($AC$5:AC187)+1))</f>
        <v/>
      </c>
    </row>
    <row r="189" customFormat="false" ht="15" hidden="false" customHeight="false" outlineLevel="0" collapsed="false">
      <c r="A189" s="16" t="str">
        <f aca="false">IF($C189="","",COUNTA($C$6:$C189))</f>
        <v/>
      </c>
      <c r="B189" s="17"/>
      <c r="C189" s="8"/>
      <c r="D189" s="8"/>
      <c r="E189" s="8"/>
      <c r="F189" s="8"/>
      <c r="G189" s="8"/>
      <c r="H189" s="8"/>
      <c r="I189" s="9"/>
      <c r="J189" s="10" t="str">
        <f aca="false">IF($H189="","",IFERROR(VLOOKUP($H189,'BẢNG GIÁ GỐC'!$A$5:$D$204,3,FALSE()),""))</f>
        <v/>
      </c>
      <c r="K189" s="9"/>
      <c r="L189" s="10" t="str">
        <f aca="false">IF($C189="","",N($I189)*N($K189))</f>
        <v/>
      </c>
      <c r="M189" s="8"/>
      <c r="N189" s="11" t="str">
        <f aca="false">IF($C189="","",IF($M189="VAT 5%",0.05,IF($M189="VAT 8%",0.08,IF($M189="VAT 10%",0.1,0))))</f>
        <v/>
      </c>
      <c r="O189" s="10" t="str">
        <f aca="false">IF($C189="","",$L189*$N189)</f>
        <v/>
      </c>
      <c r="P189" s="10" t="str">
        <f aca="false">IF($C189="","",$L189+$O189)</f>
        <v/>
      </c>
      <c r="Q189" s="9"/>
      <c r="R189" s="10" t="str">
        <f aca="false">IF($C189="","",MAX(0,$P189-N($Q189)))</f>
        <v/>
      </c>
      <c r="S189" s="19" t="str">
        <f aca="false">IF(OR($C189="",$P189=0),"",IF(N($Q189)&lt;=0,"Chưa thanh toán",IF(N($Q189)&lt;$P189,"Thanh toán một phần","Đã thanh toán")))</f>
        <v/>
      </c>
      <c r="T189" s="10" t="str">
        <f aca="false">IF(OR($C189="",$J189=""),"",N($I189)*$J189)</f>
        <v/>
      </c>
      <c r="U189" s="10" t="str">
        <f aca="false">IF(OR($C189="",$T189=""),"",$L189-$T189)</f>
        <v/>
      </c>
      <c r="V189" s="11" t="str">
        <f aca="false">IF(OR($U189="",$L189=0),"",$U189/$L189)</f>
        <v/>
      </c>
      <c r="W189" s="8"/>
      <c r="X189" s="19" t="str">
        <f aca="false">IF($C189="","",IF(AND($H189="",N($I189)=0,N($K189)=0),"Dòng chỉ lưu thông tin khách (chưa có đơn); ",IF($B189="","Thiếu ngày đặt; ","")&amp;IF($H189="","Thiếu tên sản phẩm; ",IF($J189="","Sản phẩm chưa có trong BẢNG GIÁ GỐC; ",""))&amp;IF(N($I189)&lt;=0,"Thiếu số lượng; ","")&amp;IF(N($K189)&lt;=0,"Thiếu giá bán; ","")&amp;IF(AND($N189&gt;0,$F189=""),"Khách lấy VAT thiếu mã số thuế; ","")&amp;IF(N($Q189)&gt;$P189,"Đã thu vượt tổng phải thu; ","")&amp;IF(AND($L189&gt;0,$U189&lt;0),"CẢNH BÁO: ĐƠN NÀY ĐANG LỖ; ","")))</f>
        <v/>
      </c>
      <c r="Y189" s="16" t="str">
        <f aca="false">IF(AND($C189&lt;&gt;"",$R189&gt;0),COUNTIFS($C$6:$C189,"&lt;&gt;",$R$6:$R189,"&gt;0"),"")</f>
        <v/>
      </c>
      <c r="Z189" s="16" t="str">
        <f aca="false">IF(AND($H189&lt;&gt;"",N($N189)&gt;0),COUNTIFS($H$6:$H189,"&lt;&gt;",$N$6:$N189,"&gt;0"),"")</f>
        <v/>
      </c>
      <c r="AA189" s="16" t="str">
        <f aca="false">IF(AND($H189&lt;&gt;"",N($N189)=0),COUNTIFS($H$6:$H189,"&lt;&gt;",$N$6:$N189,"&lt;=0"),"")</f>
        <v/>
      </c>
      <c r="AB189" s="16" t="str">
        <f aca="false">IF($C189="","",IF(COUNTIF($C$6:$C189,$C189)&gt;1,"",MAX($AB$5:AB188)+1))</f>
        <v/>
      </c>
      <c r="AC189" s="16" t="str">
        <f aca="false">IF($H189="","",IF(COUNTIF($H$6:$H189,$H189)&gt;1,"",MAX($AC$5:AC188)+1))</f>
        <v/>
      </c>
    </row>
    <row r="190" customFormat="false" ht="15" hidden="false" customHeight="false" outlineLevel="0" collapsed="false">
      <c r="A190" s="16" t="str">
        <f aca="false">IF($C190="","",COUNTA($C$6:$C190))</f>
        <v/>
      </c>
      <c r="B190" s="17"/>
      <c r="C190" s="8"/>
      <c r="D190" s="8"/>
      <c r="E190" s="8"/>
      <c r="F190" s="8"/>
      <c r="G190" s="8"/>
      <c r="H190" s="8"/>
      <c r="I190" s="9"/>
      <c r="J190" s="10" t="str">
        <f aca="false">IF($H190="","",IFERROR(VLOOKUP($H190,'BẢNG GIÁ GỐC'!$A$5:$D$204,3,FALSE()),""))</f>
        <v/>
      </c>
      <c r="K190" s="9"/>
      <c r="L190" s="10" t="str">
        <f aca="false">IF($C190="","",N($I190)*N($K190))</f>
        <v/>
      </c>
      <c r="M190" s="8"/>
      <c r="N190" s="11" t="str">
        <f aca="false">IF($C190="","",IF($M190="VAT 5%",0.05,IF($M190="VAT 8%",0.08,IF($M190="VAT 10%",0.1,0))))</f>
        <v/>
      </c>
      <c r="O190" s="10" t="str">
        <f aca="false">IF($C190="","",$L190*$N190)</f>
        <v/>
      </c>
      <c r="P190" s="10" t="str">
        <f aca="false">IF($C190="","",$L190+$O190)</f>
        <v/>
      </c>
      <c r="Q190" s="9"/>
      <c r="R190" s="10" t="str">
        <f aca="false">IF($C190="","",MAX(0,$P190-N($Q190)))</f>
        <v/>
      </c>
      <c r="S190" s="19" t="str">
        <f aca="false">IF(OR($C190="",$P190=0),"",IF(N($Q190)&lt;=0,"Chưa thanh toán",IF(N($Q190)&lt;$P190,"Thanh toán một phần","Đã thanh toán")))</f>
        <v/>
      </c>
      <c r="T190" s="10" t="str">
        <f aca="false">IF(OR($C190="",$J190=""),"",N($I190)*$J190)</f>
        <v/>
      </c>
      <c r="U190" s="10" t="str">
        <f aca="false">IF(OR($C190="",$T190=""),"",$L190-$T190)</f>
        <v/>
      </c>
      <c r="V190" s="11" t="str">
        <f aca="false">IF(OR($U190="",$L190=0),"",$U190/$L190)</f>
        <v/>
      </c>
      <c r="W190" s="8"/>
      <c r="X190" s="19" t="str">
        <f aca="false">IF($C190="","",IF(AND($H190="",N($I190)=0,N($K190)=0),"Dòng chỉ lưu thông tin khách (chưa có đơn); ",IF($B190="","Thiếu ngày đặt; ","")&amp;IF($H190="","Thiếu tên sản phẩm; ",IF($J190="","Sản phẩm chưa có trong BẢNG GIÁ GỐC; ",""))&amp;IF(N($I190)&lt;=0,"Thiếu số lượng; ","")&amp;IF(N($K190)&lt;=0,"Thiếu giá bán; ","")&amp;IF(AND($N190&gt;0,$F190=""),"Khách lấy VAT thiếu mã số thuế; ","")&amp;IF(N($Q190)&gt;$P190,"Đã thu vượt tổng phải thu; ","")&amp;IF(AND($L190&gt;0,$U190&lt;0),"CẢNH BÁO: ĐƠN NÀY ĐANG LỖ; ","")))</f>
        <v/>
      </c>
      <c r="Y190" s="16" t="str">
        <f aca="false">IF(AND($C190&lt;&gt;"",$R190&gt;0),COUNTIFS($C$6:$C190,"&lt;&gt;",$R$6:$R190,"&gt;0"),"")</f>
        <v/>
      </c>
      <c r="Z190" s="16" t="str">
        <f aca="false">IF(AND($H190&lt;&gt;"",N($N190)&gt;0),COUNTIFS($H$6:$H190,"&lt;&gt;",$N$6:$N190,"&gt;0"),"")</f>
        <v/>
      </c>
      <c r="AA190" s="16" t="str">
        <f aca="false">IF(AND($H190&lt;&gt;"",N($N190)=0),COUNTIFS($H$6:$H190,"&lt;&gt;",$N$6:$N190,"&lt;=0"),"")</f>
        <v/>
      </c>
      <c r="AB190" s="16" t="str">
        <f aca="false">IF($C190="","",IF(COUNTIF($C$6:$C190,$C190)&gt;1,"",MAX($AB$5:AB189)+1))</f>
        <v/>
      </c>
      <c r="AC190" s="16" t="str">
        <f aca="false">IF($H190="","",IF(COUNTIF($H$6:$H190,$H190)&gt;1,"",MAX($AC$5:AC189)+1))</f>
        <v/>
      </c>
    </row>
    <row r="191" customFormat="false" ht="15" hidden="false" customHeight="false" outlineLevel="0" collapsed="false">
      <c r="A191" s="16" t="str">
        <f aca="false">IF($C191="","",COUNTA($C$6:$C191))</f>
        <v/>
      </c>
      <c r="B191" s="17"/>
      <c r="C191" s="8"/>
      <c r="D191" s="8"/>
      <c r="E191" s="8"/>
      <c r="F191" s="8"/>
      <c r="G191" s="8"/>
      <c r="H191" s="8"/>
      <c r="I191" s="9"/>
      <c r="J191" s="10" t="str">
        <f aca="false">IF($H191="","",IFERROR(VLOOKUP($H191,'BẢNG GIÁ GỐC'!$A$5:$D$204,3,FALSE()),""))</f>
        <v/>
      </c>
      <c r="K191" s="9"/>
      <c r="L191" s="10" t="str">
        <f aca="false">IF($C191="","",N($I191)*N($K191))</f>
        <v/>
      </c>
      <c r="M191" s="8"/>
      <c r="N191" s="11" t="str">
        <f aca="false">IF($C191="","",IF($M191="VAT 5%",0.05,IF($M191="VAT 8%",0.08,IF($M191="VAT 10%",0.1,0))))</f>
        <v/>
      </c>
      <c r="O191" s="10" t="str">
        <f aca="false">IF($C191="","",$L191*$N191)</f>
        <v/>
      </c>
      <c r="P191" s="10" t="str">
        <f aca="false">IF($C191="","",$L191+$O191)</f>
        <v/>
      </c>
      <c r="Q191" s="9"/>
      <c r="R191" s="10" t="str">
        <f aca="false">IF($C191="","",MAX(0,$P191-N($Q191)))</f>
        <v/>
      </c>
      <c r="S191" s="19" t="str">
        <f aca="false">IF(OR($C191="",$P191=0),"",IF(N($Q191)&lt;=0,"Chưa thanh toán",IF(N($Q191)&lt;$P191,"Thanh toán một phần","Đã thanh toán")))</f>
        <v/>
      </c>
      <c r="T191" s="10" t="str">
        <f aca="false">IF(OR($C191="",$J191=""),"",N($I191)*$J191)</f>
        <v/>
      </c>
      <c r="U191" s="10" t="str">
        <f aca="false">IF(OR($C191="",$T191=""),"",$L191-$T191)</f>
        <v/>
      </c>
      <c r="V191" s="11" t="str">
        <f aca="false">IF(OR($U191="",$L191=0),"",$U191/$L191)</f>
        <v/>
      </c>
      <c r="W191" s="8"/>
      <c r="X191" s="19" t="str">
        <f aca="false">IF($C191="","",IF(AND($H191="",N($I191)=0,N($K191)=0),"Dòng chỉ lưu thông tin khách (chưa có đơn); ",IF($B191="","Thiếu ngày đặt; ","")&amp;IF($H191="","Thiếu tên sản phẩm; ",IF($J191="","Sản phẩm chưa có trong BẢNG GIÁ GỐC; ",""))&amp;IF(N($I191)&lt;=0,"Thiếu số lượng; ","")&amp;IF(N($K191)&lt;=0,"Thiếu giá bán; ","")&amp;IF(AND($N191&gt;0,$F191=""),"Khách lấy VAT thiếu mã số thuế; ","")&amp;IF(N($Q191)&gt;$P191,"Đã thu vượt tổng phải thu; ","")&amp;IF(AND($L191&gt;0,$U191&lt;0),"CẢNH BÁO: ĐƠN NÀY ĐANG LỖ; ","")))</f>
        <v/>
      </c>
      <c r="Y191" s="16" t="str">
        <f aca="false">IF(AND($C191&lt;&gt;"",$R191&gt;0),COUNTIFS($C$6:$C191,"&lt;&gt;",$R$6:$R191,"&gt;0"),"")</f>
        <v/>
      </c>
      <c r="Z191" s="16" t="str">
        <f aca="false">IF(AND($H191&lt;&gt;"",N($N191)&gt;0),COUNTIFS($H$6:$H191,"&lt;&gt;",$N$6:$N191,"&gt;0"),"")</f>
        <v/>
      </c>
      <c r="AA191" s="16" t="str">
        <f aca="false">IF(AND($H191&lt;&gt;"",N($N191)=0),COUNTIFS($H$6:$H191,"&lt;&gt;",$N$6:$N191,"&lt;=0"),"")</f>
        <v/>
      </c>
      <c r="AB191" s="16" t="str">
        <f aca="false">IF($C191="","",IF(COUNTIF($C$6:$C191,$C191)&gt;1,"",MAX($AB$5:AB190)+1))</f>
        <v/>
      </c>
      <c r="AC191" s="16" t="str">
        <f aca="false">IF($H191="","",IF(COUNTIF($H$6:$H191,$H191)&gt;1,"",MAX($AC$5:AC190)+1))</f>
        <v/>
      </c>
    </row>
    <row r="192" customFormat="false" ht="15" hidden="false" customHeight="false" outlineLevel="0" collapsed="false">
      <c r="A192" s="16" t="str">
        <f aca="false">IF($C192="","",COUNTA($C$6:$C192))</f>
        <v/>
      </c>
      <c r="B192" s="17"/>
      <c r="C192" s="8"/>
      <c r="D192" s="8"/>
      <c r="E192" s="8"/>
      <c r="F192" s="8"/>
      <c r="G192" s="8"/>
      <c r="H192" s="8"/>
      <c r="I192" s="9"/>
      <c r="J192" s="10" t="str">
        <f aca="false">IF($H192="","",IFERROR(VLOOKUP($H192,'BẢNG GIÁ GỐC'!$A$5:$D$204,3,FALSE()),""))</f>
        <v/>
      </c>
      <c r="K192" s="9"/>
      <c r="L192" s="10" t="str">
        <f aca="false">IF($C192="","",N($I192)*N($K192))</f>
        <v/>
      </c>
      <c r="M192" s="8"/>
      <c r="N192" s="11" t="str">
        <f aca="false">IF($C192="","",IF($M192="VAT 5%",0.05,IF($M192="VAT 8%",0.08,IF($M192="VAT 10%",0.1,0))))</f>
        <v/>
      </c>
      <c r="O192" s="10" t="str">
        <f aca="false">IF($C192="","",$L192*$N192)</f>
        <v/>
      </c>
      <c r="P192" s="10" t="str">
        <f aca="false">IF($C192="","",$L192+$O192)</f>
        <v/>
      </c>
      <c r="Q192" s="9"/>
      <c r="R192" s="10" t="str">
        <f aca="false">IF($C192="","",MAX(0,$P192-N($Q192)))</f>
        <v/>
      </c>
      <c r="S192" s="19" t="str">
        <f aca="false">IF(OR($C192="",$P192=0),"",IF(N($Q192)&lt;=0,"Chưa thanh toán",IF(N($Q192)&lt;$P192,"Thanh toán một phần","Đã thanh toán")))</f>
        <v/>
      </c>
      <c r="T192" s="10" t="str">
        <f aca="false">IF(OR($C192="",$J192=""),"",N($I192)*$J192)</f>
        <v/>
      </c>
      <c r="U192" s="10" t="str">
        <f aca="false">IF(OR($C192="",$T192=""),"",$L192-$T192)</f>
        <v/>
      </c>
      <c r="V192" s="11" t="str">
        <f aca="false">IF(OR($U192="",$L192=0),"",$U192/$L192)</f>
        <v/>
      </c>
      <c r="W192" s="8"/>
      <c r="X192" s="19" t="str">
        <f aca="false">IF($C192="","",IF(AND($H192="",N($I192)=0,N($K192)=0),"Dòng chỉ lưu thông tin khách (chưa có đơn); ",IF($B192="","Thiếu ngày đặt; ","")&amp;IF($H192="","Thiếu tên sản phẩm; ",IF($J192="","Sản phẩm chưa có trong BẢNG GIÁ GỐC; ",""))&amp;IF(N($I192)&lt;=0,"Thiếu số lượng; ","")&amp;IF(N($K192)&lt;=0,"Thiếu giá bán; ","")&amp;IF(AND($N192&gt;0,$F192=""),"Khách lấy VAT thiếu mã số thuế; ","")&amp;IF(N($Q192)&gt;$P192,"Đã thu vượt tổng phải thu; ","")&amp;IF(AND($L192&gt;0,$U192&lt;0),"CẢNH BÁO: ĐƠN NÀY ĐANG LỖ; ","")))</f>
        <v/>
      </c>
      <c r="Y192" s="16" t="str">
        <f aca="false">IF(AND($C192&lt;&gt;"",$R192&gt;0),COUNTIFS($C$6:$C192,"&lt;&gt;",$R$6:$R192,"&gt;0"),"")</f>
        <v/>
      </c>
      <c r="Z192" s="16" t="str">
        <f aca="false">IF(AND($H192&lt;&gt;"",N($N192)&gt;0),COUNTIFS($H$6:$H192,"&lt;&gt;",$N$6:$N192,"&gt;0"),"")</f>
        <v/>
      </c>
      <c r="AA192" s="16" t="str">
        <f aca="false">IF(AND($H192&lt;&gt;"",N($N192)=0),COUNTIFS($H$6:$H192,"&lt;&gt;",$N$6:$N192,"&lt;=0"),"")</f>
        <v/>
      </c>
      <c r="AB192" s="16" t="str">
        <f aca="false">IF($C192="","",IF(COUNTIF($C$6:$C192,$C192)&gt;1,"",MAX($AB$5:AB191)+1))</f>
        <v/>
      </c>
      <c r="AC192" s="16" t="str">
        <f aca="false">IF($H192="","",IF(COUNTIF($H$6:$H192,$H192)&gt;1,"",MAX($AC$5:AC191)+1))</f>
        <v/>
      </c>
    </row>
    <row r="193" customFormat="false" ht="15" hidden="false" customHeight="false" outlineLevel="0" collapsed="false">
      <c r="A193" s="16" t="str">
        <f aca="false">IF($C193="","",COUNTA($C$6:$C193))</f>
        <v/>
      </c>
      <c r="B193" s="17"/>
      <c r="C193" s="8"/>
      <c r="D193" s="8"/>
      <c r="E193" s="8"/>
      <c r="F193" s="8"/>
      <c r="G193" s="8"/>
      <c r="H193" s="8"/>
      <c r="I193" s="9"/>
      <c r="J193" s="10" t="str">
        <f aca="false">IF($H193="","",IFERROR(VLOOKUP($H193,'BẢNG GIÁ GỐC'!$A$5:$D$204,3,FALSE()),""))</f>
        <v/>
      </c>
      <c r="K193" s="9"/>
      <c r="L193" s="10" t="str">
        <f aca="false">IF($C193="","",N($I193)*N($K193))</f>
        <v/>
      </c>
      <c r="M193" s="8"/>
      <c r="N193" s="11" t="str">
        <f aca="false">IF($C193="","",IF($M193="VAT 5%",0.05,IF($M193="VAT 8%",0.08,IF($M193="VAT 10%",0.1,0))))</f>
        <v/>
      </c>
      <c r="O193" s="10" t="str">
        <f aca="false">IF($C193="","",$L193*$N193)</f>
        <v/>
      </c>
      <c r="P193" s="10" t="str">
        <f aca="false">IF($C193="","",$L193+$O193)</f>
        <v/>
      </c>
      <c r="Q193" s="9"/>
      <c r="R193" s="10" t="str">
        <f aca="false">IF($C193="","",MAX(0,$P193-N($Q193)))</f>
        <v/>
      </c>
      <c r="S193" s="19" t="str">
        <f aca="false">IF(OR($C193="",$P193=0),"",IF(N($Q193)&lt;=0,"Chưa thanh toán",IF(N($Q193)&lt;$P193,"Thanh toán một phần","Đã thanh toán")))</f>
        <v/>
      </c>
      <c r="T193" s="10" t="str">
        <f aca="false">IF(OR($C193="",$J193=""),"",N($I193)*$J193)</f>
        <v/>
      </c>
      <c r="U193" s="10" t="str">
        <f aca="false">IF(OR($C193="",$T193=""),"",$L193-$T193)</f>
        <v/>
      </c>
      <c r="V193" s="11" t="str">
        <f aca="false">IF(OR($U193="",$L193=0),"",$U193/$L193)</f>
        <v/>
      </c>
      <c r="W193" s="8"/>
      <c r="X193" s="19" t="str">
        <f aca="false">IF($C193="","",IF(AND($H193="",N($I193)=0,N($K193)=0),"Dòng chỉ lưu thông tin khách (chưa có đơn); ",IF($B193="","Thiếu ngày đặt; ","")&amp;IF($H193="","Thiếu tên sản phẩm; ",IF($J193="","Sản phẩm chưa có trong BẢNG GIÁ GỐC; ",""))&amp;IF(N($I193)&lt;=0,"Thiếu số lượng; ","")&amp;IF(N($K193)&lt;=0,"Thiếu giá bán; ","")&amp;IF(AND($N193&gt;0,$F193=""),"Khách lấy VAT thiếu mã số thuế; ","")&amp;IF(N($Q193)&gt;$P193,"Đã thu vượt tổng phải thu; ","")&amp;IF(AND($L193&gt;0,$U193&lt;0),"CẢNH BÁO: ĐƠN NÀY ĐANG LỖ; ","")))</f>
        <v/>
      </c>
      <c r="Y193" s="16" t="str">
        <f aca="false">IF(AND($C193&lt;&gt;"",$R193&gt;0),COUNTIFS($C$6:$C193,"&lt;&gt;",$R$6:$R193,"&gt;0"),"")</f>
        <v/>
      </c>
      <c r="Z193" s="16" t="str">
        <f aca="false">IF(AND($H193&lt;&gt;"",N($N193)&gt;0),COUNTIFS($H$6:$H193,"&lt;&gt;",$N$6:$N193,"&gt;0"),"")</f>
        <v/>
      </c>
      <c r="AA193" s="16" t="str">
        <f aca="false">IF(AND($H193&lt;&gt;"",N($N193)=0),COUNTIFS($H$6:$H193,"&lt;&gt;",$N$6:$N193,"&lt;=0"),"")</f>
        <v/>
      </c>
      <c r="AB193" s="16" t="str">
        <f aca="false">IF($C193="","",IF(COUNTIF($C$6:$C193,$C193)&gt;1,"",MAX($AB$5:AB192)+1))</f>
        <v/>
      </c>
      <c r="AC193" s="16" t="str">
        <f aca="false">IF($H193="","",IF(COUNTIF($H$6:$H193,$H193)&gt;1,"",MAX($AC$5:AC192)+1))</f>
        <v/>
      </c>
    </row>
    <row r="194" customFormat="false" ht="15" hidden="false" customHeight="false" outlineLevel="0" collapsed="false">
      <c r="A194" s="16" t="str">
        <f aca="false">IF($C194="","",COUNTA($C$6:$C194))</f>
        <v/>
      </c>
      <c r="B194" s="17"/>
      <c r="C194" s="8"/>
      <c r="D194" s="8"/>
      <c r="E194" s="8"/>
      <c r="F194" s="8"/>
      <c r="G194" s="8"/>
      <c r="H194" s="8"/>
      <c r="I194" s="9"/>
      <c r="J194" s="10" t="str">
        <f aca="false">IF($H194="","",IFERROR(VLOOKUP($H194,'BẢNG GIÁ GỐC'!$A$5:$D$204,3,FALSE()),""))</f>
        <v/>
      </c>
      <c r="K194" s="9"/>
      <c r="L194" s="10" t="str">
        <f aca="false">IF($C194="","",N($I194)*N($K194))</f>
        <v/>
      </c>
      <c r="M194" s="8"/>
      <c r="N194" s="11" t="str">
        <f aca="false">IF($C194="","",IF($M194="VAT 5%",0.05,IF($M194="VAT 8%",0.08,IF($M194="VAT 10%",0.1,0))))</f>
        <v/>
      </c>
      <c r="O194" s="10" t="str">
        <f aca="false">IF($C194="","",$L194*$N194)</f>
        <v/>
      </c>
      <c r="P194" s="10" t="str">
        <f aca="false">IF($C194="","",$L194+$O194)</f>
        <v/>
      </c>
      <c r="Q194" s="9"/>
      <c r="R194" s="10" t="str">
        <f aca="false">IF($C194="","",MAX(0,$P194-N($Q194)))</f>
        <v/>
      </c>
      <c r="S194" s="19" t="str">
        <f aca="false">IF(OR($C194="",$P194=0),"",IF(N($Q194)&lt;=0,"Chưa thanh toán",IF(N($Q194)&lt;$P194,"Thanh toán một phần","Đã thanh toán")))</f>
        <v/>
      </c>
      <c r="T194" s="10" t="str">
        <f aca="false">IF(OR($C194="",$J194=""),"",N($I194)*$J194)</f>
        <v/>
      </c>
      <c r="U194" s="10" t="str">
        <f aca="false">IF(OR($C194="",$T194=""),"",$L194-$T194)</f>
        <v/>
      </c>
      <c r="V194" s="11" t="str">
        <f aca="false">IF(OR($U194="",$L194=0),"",$U194/$L194)</f>
        <v/>
      </c>
      <c r="W194" s="8"/>
      <c r="X194" s="19" t="str">
        <f aca="false">IF($C194="","",IF(AND($H194="",N($I194)=0,N($K194)=0),"Dòng chỉ lưu thông tin khách (chưa có đơn); ",IF($B194="","Thiếu ngày đặt; ","")&amp;IF($H194="","Thiếu tên sản phẩm; ",IF($J194="","Sản phẩm chưa có trong BẢNG GIÁ GỐC; ",""))&amp;IF(N($I194)&lt;=0,"Thiếu số lượng; ","")&amp;IF(N($K194)&lt;=0,"Thiếu giá bán; ","")&amp;IF(AND($N194&gt;0,$F194=""),"Khách lấy VAT thiếu mã số thuế; ","")&amp;IF(N($Q194)&gt;$P194,"Đã thu vượt tổng phải thu; ","")&amp;IF(AND($L194&gt;0,$U194&lt;0),"CẢNH BÁO: ĐƠN NÀY ĐANG LỖ; ","")))</f>
        <v/>
      </c>
      <c r="Y194" s="16" t="str">
        <f aca="false">IF(AND($C194&lt;&gt;"",$R194&gt;0),COUNTIFS($C$6:$C194,"&lt;&gt;",$R$6:$R194,"&gt;0"),"")</f>
        <v/>
      </c>
      <c r="Z194" s="16" t="str">
        <f aca="false">IF(AND($H194&lt;&gt;"",N($N194)&gt;0),COUNTIFS($H$6:$H194,"&lt;&gt;",$N$6:$N194,"&gt;0"),"")</f>
        <v/>
      </c>
      <c r="AA194" s="16" t="str">
        <f aca="false">IF(AND($H194&lt;&gt;"",N($N194)=0),COUNTIFS($H$6:$H194,"&lt;&gt;",$N$6:$N194,"&lt;=0"),"")</f>
        <v/>
      </c>
      <c r="AB194" s="16" t="str">
        <f aca="false">IF($C194="","",IF(COUNTIF($C$6:$C194,$C194)&gt;1,"",MAX($AB$5:AB193)+1))</f>
        <v/>
      </c>
      <c r="AC194" s="16" t="str">
        <f aca="false">IF($H194="","",IF(COUNTIF($H$6:$H194,$H194)&gt;1,"",MAX($AC$5:AC193)+1))</f>
        <v/>
      </c>
    </row>
    <row r="195" customFormat="false" ht="15" hidden="false" customHeight="false" outlineLevel="0" collapsed="false">
      <c r="A195" s="16" t="str">
        <f aca="false">IF($C195="","",COUNTA($C$6:$C195))</f>
        <v/>
      </c>
      <c r="B195" s="17"/>
      <c r="C195" s="8"/>
      <c r="D195" s="8"/>
      <c r="E195" s="8"/>
      <c r="F195" s="8"/>
      <c r="G195" s="8"/>
      <c r="H195" s="8"/>
      <c r="I195" s="9"/>
      <c r="J195" s="10" t="str">
        <f aca="false">IF($H195="","",IFERROR(VLOOKUP($H195,'BẢNG GIÁ GỐC'!$A$5:$D$204,3,FALSE()),""))</f>
        <v/>
      </c>
      <c r="K195" s="9"/>
      <c r="L195" s="10" t="str">
        <f aca="false">IF($C195="","",N($I195)*N($K195))</f>
        <v/>
      </c>
      <c r="M195" s="8"/>
      <c r="N195" s="11" t="str">
        <f aca="false">IF($C195="","",IF($M195="VAT 5%",0.05,IF($M195="VAT 8%",0.08,IF($M195="VAT 10%",0.1,0))))</f>
        <v/>
      </c>
      <c r="O195" s="10" t="str">
        <f aca="false">IF($C195="","",$L195*$N195)</f>
        <v/>
      </c>
      <c r="P195" s="10" t="str">
        <f aca="false">IF($C195="","",$L195+$O195)</f>
        <v/>
      </c>
      <c r="Q195" s="9"/>
      <c r="R195" s="10" t="str">
        <f aca="false">IF($C195="","",MAX(0,$P195-N($Q195)))</f>
        <v/>
      </c>
      <c r="S195" s="19" t="str">
        <f aca="false">IF(OR($C195="",$P195=0),"",IF(N($Q195)&lt;=0,"Chưa thanh toán",IF(N($Q195)&lt;$P195,"Thanh toán một phần","Đã thanh toán")))</f>
        <v/>
      </c>
      <c r="T195" s="10" t="str">
        <f aca="false">IF(OR($C195="",$J195=""),"",N($I195)*$J195)</f>
        <v/>
      </c>
      <c r="U195" s="10" t="str">
        <f aca="false">IF(OR($C195="",$T195=""),"",$L195-$T195)</f>
        <v/>
      </c>
      <c r="V195" s="11" t="str">
        <f aca="false">IF(OR($U195="",$L195=0),"",$U195/$L195)</f>
        <v/>
      </c>
      <c r="W195" s="8"/>
      <c r="X195" s="19" t="str">
        <f aca="false">IF($C195="","",IF(AND($H195="",N($I195)=0,N($K195)=0),"Dòng chỉ lưu thông tin khách (chưa có đơn); ",IF($B195="","Thiếu ngày đặt; ","")&amp;IF($H195="","Thiếu tên sản phẩm; ",IF($J195="","Sản phẩm chưa có trong BẢNG GIÁ GỐC; ",""))&amp;IF(N($I195)&lt;=0,"Thiếu số lượng; ","")&amp;IF(N($K195)&lt;=0,"Thiếu giá bán; ","")&amp;IF(AND($N195&gt;0,$F195=""),"Khách lấy VAT thiếu mã số thuế; ","")&amp;IF(N($Q195)&gt;$P195,"Đã thu vượt tổng phải thu; ","")&amp;IF(AND($L195&gt;0,$U195&lt;0),"CẢNH BÁO: ĐƠN NÀY ĐANG LỖ; ","")))</f>
        <v/>
      </c>
      <c r="Y195" s="16" t="str">
        <f aca="false">IF(AND($C195&lt;&gt;"",$R195&gt;0),COUNTIFS($C$6:$C195,"&lt;&gt;",$R$6:$R195,"&gt;0"),"")</f>
        <v/>
      </c>
      <c r="Z195" s="16" t="str">
        <f aca="false">IF(AND($H195&lt;&gt;"",N($N195)&gt;0),COUNTIFS($H$6:$H195,"&lt;&gt;",$N$6:$N195,"&gt;0"),"")</f>
        <v/>
      </c>
      <c r="AA195" s="16" t="str">
        <f aca="false">IF(AND($H195&lt;&gt;"",N($N195)=0),COUNTIFS($H$6:$H195,"&lt;&gt;",$N$6:$N195,"&lt;=0"),"")</f>
        <v/>
      </c>
      <c r="AB195" s="16" t="str">
        <f aca="false">IF($C195="","",IF(COUNTIF($C$6:$C195,$C195)&gt;1,"",MAX($AB$5:AB194)+1))</f>
        <v/>
      </c>
      <c r="AC195" s="16" t="str">
        <f aca="false">IF($H195="","",IF(COUNTIF($H$6:$H195,$H195)&gt;1,"",MAX($AC$5:AC194)+1))</f>
        <v/>
      </c>
    </row>
    <row r="196" customFormat="false" ht="15" hidden="false" customHeight="false" outlineLevel="0" collapsed="false">
      <c r="A196" s="16" t="str">
        <f aca="false">IF($C196="","",COUNTA($C$6:$C196))</f>
        <v/>
      </c>
      <c r="B196" s="17"/>
      <c r="C196" s="8"/>
      <c r="D196" s="8"/>
      <c r="E196" s="8"/>
      <c r="F196" s="8"/>
      <c r="G196" s="8"/>
      <c r="H196" s="8"/>
      <c r="I196" s="9"/>
      <c r="J196" s="10" t="str">
        <f aca="false">IF($H196="","",IFERROR(VLOOKUP($H196,'BẢNG GIÁ GỐC'!$A$5:$D$204,3,FALSE()),""))</f>
        <v/>
      </c>
      <c r="K196" s="9"/>
      <c r="L196" s="10" t="str">
        <f aca="false">IF($C196="","",N($I196)*N($K196))</f>
        <v/>
      </c>
      <c r="M196" s="8"/>
      <c r="N196" s="11" t="str">
        <f aca="false">IF($C196="","",IF($M196="VAT 5%",0.05,IF($M196="VAT 8%",0.08,IF($M196="VAT 10%",0.1,0))))</f>
        <v/>
      </c>
      <c r="O196" s="10" t="str">
        <f aca="false">IF($C196="","",$L196*$N196)</f>
        <v/>
      </c>
      <c r="P196" s="10" t="str">
        <f aca="false">IF($C196="","",$L196+$O196)</f>
        <v/>
      </c>
      <c r="Q196" s="9"/>
      <c r="R196" s="10" t="str">
        <f aca="false">IF($C196="","",MAX(0,$P196-N($Q196)))</f>
        <v/>
      </c>
      <c r="S196" s="19" t="str">
        <f aca="false">IF(OR($C196="",$P196=0),"",IF(N($Q196)&lt;=0,"Chưa thanh toán",IF(N($Q196)&lt;$P196,"Thanh toán một phần","Đã thanh toán")))</f>
        <v/>
      </c>
      <c r="T196" s="10" t="str">
        <f aca="false">IF(OR($C196="",$J196=""),"",N($I196)*$J196)</f>
        <v/>
      </c>
      <c r="U196" s="10" t="str">
        <f aca="false">IF(OR($C196="",$T196=""),"",$L196-$T196)</f>
        <v/>
      </c>
      <c r="V196" s="11" t="str">
        <f aca="false">IF(OR($U196="",$L196=0),"",$U196/$L196)</f>
        <v/>
      </c>
      <c r="W196" s="8"/>
      <c r="X196" s="19" t="str">
        <f aca="false">IF($C196="","",IF(AND($H196="",N($I196)=0,N($K196)=0),"Dòng chỉ lưu thông tin khách (chưa có đơn); ",IF($B196="","Thiếu ngày đặt; ","")&amp;IF($H196="","Thiếu tên sản phẩm; ",IF($J196="","Sản phẩm chưa có trong BẢNG GIÁ GỐC; ",""))&amp;IF(N($I196)&lt;=0,"Thiếu số lượng; ","")&amp;IF(N($K196)&lt;=0,"Thiếu giá bán; ","")&amp;IF(AND($N196&gt;0,$F196=""),"Khách lấy VAT thiếu mã số thuế; ","")&amp;IF(N($Q196)&gt;$P196,"Đã thu vượt tổng phải thu; ","")&amp;IF(AND($L196&gt;0,$U196&lt;0),"CẢNH BÁO: ĐƠN NÀY ĐANG LỖ; ","")))</f>
        <v/>
      </c>
      <c r="Y196" s="16" t="str">
        <f aca="false">IF(AND($C196&lt;&gt;"",$R196&gt;0),COUNTIFS($C$6:$C196,"&lt;&gt;",$R$6:$R196,"&gt;0"),"")</f>
        <v/>
      </c>
      <c r="Z196" s="16" t="str">
        <f aca="false">IF(AND($H196&lt;&gt;"",N($N196)&gt;0),COUNTIFS($H$6:$H196,"&lt;&gt;",$N$6:$N196,"&gt;0"),"")</f>
        <v/>
      </c>
      <c r="AA196" s="16" t="str">
        <f aca="false">IF(AND($H196&lt;&gt;"",N($N196)=0),COUNTIFS($H$6:$H196,"&lt;&gt;",$N$6:$N196,"&lt;=0"),"")</f>
        <v/>
      </c>
      <c r="AB196" s="16" t="str">
        <f aca="false">IF($C196="","",IF(COUNTIF($C$6:$C196,$C196)&gt;1,"",MAX($AB$5:AB195)+1))</f>
        <v/>
      </c>
      <c r="AC196" s="16" t="str">
        <f aca="false">IF($H196="","",IF(COUNTIF($H$6:$H196,$H196)&gt;1,"",MAX($AC$5:AC195)+1))</f>
        <v/>
      </c>
    </row>
    <row r="197" customFormat="false" ht="15" hidden="false" customHeight="false" outlineLevel="0" collapsed="false">
      <c r="A197" s="16" t="str">
        <f aca="false">IF($C197="","",COUNTA($C$6:$C197))</f>
        <v/>
      </c>
      <c r="B197" s="17"/>
      <c r="C197" s="8"/>
      <c r="D197" s="8"/>
      <c r="E197" s="8"/>
      <c r="F197" s="8"/>
      <c r="G197" s="8"/>
      <c r="H197" s="8"/>
      <c r="I197" s="9"/>
      <c r="J197" s="10" t="str">
        <f aca="false">IF($H197="","",IFERROR(VLOOKUP($H197,'BẢNG GIÁ GỐC'!$A$5:$D$204,3,FALSE()),""))</f>
        <v/>
      </c>
      <c r="K197" s="9"/>
      <c r="L197" s="10" t="str">
        <f aca="false">IF($C197="","",N($I197)*N($K197))</f>
        <v/>
      </c>
      <c r="M197" s="8"/>
      <c r="N197" s="11" t="str">
        <f aca="false">IF($C197="","",IF($M197="VAT 5%",0.05,IF($M197="VAT 8%",0.08,IF($M197="VAT 10%",0.1,0))))</f>
        <v/>
      </c>
      <c r="O197" s="10" t="str">
        <f aca="false">IF($C197="","",$L197*$N197)</f>
        <v/>
      </c>
      <c r="P197" s="10" t="str">
        <f aca="false">IF($C197="","",$L197+$O197)</f>
        <v/>
      </c>
      <c r="Q197" s="9"/>
      <c r="R197" s="10" t="str">
        <f aca="false">IF($C197="","",MAX(0,$P197-N($Q197)))</f>
        <v/>
      </c>
      <c r="S197" s="19" t="str">
        <f aca="false">IF(OR($C197="",$P197=0),"",IF(N($Q197)&lt;=0,"Chưa thanh toán",IF(N($Q197)&lt;$P197,"Thanh toán một phần","Đã thanh toán")))</f>
        <v/>
      </c>
      <c r="T197" s="10" t="str">
        <f aca="false">IF(OR($C197="",$J197=""),"",N($I197)*$J197)</f>
        <v/>
      </c>
      <c r="U197" s="10" t="str">
        <f aca="false">IF(OR($C197="",$T197=""),"",$L197-$T197)</f>
        <v/>
      </c>
      <c r="V197" s="11" t="str">
        <f aca="false">IF(OR($U197="",$L197=0),"",$U197/$L197)</f>
        <v/>
      </c>
      <c r="W197" s="8"/>
      <c r="X197" s="19" t="str">
        <f aca="false">IF($C197="","",IF(AND($H197="",N($I197)=0,N($K197)=0),"Dòng chỉ lưu thông tin khách (chưa có đơn); ",IF($B197="","Thiếu ngày đặt; ","")&amp;IF($H197="","Thiếu tên sản phẩm; ",IF($J197="","Sản phẩm chưa có trong BẢNG GIÁ GỐC; ",""))&amp;IF(N($I197)&lt;=0,"Thiếu số lượng; ","")&amp;IF(N($K197)&lt;=0,"Thiếu giá bán; ","")&amp;IF(AND($N197&gt;0,$F197=""),"Khách lấy VAT thiếu mã số thuế; ","")&amp;IF(N($Q197)&gt;$P197,"Đã thu vượt tổng phải thu; ","")&amp;IF(AND($L197&gt;0,$U197&lt;0),"CẢNH BÁO: ĐƠN NÀY ĐANG LỖ; ","")))</f>
        <v/>
      </c>
      <c r="Y197" s="16" t="str">
        <f aca="false">IF(AND($C197&lt;&gt;"",$R197&gt;0),COUNTIFS($C$6:$C197,"&lt;&gt;",$R$6:$R197,"&gt;0"),"")</f>
        <v/>
      </c>
      <c r="Z197" s="16" t="str">
        <f aca="false">IF(AND($H197&lt;&gt;"",N($N197)&gt;0),COUNTIFS($H$6:$H197,"&lt;&gt;",$N$6:$N197,"&gt;0"),"")</f>
        <v/>
      </c>
      <c r="AA197" s="16" t="str">
        <f aca="false">IF(AND($H197&lt;&gt;"",N($N197)=0),COUNTIFS($H$6:$H197,"&lt;&gt;",$N$6:$N197,"&lt;=0"),"")</f>
        <v/>
      </c>
      <c r="AB197" s="16" t="str">
        <f aca="false">IF($C197="","",IF(COUNTIF($C$6:$C197,$C197)&gt;1,"",MAX($AB$5:AB196)+1))</f>
        <v/>
      </c>
      <c r="AC197" s="16" t="str">
        <f aca="false">IF($H197="","",IF(COUNTIF($H$6:$H197,$H197)&gt;1,"",MAX($AC$5:AC196)+1))</f>
        <v/>
      </c>
    </row>
    <row r="198" customFormat="false" ht="15" hidden="false" customHeight="false" outlineLevel="0" collapsed="false">
      <c r="A198" s="16" t="str">
        <f aca="false">IF($C198="","",COUNTA($C$6:$C198))</f>
        <v/>
      </c>
      <c r="B198" s="17"/>
      <c r="C198" s="8"/>
      <c r="D198" s="8"/>
      <c r="E198" s="8"/>
      <c r="F198" s="8"/>
      <c r="G198" s="8"/>
      <c r="H198" s="8"/>
      <c r="I198" s="9"/>
      <c r="J198" s="10" t="str">
        <f aca="false">IF($H198="","",IFERROR(VLOOKUP($H198,'BẢNG GIÁ GỐC'!$A$5:$D$204,3,FALSE()),""))</f>
        <v/>
      </c>
      <c r="K198" s="9"/>
      <c r="L198" s="10" t="str">
        <f aca="false">IF($C198="","",N($I198)*N($K198))</f>
        <v/>
      </c>
      <c r="M198" s="8"/>
      <c r="N198" s="11" t="str">
        <f aca="false">IF($C198="","",IF($M198="VAT 5%",0.05,IF($M198="VAT 8%",0.08,IF($M198="VAT 10%",0.1,0))))</f>
        <v/>
      </c>
      <c r="O198" s="10" t="str">
        <f aca="false">IF($C198="","",$L198*$N198)</f>
        <v/>
      </c>
      <c r="P198" s="10" t="str">
        <f aca="false">IF($C198="","",$L198+$O198)</f>
        <v/>
      </c>
      <c r="Q198" s="9"/>
      <c r="R198" s="10" t="str">
        <f aca="false">IF($C198="","",MAX(0,$P198-N($Q198)))</f>
        <v/>
      </c>
      <c r="S198" s="19" t="str">
        <f aca="false">IF(OR($C198="",$P198=0),"",IF(N($Q198)&lt;=0,"Chưa thanh toán",IF(N($Q198)&lt;$P198,"Thanh toán một phần","Đã thanh toán")))</f>
        <v/>
      </c>
      <c r="T198" s="10" t="str">
        <f aca="false">IF(OR($C198="",$J198=""),"",N($I198)*$J198)</f>
        <v/>
      </c>
      <c r="U198" s="10" t="str">
        <f aca="false">IF(OR($C198="",$T198=""),"",$L198-$T198)</f>
        <v/>
      </c>
      <c r="V198" s="11" t="str">
        <f aca="false">IF(OR($U198="",$L198=0),"",$U198/$L198)</f>
        <v/>
      </c>
      <c r="W198" s="8"/>
      <c r="X198" s="19" t="str">
        <f aca="false">IF($C198="","",IF(AND($H198="",N($I198)=0,N($K198)=0),"Dòng chỉ lưu thông tin khách (chưa có đơn); ",IF($B198="","Thiếu ngày đặt; ","")&amp;IF($H198="","Thiếu tên sản phẩm; ",IF($J198="","Sản phẩm chưa có trong BẢNG GIÁ GỐC; ",""))&amp;IF(N($I198)&lt;=0,"Thiếu số lượng; ","")&amp;IF(N($K198)&lt;=0,"Thiếu giá bán; ","")&amp;IF(AND($N198&gt;0,$F198=""),"Khách lấy VAT thiếu mã số thuế; ","")&amp;IF(N($Q198)&gt;$P198,"Đã thu vượt tổng phải thu; ","")&amp;IF(AND($L198&gt;0,$U198&lt;0),"CẢNH BÁO: ĐƠN NÀY ĐANG LỖ; ","")))</f>
        <v/>
      </c>
      <c r="Y198" s="16" t="str">
        <f aca="false">IF(AND($C198&lt;&gt;"",$R198&gt;0),COUNTIFS($C$6:$C198,"&lt;&gt;",$R$6:$R198,"&gt;0"),"")</f>
        <v/>
      </c>
      <c r="Z198" s="16" t="str">
        <f aca="false">IF(AND($H198&lt;&gt;"",N($N198)&gt;0),COUNTIFS($H$6:$H198,"&lt;&gt;",$N$6:$N198,"&gt;0"),"")</f>
        <v/>
      </c>
      <c r="AA198" s="16" t="str">
        <f aca="false">IF(AND($H198&lt;&gt;"",N($N198)=0),COUNTIFS($H$6:$H198,"&lt;&gt;",$N$6:$N198,"&lt;=0"),"")</f>
        <v/>
      </c>
      <c r="AB198" s="16" t="str">
        <f aca="false">IF($C198="","",IF(COUNTIF($C$6:$C198,$C198)&gt;1,"",MAX($AB$5:AB197)+1))</f>
        <v/>
      </c>
      <c r="AC198" s="16" t="str">
        <f aca="false">IF($H198="","",IF(COUNTIF($H$6:$H198,$H198)&gt;1,"",MAX($AC$5:AC197)+1))</f>
        <v/>
      </c>
    </row>
    <row r="199" customFormat="false" ht="15" hidden="false" customHeight="false" outlineLevel="0" collapsed="false">
      <c r="A199" s="16" t="str">
        <f aca="false">IF($C199="","",COUNTA($C$6:$C199))</f>
        <v/>
      </c>
      <c r="B199" s="17"/>
      <c r="C199" s="8"/>
      <c r="D199" s="8"/>
      <c r="E199" s="8"/>
      <c r="F199" s="8"/>
      <c r="G199" s="8"/>
      <c r="H199" s="8"/>
      <c r="I199" s="9"/>
      <c r="J199" s="10" t="str">
        <f aca="false">IF($H199="","",IFERROR(VLOOKUP($H199,'BẢNG GIÁ GỐC'!$A$5:$D$204,3,FALSE()),""))</f>
        <v/>
      </c>
      <c r="K199" s="9"/>
      <c r="L199" s="10" t="str">
        <f aca="false">IF($C199="","",N($I199)*N($K199))</f>
        <v/>
      </c>
      <c r="M199" s="8"/>
      <c r="N199" s="11" t="str">
        <f aca="false">IF($C199="","",IF($M199="VAT 5%",0.05,IF($M199="VAT 8%",0.08,IF($M199="VAT 10%",0.1,0))))</f>
        <v/>
      </c>
      <c r="O199" s="10" t="str">
        <f aca="false">IF($C199="","",$L199*$N199)</f>
        <v/>
      </c>
      <c r="P199" s="10" t="str">
        <f aca="false">IF($C199="","",$L199+$O199)</f>
        <v/>
      </c>
      <c r="Q199" s="9"/>
      <c r="R199" s="10" t="str">
        <f aca="false">IF($C199="","",MAX(0,$P199-N($Q199)))</f>
        <v/>
      </c>
      <c r="S199" s="19" t="str">
        <f aca="false">IF(OR($C199="",$P199=0),"",IF(N($Q199)&lt;=0,"Chưa thanh toán",IF(N($Q199)&lt;$P199,"Thanh toán một phần","Đã thanh toán")))</f>
        <v/>
      </c>
      <c r="T199" s="10" t="str">
        <f aca="false">IF(OR($C199="",$J199=""),"",N($I199)*$J199)</f>
        <v/>
      </c>
      <c r="U199" s="10" t="str">
        <f aca="false">IF(OR($C199="",$T199=""),"",$L199-$T199)</f>
        <v/>
      </c>
      <c r="V199" s="11" t="str">
        <f aca="false">IF(OR($U199="",$L199=0),"",$U199/$L199)</f>
        <v/>
      </c>
      <c r="W199" s="8"/>
      <c r="X199" s="19" t="str">
        <f aca="false">IF($C199="","",IF(AND($H199="",N($I199)=0,N($K199)=0),"Dòng chỉ lưu thông tin khách (chưa có đơn); ",IF($B199="","Thiếu ngày đặt; ","")&amp;IF($H199="","Thiếu tên sản phẩm; ",IF($J199="","Sản phẩm chưa có trong BẢNG GIÁ GỐC; ",""))&amp;IF(N($I199)&lt;=0,"Thiếu số lượng; ","")&amp;IF(N($K199)&lt;=0,"Thiếu giá bán; ","")&amp;IF(AND($N199&gt;0,$F199=""),"Khách lấy VAT thiếu mã số thuế; ","")&amp;IF(N($Q199)&gt;$P199,"Đã thu vượt tổng phải thu; ","")&amp;IF(AND($L199&gt;0,$U199&lt;0),"CẢNH BÁO: ĐƠN NÀY ĐANG LỖ; ","")))</f>
        <v/>
      </c>
      <c r="Y199" s="16" t="str">
        <f aca="false">IF(AND($C199&lt;&gt;"",$R199&gt;0),COUNTIFS($C$6:$C199,"&lt;&gt;",$R$6:$R199,"&gt;0"),"")</f>
        <v/>
      </c>
      <c r="Z199" s="16" t="str">
        <f aca="false">IF(AND($H199&lt;&gt;"",N($N199)&gt;0),COUNTIFS($H$6:$H199,"&lt;&gt;",$N$6:$N199,"&gt;0"),"")</f>
        <v/>
      </c>
      <c r="AA199" s="16" t="str">
        <f aca="false">IF(AND($H199&lt;&gt;"",N($N199)=0),COUNTIFS($H$6:$H199,"&lt;&gt;",$N$6:$N199,"&lt;=0"),"")</f>
        <v/>
      </c>
      <c r="AB199" s="16" t="str">
        <f aca="false">IF($C199="","",IF(COUNTIF($C$6:$C199,$C199)&gt;1,"",MAX($AB$5:AB198)+1))</f>
        <v/>
      </c>
      <c r="AC199" s="16" t="str">
        <f aca="false">IF($H199="","",IF(COUNTIF($H$6:$H199,$H199)&gt;1,"",MAX($AC$5:AC198)+1))</f>
        <v/>
      </c>
    </row>
    <row r="200" customFormat="false" ht="15" hidden="false" customHeight="false" outlineLevel="0" collapsed="false">
      <c r="A200" s="16" t="str">
        <f aca="false">IF($C200="","",COUNTA($C$6:$C200))</f>
        <v/>
      </c>
      <c r="B200" s="17"/>
      <c r="C200" s="8"/>
      <c r="D200" s="8"/>
      <c r="E200" s="8"/>
      <c r="F200" s="8"/>
      <c r="G200" s="8"/>
      <c r="H200" s="8"/>
      <c r="I200" s="9"/>
      <c r="J200" s="10" t="str">
        <f aca="false">IF($H200="","",IFERROR(VLOOKUP($H200,'BẢNG GIÁ GỐC'!$A$5:$D$204,3,FALSE()),""))</f>
        <v/>
      </c>
      <c r="K200" s="9"/>
      <c r="L200" s="10" t="str">
        <f aca="false">IF($C200="","",N($I200)*N($K200))</f>
        <v/>
      </c>
      <c r="M200" s="8"/>
      <c r="N200" s="11" t="str">
        <f aca="false">IF($C200="","",IF($M200="VAT 5%",0.05,IF($M200="VAT 8%",0.08,IF($M200="VAT 10%",0.1,0))))</f>
        <v/>
      </c>
      <c r="O200" s="10" t="str">
        <f aca="false">IF($C200="","",$L200*$N200)</f>
        <v/>
      </c>
      <c r="P200" s="10" t="str">
        <f aca="false">IF($C200="","",$L200+$O200)</f>
        <v/>
      </c>
      <c r="Q200" s="9"/>
      <c r="R200" s="10" t="str">
        <f aca="false">IF($C200="","",MAX(0,$P200-N($Q200)))</f>
        <v/>
      </c>
      <c r="S200" s="19" t="str">
        <f aca="false">IF(OR($C200="",$P200=0),"",IF(N($Q200)&lt;=0,"Chưa thanh toán",IF(N($Q200)&lt;$P200,"Thanh toán một phần","Đã thanh toán")))</f>
        <v/>
      </c>
      <c r="T200" s="10" t="str">
        <f aca="false">IF(OR($C200="",$J200=""),"",N($I200)*$J200)</f>
        <v/>
      </c>
      <c r="U200" s="10" t="str">
        <f aca="false">IF(OR($C200="",$T200=""),"",$L200-$T200)</f>
        <v/>
      </c>
      <c r="V200" s="11" t="str">
        <f aca="false">IF(OR($U200="",$L200=0),"",$U200/$L200)</f>
        <v/>
      </c>
      <c r="W200" s="8"/>
      <c r="X200" s="19" t="str">
        <f aca="false">IF($C200="","",IF(AND($H200="",N($I200)=0,N($K200)=0),"Dòng chỉ lưu thông tin khách (chưa có đơn); ",IF($B200="","Thiếu ngày đặt; ","")&amp;IF($H200="","Thiếu tên sản phẩm; ",IF($J200="","Sản phẩm chưa có trong BẢNG GIÁ GỐC; ",""))&amp;IF(N($I200)&lt;=0,"Thiếu số lượng; ","")&amp;IF(N($K200)&lt;=0,"Thiếu giá bán; ","")&amp;IF(AND($N200&gt;0,$F200=""),"Khách lấy VAT thiếu mã số thuế; ","")&amp;IF(N($Q200)&gt;$P200,"Đã thu vượt tổng phải thu; ","")&amp;IF(AND($L200&gt;0,$U200&lt;0),"CẢNH BÁO: ĐƠN NÀY ĐANG LỖ; ","")))</f>
        <v/>
      </c>
      <c r="Y200" s="16" t="str">
        <f aca="false">IF(AND($C200&lt;&gt;"",$R200&gt;0),COUNTIFS($C$6:$C200,"&lt;&gt;",$R$6:$R200,"&gt;0"),"")</f>
        <v/>
      </c>
      <c r="Z200" s="16" t="str">
        <f aca="false">IF(AND($H200&lt;&gt;"",N($N200)&gt;0),COUNTIFS($H$6:$H200,"&lt;&gt;",$N$6:$N200,"&gt;0"),"")</f>
        <v/>
      </c>
      <c r="AA200" s="16" t="str">
        <f aca="false">IF(AND($H200&lt;&gt;"",N($N200)=0),COUNTIFS($H$6:$H200,"&lt;&gt;",$N$6:$N200,"&lt;=0"),"")</f>
        <v/>
      </c>
      <c r="AB200" s="16" t="str">
        <f aca="false">IF($C200="","",IF(COUNTIF($C$6:$C200,$C200)&gt;1,"",MAX($AB$5:AB199)+1))</f>
        <v/>
      </c>
      <c r="AC200" s="16" t="str">
        <f aca="false">IF($H200="","",IF(COUNTIF($H$6:$H200,$H200)&gt;1,"",MAX($AC$5:AC199)+1))</f>
        <v/>
      </c>
    </row>
    <row r="201" customFormat="false" ht="15" hidden="false" customHeight="false" outlineLevel="0" collapsed="false">
      <c r="A201" s="16" t="str">
        <f aca="false">IF($C201="","",COUNTA($C$6:$C201))</f>
        <v/>
      </c>
      <c r="B201" s="17"/>
      <c r="C201" s="8"/>
      <c r="D201" s="8"/>
      <c r="E201" s="8"/>
      <c r="F201" s="8"/>
      <c r="G201" s="8"/>
      <c r="H201" s="8"/>
      <c r="I201" s="9"/>
      <c r="J201" s="10" t="str">
        <f aca="false">IF($H201="","",IFERROR(VLOOKUP($H201,'BẢNG GIÁ GỐC'!$A$5:$D$204,3,FALSE()),""))</f>
        <v/>
      </c>
      <c r="K201" s="9"/>
      <c r="L201" s="10" t="str">
        <f aca="false">IF($C201="","",N($I201)*N($K201))</f>
        <v/>
      </c>
      <c r="M201" s="8"/>
      <c r="N201" s="11" t="str">
        <f aca="false">IF($C201="","",IF($M201="VAT 5%",0.05,IF($M201="VAT 8%",0.08,IF($M201="VAT 10%",0.1,0))))</f>
        <v/>
      </c>
      <c r="O201" s="10" t="str">
        <f aca="false">IF($C201="","",$L201*$N201)</f>
        <v/>
      </c>
      <c r="P201" s="10" t="str">
        <f aca="false">IF($C201="","",$L201+$O201)</f>
        <v/>
      </c>
      <c r="Q201" s="9"/>
      <c r="R201" s="10" t="str">
        <f aca="false">IF($C201="","",MAX(0,$P201-N($Q201)))</f>
        <v/>
      </c>
      <c r="S201" s="19" t="str">
        <f aca="false">IF(OR($C201="",$P201=0),"",IF(N($Q201)&lt;=0,"Chưa thanh toán",IF(N($Q201)&lt;$P201,"Thanh toán một phần","Đã thanh toán")))</f>
        <v/>
      </c>
      <c r="T201" s="10" t="str">
        <f aca="false">IF(OR($C201="",$J201=""),"",N($I201)*$J201)</f>
        <v/>
      </c>
      <c r="U201" s="10" t="str">
        <f aca="false">IF(OR($C201="",$T201=""),"",$L201-$T201)</f>
        <v/>
      </c>
      <c r="V201" s="11" t="str">
        <f aca="false">IF(OR($U201="",$L201=0),"",$U201/$L201)</f>
        <v/>
      </c>
      <c r="W201" s="8"/>
      <c r="X201" s="19" t="str">
        <f aca="false">IF($C201="","",IF(AND($H201="",N($I201)=0,N($K201)=0),"Dòng chỉ lưu thông tin khách (chưa có đơn); ",IF($B201="","Thiếu ngày đặt; ","")&amp;IF($H201="","Thiếu tên sản phẩm; ",IF($J201="","Sản phẩm chưa có trong BẢNG GIÁ GỐC; ",""))&amp;IF(N($I201)&lt;=0,"Thiếu số lượng; ","")&amp;IF(N($K201)&lt;=0,"Thiếu giá bán; ","")&amp;IF(AND($N201&gt;0,$F201=""),"Khách lấy VAT thiếu mã số thuế; ","")&amp;IF(N($Q201)&gt;$P201,"Đã thu vượt tổng phải thu; ","")&amp;IF(AND($L201&gt;0,$U201&lt;0),"CẢNH BÁO: ĐƠN NÀY ĐANG LỖ; ","")))</f>
        <v/>
      </c>
      <c r="Y201" s="16" t="str">
        <f aca="false">IF(AND($C201&lt;&gt;"",$R201&gt;0),COUNTIFS($C$6:$C201,"&lt;&gt;",$R$6:$R201,"&gt;0"),"")</f>
        <v/>
      </c>
      <c r="Z201" s="16" t="str">
        <f aca="false">IF(AND($H201&lt;&gt;"",N($N201)&gt;0),COUNTIFS($H$6:$H201,"&lt;&gt;",$N$6:$N201,"&gt;0"),"")</f>
        <v/>
      </c>
      <c r="AA201" s="16" t="str">
        <f aca="false">IF(AND($H201&lt;&gt;"",N($N201)=0),COUNTIFS($H$6:$H201,"&lt;&gt;",$N$6:$N201,"&lt;=0"),"")</f>
        <v/>
      </c>
      <c r="AB201" s="16" t="str">
        <f aca="false">IF($C201="","",IF(COUNTIF($C$6:$C201,$C201)&gt;1,"",MAX($AB$5:AB200)+1))</f>
        <v/>
      </c>
      <c r="AC201" s="16" t="str">
        <f aca="false">IF($H201="","",IF(COUNTIF($H$6:$H201,$H201)&gt;1,"",MAX($AC$5:AC200)+1))</f>
        <v/>
      </c>
    </row>
    <row r="202" customFormat="false" ht="15" hidden="false" customHeight="false" outlineLevel="0" collapsed="false">
      <c r="A202" s="16" t="str">
        <f aca="false">IF($C202="","",COUNTA($C$6:$C202))</f>
        <v/>
      </c>
      <c r="B202" s="17"/>
      <c r="C202" s="8"/>
      <c r="D202" s="8"/>
      <c r="E202" s="8"/>
      <c r="F202" s="8"/>
      <c r="G202" s="8"/>
      <c r="H202" s="8"/>
      <c r="I202" s="9"/>
      <c r="J202" s="10" t="str">
        <f aca="false">IF($H202="","",IFERROR(VLOOKUP($H202,'BẢNG GIÁ GỐC'!$A$5:$D$204,3,FALSE()),""))</f>
        <v/>
      </c>
      <c r="K202" s="9"/>
      <c r="L202" s="10" t="str">
        <f aca="false">IF($C202="","",N($I202)*N($K202))</f>
        <v/>
      </c>
      <c r="M202" s="8"/>
      <c r="N202" s="11" t="str">
        <f aca="false">IF($C202="","",IF($M202="VAT 5%",0.05,IF($M202="VAT 8%",0.08,IF($M202="VAT 10%",0.1,0))))</f>
        <v/>
      </c>
      <c r="O202" s="10" t="str">
        <f aca="false">IF($C202="","",$L202*$N202)</f>
        <v/>
      </c>
      <c r="P202" s="10" t="str">
        <f aca="false">IF($C202="","",$L202+$O202)</f>
        <v/>
      </c>
      <c r="Q202" s="9"/>
      <c r="R202" s="10" t="str">
        <f aca="false">IF($C202="","",MAX(0,$P202-N($Q202)))</f>
        <v/>
      </c>
      <c r="S202" s="19" t="str">
        <f aca="false">IF(OR($C202="",$P202=0),"",IF(N($Q202)&lt;=0,"Chưa thanh toán",IF(N($Q202)&lt;$P202,"Thanh toán một phần","Đã thanh toán")))</f>
        <v/>
      </c>
      <c r="T202" s="10" t="str">
        <f aca="false">IF(OR($C202="",$J202=""),"",N($I202)*$J202)</f>
        <v/>
      </c>
      <c r="U202" s="10" t="str">
        <f aca="false">IF(OR($C202="",$T202=""),"",$L202-$T202)</f>
        <v/>
      </c>
      <c r="V202" s="11" t="str">
        <f aca="false">IF(OR($U202="",$L202=0),"",$U202/$L202)</f>
        <v/>
      </c>
      <c r="W202" s="8"/>
      <c r="X202" s="19" t="str">
        <f aca="false">IF($C202="","",IF(AND($H202="",N($I202)=0,N($K202)=0),"Dòng chỉ lưu thông tin khách (chưa có đơn); ",IF($B202="","Thiếu ngày đặt; ","")&amp;IF($H202="","Thiếu tên sản phẩm; ",IF($J202="","Sản phẩm chưa có trong BẢNG GIÁ GỐC; ",""))&amp;IF(N($I202)&lt;=0,"Thiếu số lượng; ","")&amp;IF(N($K202)&lt;=0,"Thiếu giá bán; ","")&amp;IF(AND($N202&gt;0,$F202=""),"Khách lấy VAT thiếu mã số thuế; ","")&amp;IF(N($Q202)&gt;$P202,"Đã thu vượt tổng phải thu; ","")&amp;IF(AND($L202&gt;0,$U202&lt;0),"CẢNH BÁO: ĐƠN NÀY ĐANG LỖ; ","")))</f>
        <v/>
      </c>
      <c r="Y202" s="16" t="str">
        <f aca="false">IF(AND($C202&lt;&gt;"",$R202&gt;0),COUNTIFS($C$6:$C202,"&lt;&gt;",$R$6:$R202,"&gt;0"),"")</f>
        <v/>
      </c>
      <c r="Z202" s="16" t="str">
        <f aca="false">IF(AND($H202&lt;&gt;"",N($N202)&gt;0),COUNTIFS($H$6:$H202,"&lt;&gt;",$N$6:$N202,"&gt;0"),"")</f>
        <v/>
      </c>
      <c r="AA202" s="16" t="str">
        <f aca="false">IF(AND($H202&lt;&gt;"",N($N202)=0),COUNTIFS($H$6:$H202,"&lt;&gt;",$N$6:$N202,"&lt;=0"),"")</f>
        <v/>
      </c>
      <c r="AB202" s="16" t="str">
        <f aca="false">IF($C202="","",IF(COUNTIF($C$6:$C202,$C202)&gt;1,"",MAX($AB$5:AB201)+1))</f>
        <v/>
      </c>
      <c r="AC202" s="16" t="str">
        <f aca="false">IF($H202="","",IF(COUNTIF($H$6:$H202,$H202)&gt;1,"",MAX($AC$5:AC201)+1))</f>
        <v/>
      </c>
    </row>
    <row r="203" customFormat="false" ht="15" hidden="false" customHeight="false" outlineLevel="0" collapsed="false">
      <c r="A203" s="16" t="str">
        <f aca="false">IF($C203="","",COUNTA($C$6:$C203))</f>
        <v/>
      </c>
      <c r="B203" s="17"/>
      <c r="C203" s="8"/>
      <c r="D203" s="8"/>
      <c r="E203" s="8"/>
      <c r="F203" s="8"/>
      <c r="G203" s="8"/>
      <c r="H203" s="8"/>
      <c r="I203" s="9"/>
      <c r="J203" s="10" t="str">
        <f aca="false">IF($H203="","",IFERROR(VLOOKUP($H203,'BẢNG GIÁ GỐC'!$A$5:$D$204,3,FALSE()),""))</f>
        <v/>
      </c>
      <c r="K203" s="9"/>
      <c r="L203" s="10" t="str">
        <f aca="false">IF($C203="","",N($I203)*N($K203))</f>
        <v/>
      </c>
      <c r="M203" s="8"/>
      <c r="N203" s="11" t="str">
        <f aca="false">IF($C203="","",IF($M203="VAT 5%",0.05,IF($M203="VAT 8%",0.08,IF($M203="VAT 10%",0.1,0))))</f>
        <v/>
      </c>
      <c r="O203" s="10" t="str">
        <f aca="false">IF($C203="","",$L203*$N203)</f>
        <v/>
      </c>
      <c r="P203" s="10" t="str">
        <f aca="false">IF($C203="","",$L203+$O203)</f>
        <v/>
      </c>
      <c r="Q203" s="9"/>
      <c r="R203" s="10" t="str">
        <f aca="false">IF($C203="","",MAX(0,$P203-N($Q203)))</f>
        <v/>
      </c>
      <c r="S203" s="19" t="str">
        <f aca="false">IF(OR($C203="",$P203=0),"",IF(N($Q203)&lt;=0,"Chưa thanh toán",IF(N($Q203)&lt;$P203,"Thanh toán một phần","Đã thanh toán")))</f>
        <v/>
      </c>
      <c r="T203" s="10" t="str">
        <f aca="false">IF(OR($C203="",$J203=""),"",N($I203)*$J203)</f>
        <v/>
      </c>
      <c r="U203" s="10" t="str">
        <f aca="false">IF(OR($C203="",$T203=""),"",$L203-$T203)</f>
        <v/>
      </c>
      <c r="V203" s="11" t="str">
        <f aca="false">IF(OR($U203="",$L203=0),"",$U203/$L203)</f>
        <v/>
      </c>
      <c r="W203" s="8"/>
      <c r="X203" s="19" t="str">
        <f aca="false">IF($C203="","",IF(AND($H203="",N($I203)=0,N($K203)=0),"Dòng chỉ lưu thông tin khách (chưa có đơn); ",IF($B203="","Thiếu ngày đặt; ","")&amp;IF($H203="","Thiếu tên sản phẩm; ",IF($J203="","Sản phẩm chưa có trong BẢNG GIÁ GỐC; ",""))&amp;IF(N($I203)&lt;=0,"Thiếu số lượng; ","")&amp;IF(N($K203)&lt;=0,"Thiếu giá bán; ","")&amp;IF(AND($N203&gt;0,$F203=""),"Khách lấy VAT thiếu mã số thuế; ","")&amp;IF(N($Q203)&gt;$P203,"Đã thu vượt tổng phải thu; ","")&amp;IF(AND($L203&gt;0,$U203&lt;0),"CẢNH BÁO: ĐƠN NÀY ĐANG LỖ; ","")))</f>
        <v/>
      </c>
      <c r="Y203" s="16" t="str">
        <f aca="false">IF(AND($C203&lt;&gt;"",$R203&gt;0),COUNTIFS($C$6:$C203,"&lt;&gt;",$R$6:$R203,"&gt;0"),"")</f>
        <v/>
      </c>
      <c r="Z203" s="16" t="str">
        <f aca="false">IF(AND($H203&lt;&gt;"",N($N203)&gt;0),COUNTIFS($H$6:$H203,"&lt;&gt;",$N$6:$N203,"&gt;0"),"")</f>
        <v/>
      </c>
      <c r="AA203" s="16" t="str">
        <f aca="false">IF(AND($H203&lt;&gt;"",N($N203)=0),COUNTIFS($H$6:$H203,"&lt;&gt;",$N$6:$N203,"&lt;=0"),"")</f>
        <v/>
      </c>
      <c r="AB203" s="16" t="str">
        <f aca="false">IF($C203="","",IF(COUNTIF($C$6:$C203,$C203)&gt;1,"",MAX($AB$5:AB202)+1))</f>
        <v/>
      </c>
      <c r="AC203" s="16" t="str">
        <f aca="false">IF($H203="","",IF(COUNTIF($H$6:$H203,$H203)&gt;1,"",MAX($AC$5:AC202)+1))</f>
        <v/>
      </c>
    </row>
    <row r="204" customFormat="false" ht="15" hidden="false" customHeight="false" outlineLevel="0" collapsed="false">
      <c r="A204" s="16" t="str">
        <f aca="false">IF($C204="","",COUNTA($C$6:$C204))</f>
        <v/>
      </c>
      <c r="B204" s="17"/>
      <c r="C204" s="8"/>
      <c r="D204" s="8"/>
      <c r="E204" s="8"/>
      <c r="F204" s="8"/>
      <c r="G204" s="8"/>
      <c r="H204" s="8"/>
      <c r="I204" s="9"/>
      <c r="J204" s="10" t="str">
        <f aca="false">IF($H204="","",IFERROR(VLOOKUP($H204,'BẢNG GIÁ GỐC'!$A$5:$D$204,3,FALSE()),""))</f>
        <v/>
      </c>
      <c r="K204" s="9"/>
      <c r="L204" s="10" t="str">
        <f aca="false">IF($C204="","",N($I204)*N($K204))</f>
        <v/>
      </c>
      <c r="M204" s="8"/>
      <c r="N204" s="11" t="str">
        <f aca="false">IF($C204="","",IF($M204="VAT 5%",0.05,IF($M204="VAT 8%",0.08,IF($M204="VAT 10%",0.1,0))))</f>
        <v/>
      </c>
      <c r="O204" s="10" t="str">
        <f aca="false">IF($C204="","",$L204*$N204)</f>
        <v/>
      </c>
      <c r="P204" s="10" t="str">
        <f aca="false">IF($C204="","",$L204+$O204)</f>
        <v/>
      </c>
      <c r="Q204" s="9"/>
      <c r="R204" s="10" t="str">
        <f aca="false">IF($C204="","",MAX(0,$P204-N($Q204)))</f>
        <v/>
      </c>
      <c r="S204" s="19" t="str">
        <f aca="false">IF(OR($C204="",$P204=0),"",IF(N($Q204)&lt;=0,"Chưa thanh toán",IF(N($Q204)&lt;$P204,"Thanh toán một phần","Đã thanh toán")))</f>
        <v/>
      </c>
      <c r="T204" s="10" t="str">
        <f aca="false">IF(OR($C204="",$J204=""),"",N($I204)*$J204)</f>
        <v/>
      </c>
      <c r="U204" s="10" t="str">
        <f aca="false">IF(OR($C204="",$T204=""),"",$L204-$T204)</f>
        <v/>
      </c>
      <c r="V204" s="11" t="str">
        <f aca="false">IF(OR($U204="",$L204=0),"",$U204/$L204)</f>
        <v/>
      </c>
      <c r="W204" s="8"/>
      <c r="X204" s="19" t="str">
        <f aca="false">IF($C204="","",IF(AND($H204="",N($I204)=0,N($K204)=0),"Dòng chỉ lưu thông tin khách (chưa có đơn); ",IF($B204="","Thiếu ngày đặt; ","")&amp;IF($H204="","Thiếu tên sản phẩm; ",IF($J204="","Sản phẩm chưa có trong BẢNG GIÁ GỐC; ",""))&amp;IF(N($I204)&lt;=0,"Thiếu số lượng; ","")&amp;IF(N($K204)&lt;=0,"Thiếu giá bán; ","")&amp;IF(AND($N204&gt;0,$F204=""),"Khách lấy VAT thiếu mã số thuế; ","")&amp;IF(N($Q204)&gt;$P204,"Đã thu vượt tổng phải thu; ","")&amp;IF(AND($L204&gt;0,$U204&lt;0),"CẢNH BÁO: ĐƠN NÀY ĐANG LỖ; ","")))</f>
        <v/>
      </c>
      <c r="Y204" s="16" t="str">
        <f aca="false">IF(AND($C204&lt;&gt;"",$R204&gt;0),COUNTIFS($C$6:$C204,"&lt;&gt;",$R$6:$R204,"&gt;0"),"")</f>
        <v/>
      </c>
      <c r="Z204" s="16" t="str">
        <f aca="false">IF(AND($H204&lt;&gt;"",N($N204)&gt;0),COUNTIFS($H$6:$H204,"&lt;&gt;",$N$6:$N204,"&gt;0"),"")</f>
        <v/>
      </c>
      <c r="AA204" s="16" t="str">
        <f aca="false">IF(AND($H204&lt;&gt;"",N($N204)=0),COUNTIFS($H$6:$H204,"&lt;&gt;",$N$6:$N204,"&lt;=0"),"")</f>
        <v/>
      </c>
      <c r="AB204" s="16" t="str">
        <f aca="false">IF($C204="","",IF(COUNTIF($C$6:$C204,$C204)&gt;1,"",MAX($AB$5:AB203)+1))</f>
        <v/>
      </c>
      <c r="AC204" s="16" t="str">
        <f aca="false">IF($H204="","",IF(COUNTIF($H$6:$H204,$H204)&gt;1,"",MAX($AC$5:AC203)+1))</f>
        <v/>
      </c>
    </row>
    <row r="205" customFormat="false" ht="15" hidden="false" customHeight="false" outlineLevel="0" collapsed="false">
      <c r="A205" s="16" t="str">
        <f aca="false">IF($C205="","",COUNTA($C$6:$C205))</f>
        <v/>
      </c>
      <c r="B205" s="17"/>
      <c r="C205" s="8"/>
      <c r="D205" s="8"/>
      <c r="E205" s="8"/>
      <c r="F205" s="8"/>
      <c r="G205" s="8"/>
      <c r="H205" s="8"/>
      <c r="I205" s="9"/>
      <c r="J205" s="10" t="str">
        <f aca="false">IF($H205="","",IFERROR(VLOOKUP($H205,'BẢNG GIÁ GỐC'!$A$5:$D$204,3,FALSE()),""))</f>
        <v/>
      </c>
      <c r="K205" s="9"/>
      <c r="L205" s="10" t="str">
        <f aca="false">IF($C205="","",N($I205)*N($K205))</f>
        <v/>
      </c>
      <c r="M205" s="8"/>
      <c r="N205" s="11" t="str">
        <f aca="false">IF($C205="","",IF($M205="VAT 5%",0.05,IF($M205="VAT 8%",0.08,IF($M205="VAT 10%",0.1,0))))</f>
        <v/>
      </c>
      <c r="O205" s="10" t="str">
        <f aca="false">IF($C205="","",$L205*$N205)</f>
        <v/>
      </c>
      <c r="P205" s="10" t="str">
        <f aca="false">IF($C205="","",$L205+$O205)</f>
        <v/>
      </c>
      <c r="Q205" s="9"/>
      <c r="R205" s="10" t="str">
        <f aca="false">IF($C205="","",MAX(0,$P205-N($Q205)))</f>
        <v/>
      </c>
      <c r="S205" s="19" t="str">
        <f aca="false">IF(OR($C205="",$P205=0),"",IF(N($Q205)&lt;=0,"Chưa thanh toán",IF(N($Q205)&lt;$P205,"Thanh toán một phần","Đã thanh toán")))</f>
        <v/>
      </c>
      <c r="T205" s="10" t="str">
        <f aca="false">IF(OR($C205="",$J205=""),"",N($I205)*$J205)</f>
        <v/>
      </c>
      <c r="U205" s="10" t="str">
        <f aca="false">IF(OR($C205="",$T205=""),"",$L205-$T205)</f>
        <v/>
      </c>
      <c r="V205" s="11" t="str">
        <f aca="false">IF(OR($U205="",$L205=0),"",$U205/$L205)</f>
        <v/>
      </c>
      <c r="W205" s="8"/>
      <c r="X205" s="19" t="str">
        <f aca="false">IF($C205="","",IF(AND($H205="",N($I205)=0,N($K205)=0),"Dòng chỉ lưu thông tin khách (chưa có đơn); ",IF($B205="","Thiếu ngày đặt; ","")&amp;IF($H205="","Thiếu tên sản phẩm; ",IF($J205="","Sản phẩm chưa có trong BẢNG GIÁ GỐC; ",""))&amp;IF(N($I205)&lt;=0,"Thiếu số lượng; ","")&amp;IF(N($K205)&lt;=0,"Thiếu giá bán; ","")&amp;IF(AND($N205&gt;0,$F205=""),"Khách lấy VAT thiếu mã số thuế; ","")&amp;IF(N($Q205)&gt;$P205,"Đã thu vượt tổng phải thu; ","")&amp;IF(AND($L205&gt;0,$U205&lt;0),"CẢNH BÁO: ĐƠN NÀY ĐANG LỖ; ","")))</f>
        <v/>
      </c>
      <c r="Y205" s="16" t="str">
        <f aca="false">IF(AND($C205&lt;&gt;"",$R205&gt;0),COUNTIFS($C$6:$C205,"&lt;&gt;",$R$6:$R205,"&gt;0"),"")</f>
        <v/>
      </c>
      <c r="Z205" s="16" t="str">
        <f aca="false">IF(AND($H205&lt;&gt;"",N($N205)&gt;0),COUNTIFS($H$6:$H205,"&lt;&gt;",$N$6:$N205,"&gt;0"),"")</f>
        <v/>
      </c>
      <c r="AA205" s="16" t="str">
        <f aca="false">IF(AND($H205&lt;&gt;"",N($N205)=0),COUNTIFS($H$6:$H205,"&lt;&gt;",$N$6:$N205,"&lt;=0"),"")</f>
        <v/>
      </c>
      <c r="AB205" s="16" t="str">
        <f aca="false">IF($C205="","",IF(COUNTIF($C$6:$C205,$C205)&gt;1,"",MAX($AB$5:AB204)+1))</f>
        <v/>
      </c>
      <c r="AC205" s="16" t="str">
        <f aca="false">IF($H205="","",IF(COUNTIF($H$6:$H205,$H205)&gt;1,"",MAX($AC$5:AC204)+1))</f>
        <v/>
      </c>
    </row>
    <row r="206" customFormat="false" ht="15" hidden="false" customHeight="false" outlineLevel="0" collapsed="false">
      <c r="A206" s="16" t="str">
        <f aca="false">IF($C206="","",COUNTA($C$6:$C206))</f>
        <v/>
      </c>
      <c r="B206" s="17"/>
      <c r="C206" s="8"/>
      <c r="D206" s="8"/>
      <c r="E206" s="8"/>
      <c r="F206" s="8"/>
      <c r="G206" s="8"/>
      <c r="H206" s="8"/>
      <c r="I206" s="9"/>
      <c r="J206" s="10" t="str">
        <f aca="false">IF($H206="","",IFERROR(VLOOKUP($H206,'BẢNG GIÁ GỐC'!$A$5:$D$204,3,FALSE()),""))</f>
        <v/>
      </c>
      <c r="K206" s="9"/>
      <c r="L206" s="10" t="str">
        <f aca="false">IF($C206="","",N($I206)*N($K206))</f>
        <v/>
      </c>
      <c r="M206" s="8"/>
      <c r="N206" s="11" t="str">
        <f aca="false">IF($C206="","",IF($M206="VAT 5%",0.05,IF($M206="VAT 8%",0.08,IF($M206="VAT 10%",0.1,0))))</f>
        <v/>
      </c>
      <c r="O206" s="10" t="str">
        <f aca="false">IF($C206="","",$L206*$N206)</f>
        <v/>
      </c>
      <c r="P206" s="10" t="str">
        <f aca="false">IF($C206="","",$L206+$O206)</f>
        <v/>
      </c>
      <c r="Q206" s="9"/>
      <c r="R206" s="10" t="str">
        <f aca="false">IF($C206="","",MAX(0,$P206-N($Q206)))</f>
        <v/>
      </c>
      <c r="S206" s="19" t="str">
        <f aca="false">IF(OR($C206="",$P206=0),"",IF(N($Q206)&lt;=0,"Chưa thanh toán",IF(N($Q206)&lt;$P206,"Thanh toán một phần","Đã thanh toán")))</f>
        <v/>
      </c>
      <c r="T206" s="10" t="str">
        <f aca="false">IF(OR($C206="",$J206=""),"",N($I206)*$J206)</f>
        <v/>
      </c>
      <c r="U206" s="10" t="str">
        <f aca="false">IF(OR($C206="",$T206=""),"",$L206-$T206)</f>
        <v/>
      </c>
      <c r="V206" s="11" t="str">
        <f aca="false">IF(OR($U206="",$L206=0),"",$U206/$L206)</f>
        <v/>
      </c>
      <c r="W206" s="8"/>
      <c r="X206" s="19" t="str">
        <f aca="false">IF($C206="","",IF(AND($H206="",N($I206)=0,N($K206)=0),"Dòng chỉ lưu thông tin khách (chưa có đơn); ",IF($B206="","Thiếu ngày đặt; ","")&amp;IF($H206="","Thiếu tên sản phẩm; ",IF($J206="","Sản phẩm chưa có trong BẢNG GIÁ GỐC; ",""))&amp;IF(N($I206)&lt;=0,"Thiếu số lượng; ","")&amp;IF(N($K206)&lt;=0,"Thiếu giá bán; ","")&amp;IF(AND($N206&gt;0,$F206=""),"Khách lấy VAT thiếu mã số thuế; ","")&amp;IF(N($Q206)&gt;$P206,"Đã thu vượt tổng phải thu; ","")&amp;IF(AND($L206&gt;0,$U206&lt;0),"CẢNH BÁO: ĐƠN NÀY ĐANG LỖ; ","")))</f>
        <v/>
      </c>
      <c r="Y206" s="16" t="str">
        <f aca="false">IF(AND($C206&lt;&gt;"",$R206&gt;0),COUNTIFS($C$6:$C206,"&lt;&gt;",$R$6:$R206,"&gt;0"),"")</f>
        <v/>
      </c>
      <c r="Z206" s="16" t="str">
        <f aca="false">IF(AND($H206&lt;&gt;"",N($N206)&gt;0),COUNTIFS($H$6:$H206,"&lt;&gt;",$N$6:$N206,"&gt;0"),"")</f>
        <v/>
      </c>
      <c r="AA206" s="16" t="str">
        <f aca="false">IF(AND($H206&lt;&gt;"",N($N206)=0),COUNTIFS($H$6:$H206,"&lt;&gt;",$N$6:$N206,"&lt;=0"),"")</f>
        <v/>
      </c>
      <c r="AB206" s="16" t="str">
        <f aca="false">IF($C206="","",IF(COUNTIF($C$6:$C206,$C206)&gt;1,"",MAX($AB$5:AB205)+1))</f>
        <v/>
      </c>
      <c r="AC206" s="16" t="str">
        <f aca="false">IF($H206="","",IF(COUNTIF($H$6:$H206,$H206)&gt;1,"",MAX($AC$5:AC205)+1))</f>
        <v/>
      </c>
    </row>
    <row r="207" customFormat="false" ht="15" hidden="false" customHeight="false" outlineLevel="0" collapsed="false">
      <c r="A207" s="16" t="str">
        <f aca="false">IF($C207="","",COUNTA($C$6:$C207))</f>
        <v/>
      </c>
      <c r="B207" s="17"/>
      <c r="C207" s="8"/>
      <c r="D207" s="8"/>
      <c r="E207" s="8"/>
      <c r="F207" s="8"/>
      <c r="G207" s="8"/>
      <c r="H207" s="8"/>
      <c r="I207" s="9"/>
      <c r="J207" s="10" t="str">
        <f aca="false">IF($H207="","",IFERROR(VLOOKUP($H207,'BẢNG GIÁ GỐC'!$A$5:$D$204,3,FALSE()),""))</f>
        <v/>
      </c>
      <c r="K207" s="9"/>
      <c r="L207" s="10" t="str">
        <f aca="false">IF($C207="","",N($I207)*N($K207))</f>
        <v/>
      </c>
      <c r="M207" s="8"/>
      <c r="N207" s="11" t="str">
        <f aca="false">IF($C207="","",IF($M207="VAT 5%",0.05,IF($M207="VAT 8%",0.08,IF($M207="VAT 10%",0.1,0))))</f>
        <v/>
      </c>
      <c r="O207" s="10" t="str">
        <f aca="false">IF($C207="","",$L207*$N207)</f>
        <v/>
      </c>
      <c r="P207" s="10" t="str">
        <f aca="false">IF($C207="","",$L207+$O207)</f>
        <v/>
      </c>
      <c r="Q207" s="9"/>
      <c r="R207" s="10" t="str">
        <f aca="false">IF($C207="","",MAX(0,$P207-N($Q207)))</f>
        <v/>
      </c>
      <c r="S207" s="19" t="str">
        <f aca="false">IF(OR($C207="",$P207=0),"",IF(N($Q207)&lt;=0,"Chưa thanh toán",IF(N($Q207)&lt;$P207,"Thanh toán một phần","Đã thanh toán")))</f>
        <v/>
      </c>
      <c r="T207" s="10" t="str">
        <f aca="false">IF(OR($C207="",$J207=""),"",N($I207)*$J207)</f>
        <v/>
      </c>
      <c r="U207" s="10" t="str">
        <f aca="false">IF(OR($C207="",$T207=""),"",$L207-$T207)</f>
        <v/>
      </c>
      <c r="V207" s="11" t="str">
        <f aca="false">IF(OR($U207="",$L207=0),"",$U207/$L207)</f>
        <v/>
      </c>
      <c r="W207" s="8"/>
      <c r="X207" s="19" t="str">
        <f aca="false">IF($C207="","",IF(AND($H207="",N($I207)=0,N($K207)=0),"Dòng chỉ lưu thông tin khách (chưa có đơn); ",IF($B207="","Thiếu ngày đặt; ","")&amp;IF($H207="","Thiếu tên sản phẩm; ",IF($J207="","Sản phẩm chưa có trong BẢNG GIÁ GỐC; ",""))&amp;IF(N($I207)&lt;=0,"Thiếu số lượng; ","")&amp;IF(N($K207)&lt;=0,"Thiếu giá bán; ","")&amp;IF(AND($N207&gt;0,$F207=""),"Khách lấy VAT thiếu mã số thuế; ","")&amp;IF(N($Q207)&gt;$P207,"Đã thu vượt tổng phải thu; ","")&amp;IF(AND($L207&gt;0,$U207&lt;0),"CẢNH BÁO: ĐƠN NÀY ĐANG LỖ; ","")))</f>
        <v/>
      </c>
      <c r="Y207" s="16" t="str">
        <f aca="false">IF(AND($C207&lt;&gt;"",$R207&gt;0),COUNTIFS($C$6:$C207,"&lt;&gt;",$R$6:$R207,"&gt;0"),"")</f>
        <v/>
      </c>
      <c r="Z207" s="16" t="str">
        <f aca="false">IF(AND($H207&lt;&gt;"",N($N207)&gt;0),COUNTIFS($H$6:$H207,"&lt;&gt;",$N$6:$N207,"&gt;0"),"")</f>
        <v/>
      </c>
      <c r="AA207" s="16" t="str">
        <f aca="false">IF(AND($H207&lt;&gt;"",N($N207)=0),COUNTIFS($H$6:$H207,"&lt;&gt;",$N$6:$N207,"&lt;=0"),"")</f>
        <v/>
      </c>
      <c r="AB207" s="16" t="str">
        <f aca="false">IF($C207="","",IF(COUNTIF($C$6:$C207,$C207)&gt;1,"",MAX($AB$5:AB206)+1))</f>
        <v/>
      </c>
      <c r="AC207" s="16" t="str">
        <f aca="false">IF($H207="","",IF(COUNTIF($H$6:$H207,$H207)&gt;1,"",MAX($AC$5:AC206)+1))</f>
        <v/>
      </c>
    </row>
    <row r="208" customFormat="false" ht="15" hidden="false" customHeight="false" outlineLevel="0" collapsed="false">
      <c r="A208" s="16" t="str">
        <f aca="false">IF($C208="","",COUNTA($C$6:$C208))</f>
        <v/>
      </c>
      <c r="B208" s="17"/>
      <c r="C208" s="8"/>
      <c r="D208" s="8"/>
      <c r="E208" s="8"/>
      <c r="F208" s="8"/>
      <c r="G208" s="8"/>
      <c r="H208" s="8"/>
      <c r="I208" s="9"/>
      <c r="J208" s="10" t="str">
        <f aca="false">IF($H208="","",IFERROR(VLOOKUP($H208,'BẢNG GIÁ GỐC'!$A$5:$D$204,3,FALSE()),""))</f>
        <v/>
      </c>
      <c r="K208" s="9"/>
      <c r="L208" s="10" t="str">
        <f aca="false">IF($C208="","",N($I208)*N($K208))</f>
        <v/>
      </c>
      <c r="M208" s="8"/>
      <c r="N208" s="11" t="str">
        <f aca="false">IF($C208="","",IF($M208="VAT 5%",0.05,IF($M208="VAT 8%",0.08,IF($M208="VAT 10%",0.1,0))))</f>
        <v/>
      </c>
      <c r="O208" s="10" t="str">
        <f aca="false">IF($C208="","",$L208*$N208)</f>
        <v/>
      </c>
      <c r="P208" s="10" t="str">
        <f aca="false">IF($C208="","",$L208+$O208)</f>
        <v/>
      </c>
      <c r="Q208" s="9"/>
      <c r="R208" s="10" t="str">
        <f aca="false">IF($C208="","",MAX(0,$P208-N($Q208)))</f>
        <v/>
      </c>
      <c r="S208" s="19" t="str">
        <f aca="false">IF(OR($C208="",$P208=0),"",IF(N($Q208)&lt;=0,"Chưa thanh toán",IF(N($Q208)&lt;$P208,"Thanh toán một phần","Đã thanh toán")))</f>
        <v/>
      </c>
      <c r="T208" s="10" t="str">
        <f aca="false">IF(OR($C208="",$J208=""),"",N($I208)*$J208)</f>
        <v/>
      </c>
      <c r="U208" s="10" t="str">
        <f aca="false">IF(OR($C208="",$T208=""),"",$L208-$T208)</f>
        <v/>
      </c>
      <c r="V208" s="11" t="str">
        <f aca="false">IF(OR($U208="",$L208=0),"",$U208/$L208)</f>
        <v/>
      </c>
      <c r="W208" s="8"/>
      <c r="X208" s="19" t="str">
        <f aca="false">IF($C208="","",IF(AND($H208="",N($I208)=0,N($K208)=0),"Dòng chỉ lưu thông tin khách (chưa có đơn); ",IF($B208="","Thiếu ngày đặt; ","")&amp;IF($H208="","Thiếu tên sản phẩm; ",IF($J208="","Sản phẩm chưa có trong BẢNG GIÁ GỐC; ",""))&amp;IF(N($I208)&lt;=0,"Thiếu số lượng; ","")&amp;IF(N($K208)&lt;=0,"Thiếu giá bán; ","")&amp;IF(AND($N208&gt;0,$F208=""),"Khách lấy VAT thiếu mã số thuế; ","")&amp;IF(N($Q208)&gt;$P208,"Đã thu vượt tổng phải thu; ","")&amp;IF(AND($L208&gt;0,$U208&lt;0),"CẢNH BÁO: ĐƠN NÀY ĐANG LỖ; ","")))</f>
        <v/>
      </c>
      <c r="Y208" s="16" t="str">
        <f aca="false">IF(AND($C208&lt;&gt;"",$R208&gt;0),COUNTIFS($C$6:$C208,"&lt;&gt;",$R$6:$R208,"&gt;0"),"")</f>
        <v/>
      </c>
      <c r="Z208" s="16" t="str">
        <f aca="false">IF(AND($H208&lt;&gt;"",N($N208)&gt;0),COUNTIFS($H$6:$H208,"&lt;&gt;",$N$6:$N208,"&gt;0"),"")</f>
        <v/>
      </c>
      <c r="AA208" s="16" t="str">
        <f aca="false">IF(AND($H208&lt;&gt;"",N($N208)=0),COUNTIFS($H$6:$H208,"&lt;&gt;",$N$6:$N208,"&lt;=0"),"")</f>
        <v/>
      </c>
      <c r="AB208" s="16" t="str">
        <f aca="false">IF($C208="","",IF(COUNTIF($C$6:$C208,$C208)&gt;1,"",MAX($AB$5:AB207)+1))</f>
        <v/>
      </c>
      <c r="AC208" s="16" t="str">
        <f aca="false">IF($H208="","",IF(COUNTIF($H$6:$H208,$H208)&gt;1,"",MAX($AC$5:AC207)+1))</f>
        <v/>
      </c>
    </row>
    <row r="209" customFormat="false" ht="15" hidden="false" customHeight="false" outlineLevel="0" collapsed="false">
      <c r="A209" s="16" t="str">
        <f aca="false">IF($C209="","",COUNTA($C$6:$C209))</f>
        <v/>
      </c>
      <c r="B209" s="17"/>
      <c r="C209" s="8"/>
      <c r="D209" s="8"/>
      <c r="E209" s="8"/>
      <c r="F209" s="8"/>
      <c r="G209" s="8"/>
      <c r="H209" s="8"/>
      <c r="I209" s="9"/>
      <c r="J209" s="10" t="str">
        <f aca="false">IF($H209="","",IFERROR(VLOOKUP($H209,'BẢNG GIÁ GỐC'!$A$5:$D$204,3,FALSE()),""))</f>
        <v/>
      </c>
      <c r="K209" s="9"/>
      <c r="L209" s="10" t="str">
        <f aca="false">IF($C209="","",N($I209)*N($K209))</f>
        <v/>
      </c>
      <c r="M209" s="8"/>
      <c r="N209" s="11" t="str">
        <f aca="false">IF($C209="","",IF($M209="VAT 5%",0.05,IF($M209="VAT 8%",0.08,IF($M209="VAT 10%",0.1,0))))</f>
        <v/>
      </c>
      <c r="O209" s="10" t="str">
        <f aca="false">IF($C209="","",$L209*$N209)</f>
        <v/>
      </c>
      <c r="P209" s="10" t="str">
        <f aca="false">IF($C209="","",$L209+$O209)</f>
        <v/>
      </c>
      <c r="Q209" s="9"/>
      <c r="R209" s="10" t="str">
        <f aca="false">IF($C209="","",MAX(0,$P209-N($Q209)))</f>
        <v/>
      </c>
      <c r="S209" s="19" t="str">
        <f aca="false">IF(OR($C209="",$P209=0),"",IF(N($Q209)&lt;=0,"Chưa thanh toán",IF(N($Q209)&lt;$P209,"Thanh toán một phần","Đã thanh toán")))</f>
        <v/>
      </c>
      <c r="T209" s="10" t="str">
        <f aca="false">IF(OR($C209="",$J209=""),"",N($I209)*$J209)</f>
        <v/>
      </c>
      <c r="U209" s="10" t="str">
        <f aca="false">IF(OR($C209="",$T209=""),"",$L209-$T209)</f>
        <v/>
      </c>
      <c r="V209" s="11" t="str">
        <f aca="false">IF(OR($U209="",$L209=0),"",$U209/$L209)</f>
        <v/>
      </c>
      <c r="W209" s="8"/>
      <c r="X209" s="19" t="str">
        <f aca="false">IF($C209="","",IF(AND($H209="",N($I209)=0,N($K209)=0),"Dòng chỉ lưu thông tin khách (chưa có đơn); ",IF($B209="","Thiếu ngày đặt; ","")&amp;IF($H209="","Thiếu tên sản phẩm; ",IF($J209="","Sản phẩm chưa có trong BẢNG GIÁ GỐC; ",""))&amp;IF(N($I209)&lt;=0,"Thiếu số lượng; ","")&amp;IF(N($K209)&lt;=0,"Thiếu giá bán; ","")&amp;IF(AND($N209&gt;0,$F209=""),"Khách lấy VAT thiếu mã số thuế; ","")&amp;IF(N($Q209)&gt;$P209,"Đã thu vượt tổng phải thu; ","")&amp;IF(AND($L209&gt;0,$U209&lt;0),"CẢNH BÁO: ĐƠN NÀY ĐANG LỖ; ","")))</f>
        <v/>
      </c>
      <c r="Y209" s="16" t="str">
        <f aca="false">IF(AND($C209&lt;&gt;"",$R209&gt;0),COUNTIFS($C$6:$C209,"&lt;&gt;",$R$6:$R209,"&gt;0"),"")</f>
        <v/>
      </c>
      <c r="Z209" s="16" t="str">
        <f aca="false">IF(AND($H209&lt;&gt;"",N($N209)&gt;0),COUNTIFS($H$6:$H209,"&lt;&gt;",$N$6:$N209,"&gt;0"),"")</f>
        <v/>
      </c>
      <c r="AA209" s="16" t="str">
        <f aca="false">IF(AND($H209&lt;&gt;"",N($N209)=0),COUNTIFS($H$6:$H209,"&lt;&gt;",$N$6:$N209,"&lt;=0"),"")</f>
        <v/>
      </c>
      <c r="AB209" s="16" t="str">
        <f aca="false">IF($C209="","",IF(COUNTIF($C$6:$C209,$C209)&gt;1,"",MAX($AB$5:AB208)+1))</f>
        <v/>
      </c>
      <c r="AC209" s="16" t="str">
        <f aca="false">IF($H209="","",IF(COUNTIF($H$6:$H209,$H209)&gt;1,"",MAX($AC$5:AC208)+1))</f>
        <v/>
      </c>
    </row>
    <row r="210" customFormat="false" ht="15" hidden="false" customHeight="false" outlineLevel="0" collapsed="false">
      <c r="A210" s="16" t="str">
        <f aca="false">IF($C210="","",COUNTA($C$6:$C210))</f>
        <v/>
      </c>
      <c r="B210" s="17"/>
      <c r="C210" s="8"/>
      <c r="D210" s="8"/>
      <c r="E210" s="8"/>
      <c r="F210" s="8"/>
      <c r="G210" s="8"/>
      <c r="H210" s="8"/>
      <c r="I210" s="9"/>
      <c r="J210" s="10" t="str">
        <f aca="false">IF($H210="","",IFERROR(VLOOKUP($H210,'BẢNG GIÁ GỐC'!$A$5:$D$204,3,FALSE()),""))</f>
        <v/>
      </c>
      <c r="K210" s="9"/>
      <c r="L210" s="10" t="str">
        <f aca="false">IF($C210="","",N($I210)*N($K210))</f>
        <v/>
      </c>
      <c r="M210" s="8"/>
      <c r="N210" s="11" t="str">
        <f aca="false">IF($C210="","",IF($M210="VAT 5%",0.05,IF($M210="VAT 8%",0.08,IF($M210="VAT 10%",0.1,0))))</f>
        <v/>
      </c>
      <c r="O210" s="10" t="str">
        <f aca="false">IF($C210="","",$L210*$N210)</f>
        <v/>
      </c>
      <c r="P210" s="10" t="str">
        <f aca="false">IF($C210="","",$L210+$O210)</f>
        <v/>
      </c>
      <c r="Q210" s="9"/>
      <c r="R210" s="10" t="str">
        <f aca="false">IF($C210="","",MAX(0,$P210-N($Q210)))</f>
        <v/>
      </c>
      <c r="S210" s="19" t="str">
        <f aca="false">IF(OR($C210="",$P210=0),"",IF(N($Q210)&lt;=0,"Chưa thanh toán",IF(N($Q210)&lt;$P210,"Thanh toán một phần","Đã thanh toán")))</f>
        <v/>
      </c>
      <c r="T210" s="10" t="str">
        <f aca="false">IF(OR($C210="",$J210=""),"",N($I210)*$J210)</f>
        <v/>
      </c>
      <c r="U210" s="10" t="str">
        <f aca="false">IF(OR($C210="",$T210=""),"",$L210-$T210)</f>
        <v/>
      </c>
      <c r="V210" s="11" t="str">
        <f aca="false">IF(OR($U210="",$L210=0),"",$U210/$L210)</f>
        <v/>
      </c>
      <c r="W210" s="8"/>
      <c r="X210" s="19" t="str">
        <f aca="false">IF($C210="","",IF(AND($H210="",N($I210)=0,N($K210)=0),"Dòng chỉ lưu thông tin khách (chưa có đơn); ",IF($B210="","Thiếu ngày đặt; ","")&amp;IF($H210="","Thiếu tên sản phẩm; ",IF($J210="","Sản phẩm chưa có trong BẢNG GIÁ GỐC; ",""))&amp;IF(N($I210)&lt;=0,"Thiếu số lượng; ","")&amp;IF(N($K210)&lt;=0,"Thiếu giá bán; ","")&amp;IF(AND($N210&gt;0,$F210=""),"Khách lấy VAT thiếu mã số thuế; ","")&amp;IF(N($Q210)&gt;$P210,"Đã thu vượt tổng phải thu; ","")&amp;IF(AND($L210&gt;0,$U210&lt;0),"CẢNH BÁO: ĐƠN NÀY ĐANG LỖ; ","")))</f>
        <v/>
      </c>
      <c r="Y210" s="16" t="str">
        <f aca="false">IF(AND($C210&lt;&gt;"",$R210&gt;0),COUNTIFS($C$6:$C210,"&lt;&gt;",$R$6:$R210,"&gt;0"),"")</f>
        <v/>
      </c>
      <c r="Z210" s="16" t="str">
        <f aca="false">IF(AND($H210&lt;&gt;"",N($N210)&gt;0),COUNTIFS($H$6:$H210,"&lt;&gt;",$N$6:$N210,"&gt;0"),"")</f>
        <v/>
      </c>
      <c r="AA210" s="16" t="str">
        <f aca="false">IF(AND($H210&lt;&gt;"",N($N210)=0),COUNTIFS($H$6:$H210,"&lt;&gt;",$N$6:$N210,"&lt;=0"),"")</f>
        <v/>
      </c>
      <c r="AB210" s="16" t="str">
        <f aca="false">IF($C210="","",IF(COUNTIF($C$6:$C210,$C210)&gt;1,"",MAX($AB$5:AB209)+1))</f>
        <v/>
      </c>
      <c r="AC210" s="16" t="str">
        <f aca="false">IF($H210="","",IF(COUNTIF($H$6:$H210,$H210)&gt;1,"",MAX($AC$5:AC209)+1))</f>
        <v/>
      </c>
    </row>
    <row r="211" customFormat="false" ht="15" hidden="false" customHeight="false" outlineLevel="0" collapsed="false">
      <c r="A211" s="16" t="str">
        <f aca="false">IF($C211="","",COUNTA($C$6:$C211))</f>
        <v/>
      </c>
      <c r="B211" s="17"/>
      <c r="C211" s="8"/>
      <c r="D211" s="8"/>
      <c r="E211" s="8"/>
      <c r="F211" s="8"/>
      <c r="G211" s="8"/>
      <c r="H211" s="8"/>
      <c r="I211" s="9"/>
      <c r="J211" s="10" t="str">
        <f aca="false">IF($H211="","",IFERROR(VLOOKUP($H211,'BẢNG GIÁ GỐC'!$A$5:$D$204,3,FALSE()),""))</f>
        <v/>
      </c>
      <c r="K211" s="9"/>
      <c r="L211" s="10" t="str">
        <f aca="false">IF($C211="","",N($I211)*N($K211))</f>
        <v/>
      </c>
      <c r="M211" s="8"/>
      <c r="N211" s="11" t="str">
        <f aca="false">IF($C211="","",IF($M211="VAT 5%",0.05,IF($M211="VAT 8%",0.08,IF($M211="VAT 10%",0.1,0))))</f>
        <v/>
      </c>
      <c r="O211" s="10" t="str">
        <f aca="false">IF($C211="","",$L211*$N211)</f>
        <v/>
      </c>
      <c r="P211" s="10" t="str">
        <f aca="false">IF($C211="","",$L211+$O211)</f>
        <v/>
      </c>
      <c r="Q211" s="9"/>
      <c r="R211" s="10" t="str">
        <f aca="false">IF($C211="","",MAX(0,$P211-N($Q211)))</f>
        <v/>
      </c>
      <c r="S211" s="19" t="str">
        <f aca="false">IF(OR($C211="",$P211=0),"",IF(N($Q211)&lt;=0,"Chưa thanh toán",IF(N($Q211)&lt;$P211,"Thanh toán một phần","Đã thanh toán")))</f>
        <v/>
      </c>
      <c r="T211" s="10" t="str">
        <f aca="false">IF(OR($C211="",$J211=""),"",N($I211)*$J211)</f>
        <v/>
      </c>
      <c r="U211" s="10" t="str">
        <f aca="false">IF(OR($C211="",$T211=""),"",$L211-$T211)</f>
        <v/>
      </c>
      <c r="V211" s="11" t="str">
        <f aca="false">IF(OR($U211="",$L211=0),"",$U211/$L211)</f>
        <v/>
      </c>
      <c r="W211" s="8"/>
      <c r="X211" s="19" t="str">
        <f aca="false">IF($C211="","",IF(AND($H211="",N($I211)=0,N($K211)=0),"Dòng chỉ lưu thông tin khách (chưa có đơn); ",IF($B211="","Thiếu ngày đặt; ","")&amp;IF($H211="","Thiếu tên sản phẩm; ",IF($J211="","Sản phẩm chưa có trong BẢNG GIÁ GỐC; ",""))&amp;IF(N($I211)&lt;=0,"Thiếu số lượng; ","")&amp;IF(N($K211)&lt;=0,"Thiếu giá bán; ","")&amp;IF(AND($N211&gt;0,$F211=""),"Khách lấy VAT thiếu mã số thuế; ","")&amp;IF(N($Q211)&gt;$P211,"Đã thu vượt tổng phải thu; ","")&amp;IF(AND($L211&gt;0,$U211&lt;0),"CẢNH BÁO: ĐƠN NÀY ĐANG LỖ; ","")))</f>
        <v/>
      </c>
      <c r="Y211" s="16" t="str">
        <f aca="false">IF(AND($C211&lt;&gt;"",$R211&gt;0),COUNTIFS($C$6:$C211,"&lt;&gt;",$R$6:$R211,"&gt;0"),"")</f>
        <v/>
      </c>
      <c r="Z211" s="16" t="str">
        <f aca="false">IF(AND($H211&lt;&gt;"",N($N211)&gt;0),COUNTIFS($H$6:$H211,"&lt;&gt;",$N$6:$N211,"&gt;0"),"")</f>
        <v/>
      </c>
      <c r="AA211" s="16" t="str">
        <f aca="false">IF(AND($H211&lt;&gt;"",N($N211)=0),COUNTIFS($H$6:$H211,"&lt;&gt;",$N$6:$N211,"&lt;=0"),"")</f>
        <v/>
      </c>
      <c r="AB211" s="16" t="str">
        <f aca="false">IF($C211="","",IF(COUNTIF($C$6:$C211,$C211)&gt;1,"",MAX($AB$5:AB210)+1))</f>
        <v/>
      </c>
      <c r="AC211" s="16" t="str">
        <f aca="false">IF($H211="","",IF(COUNTIF($H$6:$H211,$H211)&gt;1,"",MAX($AC$5:AC210)+1))</f>
        <v/>
      </c>
    </row>
    <row r="212" customFormat="false" ht="15" hidden="false" customHeight="false" outlineLevel="0" collapsed="false">
      <c r="A212" s="16" t="str">
        <f aca="false">IF($C212="","",COUNTA($C$6:$C212))</f>
        <v/>
      </c>
      <c r="B212" s="17"/>
      <c r="C212" s="8"/>
      <c r="D212" s="8"/>
      <c r="E212" s="8"/>
      <c r="F212" s="8"/>
      <c r="G212" s="8"/>
      <c r="H212" s="8"/>
      <c r="I212" s="9"/>
      <c r="J212" s="10" t="str">
        <f aca="false">IF($H212="","",IFERROR(VLOOKUP($H212,'BẢNG GIÁ GỐC'!$A$5:$D$204,3,FALSE()),""))</f>
        <v/>
      </c>
      <c r="K212" s="9"/>
      <c r="L212" s="10" t="str">
        <f aca="false">IF($C212="","",N($I212)*N($K212))</f>
        <v/>
      </c>
      <c r="M212" s="8"/>
      <c r="N212" s="11" t="str">
        <f aca="false">IF($C212="","",IF($M212="VAT 5%",0.05,IF($M212="VAT 8%",0.08,IF($M212="VAT 10%",0.1,0))))</f>
        <v/>
      </c>
      <c r="O212" s="10" t="str">
        <f aca="false">IF($C212="","",$L212*$N212)</f>
        <v/>
      </c>
      <c r="P212" s="10" t="str">
        <f aca="false">IF($C212="","",$L212+$O212)</f>
        <v/>
      </c>
      <c r="Q212" s="9"/>
      <c r="R212" s="10" t="str">
        <f aca="false">IF($C212="","",MAX(0,$P212-N($Q212)))</f>
        <v/>
      </c>
      <c r="S212" s="19" t="str">
        <f aca="false">IF(OR($C212="",$P212=0),"",IF(N($Q212)&lt;=0,"Chưa thanh toán",IF(N($Q212)&lt;$P212,"Thanh toán một phần","Đã thanh toán")))</f>
        <v/>
      </c>
      <c r="T212" s="10" t="str">
        <f aca="false">IF(OR($C212="",$J212=""),"",N($I212)*$J212)</f>
        <v/>
      </c>
      <c r="U212" s="10" t="str">
        <f aca="false">IF(OR($C212="",$T212=""),"",$L212-$T212)</f>
        <v/>
      </c>
      <c r="V212" s="11" t="str">
        <f aca="false">IF(OR($U212="",$L212=0),"",$U212/$L212)</f>
        <v/>
      </c>
      <c r="W212" s="8"/>
      <c r="X212" s="19" t="str">
        <f aca="false">IF($C212="","",IF(AND($H212="",N($I212)=0,N($K212)=0),"Dòng chỉ lưu thông tin khách (chưa có đơn); ",IF($B212="","Thiếu ngày đặt; ","")&amp;IF($H212="","Thiếu tên sản phẩm; ",IF($J212="","Sản phẩm chưa có trong BẢNG GIÁ GỐC; ",""))&amp;IF(N($I212)&lt;=0,"Thiếu số lượng; ","")&amp;IF(N($K212)&lt;=0,"Thiếu giá bán; ","")&amp;IF(AND($N212&gt;0,$F212=""),"Khách lấy VAT thiếu mã số thuế; ","")&amp;IF(N($Q212)&gt;$P212,"Đã thu vượt tổng phải thu; ","")&amp;IF(AND($L212&gt;0,$U212&lt;0),"CẢNH BÁO: ĐƠN NÀY ĐANG LỖ; ","")))</f>
        <v/>
      </c>
      <c r="Y212" s="16" t="str">
        <f aca="false">IF(AND($C212&lt;&gt;"",$R212&gt;0),COUNTIFS($C$6:$C212,"&lt;&gt;",$R$6:$R212,"&gt;0"),"")</f>
        <v/>
      </c>
      <c r="Z212" s="16" t="str">
        <f aca="false">IF(AND($H212&lt;&gt;"",N($N212)&gt;0),COUNTIFS($H$6:$H212,"&lt;&gt;",$N$6:$N212,"&gt;0"),"")</f>
        <v/>
      </c>
      <c r="AA212" s="16" t="str">
        <f aca="false">IF(AND($H212&lt;&gt;"",N($N212)=0),COUNTIFS($H$6:$H212,"&lt;&gt;",$N$6:$N212,"&lt;=0"),"")</f>
        <v/>
      </c>
      <c r="AB212" s="16" t="str">
        <f aca="false">IF($C212="","",IF(COUNTIF($C$6:$C212,$C212)&gt;1,"",MAX($AB$5:AB211)+1))</f>
        <v/>
      </c>
      <c r="AC212" s="16" t="str">
        <f aca="false">IF($H212="","",IF(COUNTIF($H$6:$H212,$H212)&gt;1,"",MAX($AC$5:AC211)+1))</f>
        <v/>
      </c>
    </row>
    <row r="213" customFormat="false" ht="15" hidden="false" customHeight="false" outlineLevel="0" collapsed="false">
      <c r="A213" s="16" t="str">
        <f aca="false">IF($C213="","",COUNTA($C$6:$C213))</f>
        <v/>
      </c>
      <c r="B213" s="17"/>
      <c r="C213" s="8"/>
      <c r="D213" s="8"/>
      <c r="E213" s="8"/>
      <c r="F213" s="8"/>
      <c r="G213" s="8"/>
      <c r="H213" s="8"/>
      <c r="I213" s="9"/>
      <c r="J213" s="10" t="str">
        <f aca="false">IF($H213="","",IFERROR(VLOOKUP($H213,'BẢNG GIÁ GỐC'!$A$5:$D$204,3,FALSE()),""))</f>
        <v/>
      </c>
      <c r="K213" s="9"/>
      <c r="L213" s="10" t="str">
        <f aca="false">IF($C213="","",N($I213)*N($K213))</f>
        <v/>
      </c>
      <c r="M213" s="8"/>
      <c r="N213" s="11" t="str">
        <f aca="false">IF($C213="","",IF($M213="VAT 5%",0.05,IF($M213="VAT 8%",0.08,IF($M213="VAT 10%",0.1,0))))</f>
        <v/>
      </c>
      <c r="O213" s="10" t="str">
        <f aca="false">IF($C213="","",$L213*$N213)</f>
        <v/>
      </c>
      <c r="P213" s="10" t="str">
        <f aca="false">IF($C213="","",$L213+$O213)</f>
        <v/>
      </c>
      <c r="Q213" s="9"/>
      <c r="R213" s="10" t="str">
        <f aca="false">IF($C213="","",MAX(0,$P213-N($Q213)))</f>
        <v/>
      </c>
      <c r="S213" s="19" t="str">
        <f aca="false">IF(OR($C213="",$P213=0),"",IF(N($Q213)&lt;=0,"Chưa thanh toán",IF(N($Q213)&lt;$P213,"Thanh toán một phần","Đã thanh toán")))</f>
        <v/>
      </c>
      <c r="T213" s="10" t="str">
        <f aca="false">IF(OR($C213="",$J213=""),"",N($I213)*$J213)</f>
        <v/>
      </c>
      <c r="U213" s="10" t="str">
        <f aca="false">IF(OR($C213="",$T213=""),"",$L213-$T213)</f>
        <v/>
      </c>
      <c r="V213" s="11" t="str">
        <f aca="false">IF(OR($U213="",$L213=0),"",$U213/$L213)</f>
        <v/>
      </c>
      <c r="W213" s="8"/>
      <c r="X213" s="19" t="str">
        <f aca="false">IF($C213="","",IF(AND($H213="",N($I213)=0,N($K213)=0),"Dòng chỉ lưu thông tin khách (chưa có đơn); ",IF($B213="","Thiếu ngày đặt; ","")&amp;IF($H213="","Thiếu tên sản phẩm; ",IF($J213="","Sản phẩm chưa có trong BẢNG GIÁ GỐC; ",""))&amp;IF(N($I213)&lt;=0,"Thiếu số lượng; ","")&amp;IF(N($K213)&lt;=0,"Thiếu giá bán; ","")&amp;IF(AND($N213&gt;0,$F213=""),"Khách lấy VAT thiếu mã số thuế; ","")&amp;IF(N($Q213)&gt;$P213,"Đã thu vượt tổng phải thu; ","")&amp;IF(AND($L213&gt;0,$U213&lt;0),"CẢNH BÁO: ĐƠN NÀY ĐANG LỖ; ","")))</f>
        <v/>
      </c>
      <c r="Y213" s="16" t="str">
        <f aca="false">IF(AND($C213&lt;&gt;"",$R213&gt;0),COUNTIFS($C$6:$C213,"&lt;&gt;",$R$6:$R213,"&gt;0"),"")</f>
        <v/>
      </c>
      <c r="Z213" s="16" t="str">
        <f aca="false">IF(AND($H213&lt;&gt;"",N($N213)&gt;0),COUNTIFS($H$6:$H213,"&lt;&gt;",$N$6:$N213,"&gt;0"),"")</f>
        <v/>
      </c>
      <c r="AA213" s="16" t="str">
        <f aca="false">IF(AND($H213&lt;&gt;"",N($N213)=0),COUNTIFS($H$6:$H213,"&lt;&gt;",$N$6:$N213,"&lt;=0"),"")</f>
        <v/>
      </c>
      <c r="AB213" s="16" t="str">
        <f aca="false">IF($C213="","",IF(COUNTIF($C$6:$C213,$C213)&gt;1,"",MAX($AB$5:AB212)+1))</f>
        <v/>
      </c>
      <c r="AC213" s="16" t="str">
        <f aca="false">IF($H213="","",IF(COUNTIF($H$6:$H213,$H213)&gt;1,"",MAX($AC$5:AC212)+1))</f>
        <v/>
      </c>
    </row>
    <row r="214" customFormat="false" ht="15" hidden="false" customHeight="false" outlineLevel="0" collapsed="false">
      <c r="A214" s="16" t="str">
        <f aca="false">IF($C214="","",COUNTA($C$6:$C214))</f>
        <v/>
      </c>
      <c r="B214" s="17"/>
      <c r="C214" s="8"/>
      <c r="D214" s="8"/>
      <c r="E214" s="8"/>
      <c r="F214" s="8"/>
      <c r="G214" s="8"/>
      <c r="H214" s="8"/>
      <c r="I214" s="9"/>
      <c r="J214" s="10" t="str">
        <f aca="false">IF($H214="","",IFERROR(VLOOKUP($H214,'BẢNG GIÁ GỐC'!$A$5:$D$204,3,FALSE()),""))</f>
        <v/>
      </c>
      <c r="K214" s="9"/>
      <c r="L214" s="10" t="str">
        <f aca="false">IF($C214="","",N($I214)*N($K214))</f>
        <v/>
      </c>
      <c r="M214" s="8"/>
      <c r="N214" s="11" t="str">
        <f aca="false">IF($C214="","",IF($M214="VAT 5%",0.05,IF($M214="VAT 8%",0.08,IF($M214="VAT 10%",0.1,0))))</f>
        <v/>
      </c>
      <c r="O214" s="10" t="str">
        <f aca="false">IF($C214="","",$L214*$N214)</f>
        <v/>
      </c>
      <c r="P214" s="10" t="str">
        <f aca="false">IF($C214="","",$L214+$O214)</f>
        <v/>
      </c>
      <c r="Q214" s="9"/>
      <c r="R214" s="10" t="str">
        <f aca="false">IF($C214="","",MAX(0,$P214-N($Q214)))</f>
        <v/>
      </c>
      <c r="S214" s="19" t="str">
        <f aca="false">IF(OR($C214="",$P214=0),"",IF(N($Q214)&lt;=0,"Chưa thanh toán",IF(N($Q214)&lt;$P214,"Thanh toán một phần","Đã thanh toán")))</f>
        <v/>
      </c>
      <c r="T214" s="10" t="str">
        <f aca="false">IF(OR($C214="",$J214=""),"",N($I214)*$J214)</f>
        <v/>
      </c>
      <c r="U214" s="10" t="str">
        <f aca="false">IF(OR($C214="",$T214=""),"",$L214-$T214)</f>
        <v/>
      </c>
      <c r="V214" s="11" t="str">
        <f aca="false">IF(OR($U214="",$L214=0),"",$U214/$L214)</f>
        <v/>
      </c>
      <c r="W214" s="8"/>
      <c r="X214" s="19" t="str">
        <f aca="false">IF($C214="","",IF(AND($H214="",N($I214)=0,N($K214)=0),"Dòng chỉ lưu thông tin khách (chưa có đơn); ",IF($B214="","Thiếu ngày đặt; ","")&amp;IF($H214="","Thiếu tên sản phẩm; ",IF($J214="","Sản phẩm chưa có trong BẢNG GIÁ GỐC; ",""))&amp;IF(N($I214)&lt;=0,"Thiếu số lượng; ","")&amp;IF(N($K214)&lt;=0,"Thiếu giá bán; ","")&amp;IF(AND($N214&gt;0,$F214=""),"Khách lấy VAT thiếu mã số thuế; ","")&amp;IF(N($Q214)&gt;$P214,"Đã thu vượt tổng phải thu; ","")&amp;IF(AND($L214&gt;0,$U214&lt;0),"CẢNH BÁO: ĐƠN NÀY ĐANG LỖ; ","")))</f>
        <v/>
      </c>
      <c r="Y214" s="16" t="str">
        <f aca="false">IF(AND($C214&lt;&gt;"",$R214&gt;0),COUNTIFS($C$6:$C214,"&lt;&gt;",$R$6:$R214,"&gt;0"),"")</f>
        <v/>
      </c>
      <c r="Z214" s="16" t="str">
        <f aca="false">IF(AND($H214&lt;&gt;"",N($N214)&gt;0),COUNTIFS($H$6:$H214,"&lt;&gt;",$N$6:$N214,"&gt;0"),"")</f>
        <v/>
      </c>
      <c r="AA214" s="16" t="str">
        <f aca="false">IF(AND($H214&lt;&gt;"",N($N214)=0),COUNTIFS($H$6:$H214,"&lt;&gt;",$N$6:$N214,"&lt;=0"),"")</f>
        <v/>
      </c>
      <c r="AB214" s="16" t="str">
        <f aca="false">IF($C214="","",IF(COUNTIF($C$6:$C214,$C214)&gt;1,"",MAX($AB$5:AB213)+1))</f>
        <v/>
      </c>
      <c r="AC214" s="16" t="str">
        <f aca="false">IF($H214="","",IF(COUNTIF($H$6:$H214,$H214)&gt;1,"",MAX($AC$5:AC213)+1))</f>
        <v/>
      </c>
    </row>
    <row r="215" customFormat="false" ht="15" hidden="false" customHeight="false" outlineLevel="0" collapsed="false">
      <c r="A215" s="16" t="str">
        <f aca="false">IF($C215="","",COUNTA($C$6:$C215))</f>
        <v/>
      </c>
      <c r="B215" s="17"/>
      <c r="C215" s="8"/>
      <c r="D215" s="8"/>
      <c r="E215" s="8"/>
      <c r="F215" s="8"/>
      <c r="G215" s="8"/>
      <c r="H215" s="8"/>
      <c r="I215" s="9"/>
      <c r="J215" s="10" t="str">
        <f aca="false">IF($H215="","",IFERROR(VLOOKUP($H215,'BẢNG GIÁ GỐC'!$A$5:$D$204,3,FALSE()),""))</f>
        <v/>
      </c>
      <c r="K215" s="9"/>
      <c r="L215" s="10" t="str">
        <f aca="false">IF($C215="","",N($I215)*N($K215))</f>
        <v/>
      </c>
      <c r="M215" s="8"/>
      <c r="N215" s="11" t="str">
        <f aca="false">IF($C215="","",IF($M215="VAT 5%",0.05,IF($M215="VAT 8%",0.08,IF($M215="VAT 10%",0.1,0))))</f>
        <v/>
      </c>
      <c r="O215" s="10" t="str">
        <f aca="false">IF($C215="","",$L215*$N215)</f>
        <v/>
      </c>
      <c r="P215" s="10" t="str">
        <f aca="false">IF($C215="","",$L215+$O215)</f>
        <v/>
      </c>
      <c r="Q215" s="9"/>
      <c r="R215" s="10" t="str">
        <f aca="false">IF($C215="","",MAX(0,$P215-N($Q215)))</f>
        <v/>
      </c>
      <c r="S215" s="19" t="str">
        <f aca="false">IF(OR($C215="",$P215=0),"",IF(N($Q215)&lt;=0,"Chưa thanh toán",IF(N($Q215)&lt;$P215,"Thanh toán một phần","Đã thanh toán")))</f>
        <v/>
      </c>
      <c r="T215" s="10" t="str">
        <f aca="false">IF(OR($C215="",$J215=""),"",N($I215)*$J215)</f>
        <v/>
      </c>
      <c r="U215" s="10" t="str">
        <f aca="false">IF(OR($C215="",$T215=""),"",$L215-$T215)</f>
        <v/>
      </c>
      <c r="V215" s="11" t="str">
        <f aca="false">IF(OR($U215="",$L215=0),"",$U215/$L215)</f>
        <v/>
      </c>
      <c r="W215" s="8"/>
      <c r="X215" s="19" t="str">
        <f aca="false">IF($C215="","",IF(AND($H215="",N($I215)=0,N($K215)=0),"Dòng chỉ lưu thông tin khách (chưa có đơn); ",IF($B215="","Thiếu ngày đặt; ","")&amp;IF($H215="","Thiếu tên sản phẩm; ",IF($J215="","Sản phẩm chưa có trong BẢNG GIÁ GỐC; ",""))&amp;IF(N($I215)&lt;=0,"Thiếu số lượng; ","")&amp;IF(N($K215)&lt;=0,"Thiếu giá bán; ","")&amp;IF(AND($N215&gt;0,$F215=""),"Khách lấy VAT thiếu mã số thuế; ","")&amp;IF(N($Q215)&gt;$P215,"Đã thu vượt tổng phải thu; ","")&amp;IF(AND($L215&gt;0,$U215&lt;0),"CẢNH BÁO: ĐƠN NÀY ĐANG LỖ; ","")))</f>
        <v/>
      </c>
      <c r="Y215" s="16" t="str">
        <f aca="false">IF(AND($C215&lt;&gt;"",$R215&gt;0),COUNTIFS($C$6:$C215,"&lt;&gt;",$R$6:$R215,"&gt;0"),"")</f>
        <v/>
      </c>
      <c r="Z215" s="16" t="str">
        <f aca="false">IF(AND($H215&lt;&gt;"",N($N215)&gt;0),COUNTIFS($H$6:$H215,"&lt;&gt;",$N$6:$N215,"&gt;0"),"")</f>
        <v/>
      </c>
      <c r="AA215" s="16" t="str">
        <f aca="false">IF(AND($H215&lt;&gt;"",N($N215)=0),COUNTIFS($H$6:$H215,"&lt;&gt;",$N$6:$N215,"&lt;=0"),"")</f>
        <v/>
      </c>
      <c r="AB215" s="16" t="str">
        <f aca="false">IF($C215="","",IF(COUNTIF($C$6:$C215,$C215)&gt;1,"",MAX($AB$5:AB214)+1))</f>
        <v/>
      </c>
      <c r="AC215" s="16" t="str">
        <f aca="false">IF($H215="","",IF(COUNTIF($H$6:$H215,$H215)&gt;1,"",MAX($AC$5:AC214)+1))</f>
        <v/>
      </c>
    </row>
    <row r="216" customFormat="false" ht="15" hidden="false" customHeight="false" outlineLevel="0" collapsed="false">
      <c r="A216" s="16" t="str">
        <f aca="false">IF($C216="","",COUNTA($C$6:$C216))</f>
        <v/>
      </c>
      <c r="B216" s="17"/>
      <c r="C216" s="8"/>
      <c r="D216" s="8"/>
      <c r="E216" s="8"/>
      <c r="F216" s="8"/>
      <c r="G216" s="8"/>
      <c r="H216" s="8"/>
      <c r="I216" s="9"/>
      <c r="J216" s="10" t="str">
        <f aca="false">IF($H216="","",IFERROR(VLOOKUP($H216,'BẢNG GIÁ GỐC'!$A$5:$D$204,3,FALSE()),""))</f>
        <v/>
      </c>
      <c r="K216" s="9"/>
      <c r="L216" s="10" t="str">
        <f aca="false">IF($C216="","",N($I216)*N($K216))</f>
        <v/>
      </c>
      <c r="M216" s="8"/>
      <c r="N216" s="11" t="str">
        <f aca="false">IF($C216="","",IF($M216="VAT 5%",0.05,IF($M216="VAT 8%",0.08,IF($M216="VAT 10%",0.1,0))))</f>
        <v/>
      </c>
      <c r="O216" s="10" t="str">
        <f aca="false">IF($C216="","",$L216*$N216)</f>
        <v/>
      </c>
      <c r="P216" s="10" t="str">
        <f aca="false">IF($C216="","",$L216+$O216)</f>
        <v/>
      </c>
      <c r="Q216" s="9"/>
      <c r="R216" s="10" t="str">
        <f aca="false">IF($C216="","",MAX(0,$P216-N($Q216)))</f>
        <v/>
      </c>
      <c r="S216" s="19" t="str">
        <f aca="false">IF(OR($C216="",$P216=0),"",IF(N($Q216)&lt;=0,"Chưa thanh toán",IF(N($Q216)&lt;$P216,"Thanh toán một phần","Đã thanh toán")))</f>
        <v/>
      </c>
      <c r="T216" s="10" t="str">
        <f aca="false">IF(OR($C216="",$J216=""),"",N($I216)*$J216)</f>
        <v/>
      </c>
      <c r="U216" s="10" t="str">
        <f aca="false">IF(OR($C216="",$T216=""),"",$L216-$T216)</f>
        <v/>
      </c>
      <c r="V216" s="11" t="str">
        <f aca="false">IF(OR($U216="",$L216=0),"",$U216/$L216)</f>
        <v/>
      </c>
      <c r="W216" s="8"/>
      <c r="X216" s="19" t="str">
        <f aca="false">IF($C216="","",IF(AND($H216="",N($I216)=0,N($K216)=0),"Dòng chỉ lưu thông tin khách (chưa có đơn); ",IF($B216="","Thiếu ngày đặt; ","")&amp;IF($H216="","Thiếu tên sản phẩm; ",IF($J216="","Sản phẩm chưa có trong BẢNG GIÁ GỐC; ",""))&amp;IF(N($I216)&lt;=0,"Thiếu số lượng; ","")&amp;IF(N($K216)&lt;=0,"Thiếu giá bán; ","")&amp;IF(AND($N216&gt;0,$F216=""),"Khách lấy VAT thiếu mã số thuế; ","")&amp;IF(N($Q216)&gt;$P216,"Đã thu vượt tổng phải thu; ","")&amp;IF(AND($L216&gt;0,$U216&lt;0),"CẢNH BÁO: ĐƠN NÀY ĐANG LỖ; ","")))</f>
        <v/>
      </c>
      <c r="Y216" s="16" t="str">
        <f aca="false">IF(AND($C216&lt;&gt;"",$R216&gt;0),COUNTIFS($C$6:$C216,"&lt;&gt;",$R$6:$R216,"&gt;0"),"")</f>
        <v/>
      </c>
      <c r="Z216" s="16" t="str">
        <f aca="false">IF(AND($H216&lt;&gt;"",N($N216)&gt;0),COUNTIFS($H$6:$H216,"&lt;&gt;",$N$6:$N216,"&gt;0"),"")</f>
        <v/>
      </c>
      <c r="AA216" s="16" t="str">
        <f aca="false">IF(AND($H216&lt;&gt;"",N($N216)=0),COUNTIFS($H$6:$H216,"&lt;&gt;",$N$6:$N216,"&lt;=0"),"")</f>
        <v/>
      </c>
      <c r="AB216" s="16" t="str">
        <f aca="false">IF($C216="","",IF(COUNTIF($C$6:$C216,$C216)&gt;1,"",MAX($AB$5:AB215)+1))</f>
        <v/>
      </c>
      <c r="AC216" s="16" t="str">
        <f aca="false">IF($H216="","",IF(COUNTIF($H$6:$H216,$H216)&gt;1,"",MAX($AC$5:AC215)+1))</f>
        <v/>
      </c>
    </row>
    <row r="217" customFormat="false" ht="15" hidden="false" customHeight="false" outlineLevel="0" collapsed="false">
      <c r="A217" s="16" t="str">
        <f aca="false">IF($C217="","",COUNTA($C$6:$C217))</f>
        <v/>
      </c>
      <c r="B217" s="17"/>
      <c r="C217" s="8"/>
      <c r="D217" s="8"/>
      <c r="E217" s="8"/>
      <c r="F217" s="8"/>
      <c r="G217" s="8"/>
      <c r="H217" s="8"/>
      <c r="I217" s="9"/>
      <c r="J217" s="10" t="str">
        <f aca="false">IF($H217="","",IFERROR(VLOOKUP($H217,'BẢNG GIÁ GỐC'!$A$5:$D$204,3,FALSE()),""))</f>
        <v/>
      </c>
      <c r="K217" s="9"/>
      <c r="L217" s="10" t="str">
        <f aca="false">IF($C217="","",N($I217)*N($K217))</f>
        <v/>
      </c>
      <c r="M217" s="8"/>
      <c r="N217" s="11" t="str">
        <f aca="false">IF($C217="","",IF($M217="VAT 5%",0.05,IF($M217="VAT 8%",0.08,IF($M217="VAT 10%",0.1,0))))</f>
        <v/>
      </c>
      <c r="O217" s="10" t="str">
        <f aca="false">IF($C217="","",$L217*$N217)</f>
        <v/>
      </c>
      <c r="P217" s="10" t="str">
        <f aca="false">IF($C217="","",$L217+$O217)</f>
        <v/>
      </c>
      <c r="Q217" s="9"/>
      <c r="R217" s="10" t="str">
        <f aca="false">IF($C217="","",MAX(0,$P217-N($Q217)))</f>
        <v/>
      </c>
      <c r="S217" s="19" t="str">
        <f aca="false">IF(OR($C217="",$P217=0),"",IF(N($Q217)&lt;=0,"Chưa thanh toán",IF(N($Q217)&lt;$P217,"Thanh toán một phần","Đã thanh toán")))</f>
        <v/>
      </c>
      <c r="T217" s="10" t="str">
        <f aca="false">IF(OR($C217="",$J217=""),"",N($I217)*$J217)</f>
        <v/>
      </c>
      <c r="U217" s="10" t="str">
        <f aca="false">IF(OR($C217="",$T217=""),"",$L217-$T217)</f>
        <v/>
      </c>
      <c r="V217" s="11" t="str">
        <f aca="false">IF(OR($U217="",$L217=0),"",$U217/$L217)</f>
        <v/>
      </c>
      <c r="W217" s="8"/>
      <c r="X217" s="19" t="str">
        <f aca="false">IF($C217="","",IF(AND($H217="",N($I217)=0,N($K217)=0),"Dòng chỉ lưu thông tin khách (chưa có đơn); ",IF($B217="","Thiếu ngày đặt; ","")&amp;IF($H217="","Thiếu tên sản phẩm; ",IF($J217="","Sản phẩm chưa có trong BẢNG GIÁ GỐC; ",""))&amp;IF(N($I217)&lt;=0,"Thiếu số lượng; ","")&amp;IF(N($K217)&lt;=0,"Thiếu giá bán; ","")&amp;IF(AND($N217&gt;0,$F217=""),"Khách lấy VAT thiếu mã số thuế; ","")&amp;IF(N($Q217)&gt;$P217,"Đã thu vượt tổng phải thu; ","")&amp;IF(AND($L217&gt;0,$U217&lt;0),"CẢNH BÁO: ĐƠN NÀY ĐANG LỖ; ","")))</f>
        <v/>
      </c>
      <c r="Y217" s="16" t="str">
        <f aca="false">IF(AND($C217&lt;&gt;"",$R217&gt;0),COUNTIFS($C$6:$C217,"&lt;&gt;",$R$6:$R217,"&gt;0"),"")</f>
        <v/>
      </c>
      <c r="Z217" s="16" t="str">
        <f aca="false">IF(AND($H217&lt;&gt;"",N($N217)&gt;0),COUNTIFS($H$6:$H217,"&lt;&gt;",$N$6:$N217,"&gt;0"),"")</f>
        <v/>
      </c>
      <c r="AA217" s="16" t="str">
        <f aca="false">IF(AND($H217&lt;&gt;"",N($N217)=0),COUNTIFS($H$6:$H217,"&lt;&gt;",$N$6:$N217,"&lt;=0"),"")</f>
        <v/>
      </c>
      <c r="AB217" s="16" t="str">
        <f aca="false">IF($C217="","",IF(COUNTIF($C$6:$C217,$C217)&gt;1,"",MAX($AB$5:AB216)+1))</f>
        <v/>
      </c>
      <c r="AC217" s="16" t="str">
        <f aca="false">IF($H217="","",IF(COUNTIF($H$6:$H217,$H217)&gt;1,"",MAX($AC$5:AC216)+1))</f>
        <v/>
      </c>
    </row>
    <row r="218" customFormat="false" ht="15" hidden="false" customHeight="false" outlineLevel="0" collapsed="false">
      <c r="A218" s="16" t="str">
        <f aca="false">IF($C218="","",COUNTA($C$6:$C218))</f>
        <v/>
      </c>
      <c r="B218" s="17"/>
      <c r="C218" s="8"/>
      <c r="D218" s="8"/>
      <c r="E218" s="8"/>
      <c r="F218" s="8"/>
      <c r="G218" s="8"/>
      <c r="H218" s="8"/>
      <c r="I218" s="9"/>
      <c r="J218" s="10" t="str">
        <f aca="false">IF($H218="","",IFERROR(VLOOKUP($H218,'BẢNG GIÁ GỐC'!$A$5:$D$204,3,FALSE()),""))</f>
        <v/>
      </c>
      <c r="K218" s="9"/>
      <c r="L218" s="10" t="str">
        <f aca="false">IF($C218="","",N($I218)*N($K218))</f>
        <v/>
      </c>
      <c r="M218" s="8"/>
      <c r="N218" s="11" t="str">
        <f aca="false">IF($C218="","",IF($M218="VAT 5%",0.05,IF($M218="VAT 8%",0.08,IF($M218="VAT 10%",0.1,0))))</f>
        <v/>
      </c>
      <c r="O218" s="10" t="str">
        <f aca="false">IF($C218="","",$L218*$N218)</f>
        <v/>
      </c>
      <c r="P218" s="10" t="str">
        <f aca="false">IF($C218="","",$L218+$O218)</f>
        <v/>
      </c>
      <c r="Q218" s="9"/>
      <c r="R218" s="10" t="str">
        <f aca="false">IF($C218="","",MAX(0,$P218-N($Q218)))</f>
        <v/>
      </c>
      <c r="S218" s="19" t="str">
        <f aca="false">IF(OR($C218="",$P218=0),"",IF(N($Q218)&lt;=0,"Chưa thanh toán",IF(N($Q218)&lt;$P218,"Thanh toán một phần","Đã thanh toán")))</f>
        <v/>
      </c>
      <c r="T218" s="10" t="str">
        <f aca="false">IF(OR($C218="",$J218=""),"",N($I218)*$J218)</f>
        <v/>
      </c>
      <c r="U218" s="10" t="str">
        <f aca="false">IF(OR($C218="",$T218=""),"",$L218-$T218)</f>
        <v/>
      </c>
      <c r="V218" s="11" t="str">
        <f aca="false">IF(OR($U218="",$L218=0),"",$U218/$L218)</f>
        <v/>
      </c>
      <c r="W218" s="8"/>
      <c r="X218" s="19" t="str">
        <f aca="false">IF($C218="","",IF(AND($H218="",N($I218)=0,N($K218)=0),"Dòng chỉ lưu thông tin khách (chưa có đơn); ",IF($B218="","Thiếu ngày đặt; ","")&amp;IF($H218="","Thiếu tên sản phẩm; ",IF($J218="","Sản phẩm chưa có trong BẢNG GIÁ GỐC; ",""))&amp;IF(N($I218)&lt;=0,"Thiếu số lượng; ","")&amp;IF(N($K218)&lt;=0,"Thiếu giá bán; ","")&amp;IF(AND($N218&gt;0,$F218=""),"Khách lấy VAT thiếu mã số thuế; ","")&amp;IF(N($Q218)&gt;$P218,"Đã thu vượt tổng phải thu; ","")&amp;IF(AND($L218&gt;0,$U218&lt;0),"CẢNH BÁO: ĐƠN NÀY ĐANG LỖ; ","")))</f>
        <v/>
      </c>
      <c r="Y218" s="16" t="str">
        <f aca="false">IF(AND($C218&lt;&gt;"",$R218&gt;0),COUNTIFS($C$6:$C218,"&lt;&gt;",$R$6:$R218,"&gt;0"),"")</f>
        <v/>
      </c>
      <c r="Z218" s="16" t="str">
        <f aca="false">IF(AND($H218&lt;&gt;"",N($N218)&gt;0),COUNTIFS($H$6:$H218,"&lt;&gt;",$N$6:$N218,"&gt;0"),"")</f>
        <v/>
      </c>
      <c r="AA218" s="16" t="str">
        <f aca="false">IF(AND($H218&lt;&gt;"",N($N218)=0),COUNTIFS($H$6:$H218,"&lt;&gt;",$N$6:$N218,"&lt;=0"),"")</f>
        <v/>
      </c>
      <c r="AB218" s="16" t="str">
        <f aca="false">IF($C218="","",IF(COUNTIF($C$6:$C218,$C218)&gt;1,"",MAX($AB$5:AB217)+1))</f>
        <v/>
      </c>
      <c r="AC218" s="16" t="str">
        <f aca="false">IF($H218="","",IF(COUNTIF($H$6:$H218,$H218)&gt;1,"",MAX($AC$5:AC217)+1))</f>
        <v/>
      </c>
    </row>
    <row r="219" customFormat="false" ht="15" hidden="false" customHeight="false" outlineLevel="0" collapsed="false">
      <c r="A219" s="16" t="str">
        <f aca="false">IF($C219="","",COUNTA($C$6:$C219))</f>
        <v/>
      </c>
      <c r="B219" s="17"/>
      <c r="C219" s="8"/>
      <c r="D219" s="8"/>
      <c r="E219" s="8"/>
      <c r="F219" s="8"/>
      <c r="G219" s="8"/>
      <c r="H219" s="8"/>
      <c r="I219" s="9"/>
      <c r="J219" s="10" t="str">
        <f aca="false">IF($H219="","",IFERROR(VLOOKUP($H219,'BẢNG GIÁ GỐC'!$A$5:$D$204,3,FALSE()),""))</f>
        <v/>
      </c>
      <c r="K219" s="9"/>
      <c r="L219" s="10" t="str">
        <f aca="false">IF($C219="","",N($I219)*N($K219))</f>
        <v/>
      </c>
      <c r="M219" s="8"/>
      <c r="N219" s="11" t="str">
        <f aca="false">IF($C219="","",IF($M219="VAT 5%",0.05,IF($M219="VAT 8%",0.08,IF($M219="VAT 10%",0.1,0))))</f>
        <v/>
      </c>
      <c r="O219" s="10" t="str">
        <f aca="false">IF($C219="","",$L219*$N219)</f>
        <v/>
      </c>
      <c r="P219" s="10" t="str">
        <f aca="false">IF($C219="","",$L219+$O219)</f>
        <v/>
      </c>
      <c r="Q219" s="9"/>
      <c r="R219" s="10" t="str">
        <f aca="false">IF($C219="","",MAX(0,$P219-N($Q219)))</f>
        <v/>
      </c>
      <c r="S219" s="19" t="str">
        <f aca="false">IF(OR($C219="",$P219=0),"",IF(N($Q219)&lt;=0,"Chưa thanh toán",IF(N($Q219)&lt;$P219,"Thanh toán một phần","Đã thanh toán")))</f>
        <v/>
      </c>
      <c r="T219" s="10" t="str">
        <f aca="false">IF(OR($C219="",$J219=""),"",N($I219)*$J219)</f>
        <v/>
      </c>
      <c r="U219" s="10" t="str">
        <f aca="false">IF(OR($C219="",$T219=""),"",$L219-$T219)</f>
        <v/>
      </c>
      <c r="V219" s="11" t="str">
        <f aca="false">IF(OR($U219="",$L219=0),"",$U219/$L219)</f>
        <v/>
      </c>
      <c r="W219" s="8"/>
      <c r="X219" s="19" t="str">
        <f aca="false">IF($C219="","",IF(AND($H219="",N($I219)=0,N($K219)=0),"Dòng chỉ lưu thông tin khách (chưa có đơn); ",IF($B219="","Thiếu ngày đặt; ","")&amp;IF($H219="","Thiếu tên sản phẩm; ",IF($J219="","Sản phẩm chưa có trong BẢNG GIÁ GỐC; ",""))&amp;IF(N($I219)&lt;=0,"Thiếu số lượng; ","")&amp;IF(N($K219)&lt;=0,"Thiếu giá bán; ","")&amp;IF(AND($N219&gt;0,$F219=""),"Khách lấy VAT thiếu mã số thuế; ","")&amp;IF(N($Q219)&gt;$P219,"Đã thu vượt tổng phải thu; ","")&amp;IF(AND($L219&gt;0,$U219&lt;0),"CẢNH BÁO: ĐƠN NÀY ĐANG LỖ; ","")))</f>
        <v/>
      </c>
      <c r="Y219" s="16" t="str">
        <f aca="false">IF(AND($C219&lt;&gt;"",$R219&gt;0),COUNTIFS($C$6:$C219,"&lt;&gt;",$R$6:$R219,"&gt;0"),"")</f>
        <v/>
      </c>
      <c r="Z219" s="16" t="str">
        <f aca="false">IF(AND($H219&lt;&gt;"",N($N219)&gt;0),COUNTIFS($H$6:$H219,"&lt;&gt;",$N$6:$N219,"&gt;0"),"")</f>
        <v/>
      </c>
      <c r="AA219" s="16" t="str">
        <f aca="false">IF(AND($H219&lt;&gt;"",N($N219)=0),COUNTIFS($H$6:$H219,"&lt;&gt;",$N$6:$N219,"&lt;=0"),"")</f>
        <v/>
      </c>
      <c r="AB219" s="16" t="str">
        <f aca="false">IF($C219="","",IF(COUNTIF($C$6:$C219,$C219)&gt;1,"",MAX($AB$5:AB218)+1))</f>
        <v/>
      </c>
      <c r="AC219" s="16" t="str">
        <f aca="false">IF($H219="","",IF(COUNTIF($H$6:$H219,$H219)&gt;1,"",MAX($AC$5:AC218)+1))</f>
        <v/>
      </c>
    </row>
    <row r="220" customFormat="false" ht="15" hidden="false" customHeight="false" outlineLevel="0" collapsed="false">
      <c r="A220" s="16" t="str">
        <f aca="false">IF($C220="","",COUNTA($C$6:$C220))</f>
        <v/>
      </c>
      <c r="B220" s="17"/>
      <c r="C220" s="8"/>
      <c r="D220" s="8"/>
      <c r="E220" s="8"/>
      <c r="F220" s="8"/>
      <c r="G220" s="8"/>
      <c r="H220" s="8"/>
      <c r="I220" s="9"/>
      <c r="J220" s="10" t="str">
        <f aca="false">IF($H220="","",IFERROR(VLOOKUP($H220,'BẢNG GIÁ GỐC'!$A$5:$D$204,3,FALSE()),""))</f>
        <v/>
      </c>
      <c r="K220" s="9"/>
      <c r="L220" s="10" t="str">
        <f aca="false">IF($C220="","",N($I220)*N($K220))</f>
        <v/>
      </c>
      <c r="M220" s="8"/>
      <c r="N220" s="11" t="str">
        <f aca="false">IF($C220="","",IF($M220="VAT 5%",0.05,IF($M220="VAT 8%",0.08,IF($M220="VAT 10%",0.1,0))))</f>
        <v/>
      </c>
      <c r="O220" s="10" t="str">
        <f aca="false">IF($C220="","",$L220*$N220)</f>
        <v/>
      </c>
      <c r="P220" s="10" t="str">
        <f aca="false">IF($C220="","",$L220+$O220)</f>
        <v/>
      </c>
      <c r="Q220" s="9"/>
      <c r="R220" s="10" t="str">
        <f aca="false">IF($C220="","",MAX(0,$P220-N($Q220)))</f>
        <v/>
      </c>
      <c r="S220" s="19" t="str">
        <f aca="false">IF(OR($C220="",$P220=0),"",IF(N($Q220)&lt;=0,"Chưa thanh toán",IF(N($Q220)&lt;$P220,"Thanh toán một phần","Đã thanh toán")))</f>
        <v/>
      </c>
      <c r="T220" s="10" t="str">
        <f aca="false">IF(OR($C220="",$J220=""),"",N($I220)*$J220)</f>
        <v/>
      </c>
      <c r="U220" s="10" t="str">
        <f aca="false">IF(OR($C220="",$T220=""),"",$L220-$T220)</f>
        <v/>
      </c>
      <c r="V220" s="11" t="str">
        <f aca="false">IF(OR($U220="",$L220=0),"",$U220/$L220)</f>
        <v/>
      </c>
      <c r="W220" s="8"/>
      <c r="X220" s="19" t="str">
        <f aca="false">IF($C220="","",IF(AND($H220="",N($I220)=0,N($K220)=0),"Dòng chỉ lưu thông tin khách (chưa có đơn); ",IF($B220="","Thiếu ngày đặt; ","")&amp;IF($H220="","Thiếu tên sản phẩm; ",IF($J220="","Sản phẩm chưa có trong BẢNG GIÁ GỐC; ",""))&amp;IF(N($I220)&lt;=0,"Thiếu số lượng; ","")&amp;IF(N($K220)&lt;=0,"Thiếu giá bán; ","")&amp;IF(AND($N220&gt;0,$F220=""),"Khách lấy VAT thiếu mã số thuế; ","")&amp;IF(N($Q220)&gt;$P220,"Đã thu vượt tổng phải thu; ","")&amp;IF(AND($L220&gt;0,$U220&lt;0),"CẢNH BÁO: ĐƠN NÀY ĐANG LỖ; ","")))</f>
        <v/>
      </c>
      <c r="Y220" s="16" t="str">
        <f aca="false">IF(AND($C220&lt;&gt;"",$R220&gt;0),COUNTIFS($C$6:$C220,"&lt;&gt;",$R$6:$R220,"&gt;0"),"")</f>
        <v/>
      </c>
      <c r="Z220" s="16" t="str">
        <f aca="false">IF(AND($H220&lt;&gt;"",N($N220)&gt;0),COUNTIFS($H$6:$H220,"&lt;&gt;",$N$6:$N220,"&gt;0"),"")</f>
        <v/>
      </c>
      <c r="AA220" s="16" t="str">
        <f aca="false">IF(AND($H220&lt;&gt;"",N($N220)=0),COUNTIFS($H$6:$H220,"&lt;&gt;",$N$6:$N220,"&lt;=0"),"")</f>
        <v/>
      </c>
      <c r="AB220" s="16" t="str">
        <f aca="false">IF($C220="","",IF(COUNTIF($C$6:$C220,$C220)&gt;1,"",MAX($AB$5:AB219)+1))</f>
        <v/>
      </c>
      <c r="AC220" s="16" t="str">
        <f aca="false">IF($H220="","",IF(COUNTIF($H$6:$H220,$H220)&gt;1,"",MAX($AC$5:AC219)+1))</f>
        <v/>
      </c>
    </row>
    <row r="221" customFormat="false" ht="15" hidden="false" customHeight="false" outlineLevel="0" collapsed="false">
      <c r="A221" s="16" t="str">
        <f aca="false">IF($C221="","",COUNTA($C$6:$C221))</f>
        <v/>
      </c>
      <c r="B221" s="17"/>
      <c r="C221" s="8"/>
      <c r="D221" s="8"/>
      <c r="E221" s="8"/>
      <c r="F221" s="8"/>
      <c r="G221" s="8"/>
      <c r="H221" s="8"/>
      <c r="I221" s="9"/>
      <c r="J221" s="10" t="str">
        <f aca="false">IF($H221="","",IFERROR(VLOOKUP($H221,'BẢNG GIÁ GỐC'!$A$5:$D$204,3,FALSE()),""))</f>
        <v/>
      </c>
      <c r="K221" s="9"/>
      <c r="L221" s="10" t="str">
        <f aca="false">IF($C221="","",N($I221)*N($K221))</f>
        <v/>
      </c>
      <c r="M221" s="8"/>
      <c r="N221" s="11" t="str">
        <f aca="false">IF($C221="","",IF($M221="VAT 5%",0.05,IF($M221="VAT 8%",0.08,IF($M221="VAT 10%",0.1,0))))</f>
        <v/>
      </c>
      <c r="O221" s="10" t="str">
        <f aca="false">IF($C221="","",$L221*$N221)</f>
        <v/>
      </c>
      <c r="P221" s="10" t="str">
        <f aca="false">IF($C221="","",$L221+$O221)</f>
        <v/>
      </c>
      <c r="Q221" s="9"/>
      <c r="R221" s="10" t="str">
        <f aca="false">IF($C221="","",MAX(0,$P221-N($Q221)))</f>
        <v/>
      </c>
      <c r="S221" s="19" t="str">
        <f aca="false">IF(OR($C221="",$P221=0),"",IF(N($Q221)&lt;=0,"Chưa thanh toán",IF(N($Q221)&lt;$P221,"Thanh toán một phần","Đã thanh toán")))</f>
        <v/>
      </c>
      <c r="T221" s="10" t="str">
        <f aca="false">IF(OR($C221="",$J221=""),"",N($I221)*$J221)</f>
        <v/>
      </c>
      <c r="U221" s="10" t="str">
        <f aca="false">IF(OR($C221="",$T221=""),"",$L221-$T221)</f>
        <v/>
      </c>
      <c r="V221" s="11" t="str">
        <f aca="false">IF(OR($U221="",$L221=0),"",$U221/$L221)</f>
        <v/>
      </c>
      <c r="W221" s="8"/>
      <c r="X221" s="19" t="str">
        <f aca="false">IF($C221="","",IF(AND($H221="",N($I221)=0,N($K221)=0),"Dòng chỉ lưu thông tin khách (chưa có đơn); ",IF($B221="","Thiếu ngày đặt; ","")&amp;IF($H221="","Thiếu tên sản phẩm; ",IF($J221="","Sản phẩm chưa có trong BẢNG GIÁ GỐC; ",""))&amp;IF(N($I221)&lt;=0,"Thiếu số lượng; ","")&amp;IF(N($K221)&lt;=0,"Thiếu giá bán; ","")&amp;IF(AND($N221&gt;0,$F221=""),"Khách lấy VAT thiếu mã số thuế; ","")&amp;IF(N($Q221)&gt;$P221,"Đã thu vượt tổng phải thu; ","")&amp;IF(AND($L221&gt;0,$U221&lt;0),"CẢNH BÁO: ĐƠN NÀY ĐANG LỖ; ","")))</f>
        <v/>
      </c>
      <c r="Y221" s="16" t="str">
        <f aca="false">IF(AND($C221&lt;&gt;"",$R221&gt;0),COUNTIFS($C$6:$C221,"&lt;&gt;",$R$6:$R221,"&gt;0"),"")</f>
        <v/>
      </c>
      <c r="Z221" s="16" t="str">
        <f aca="false">IF(AND($H221&lt;&gt;"",N($N221)&gt;0),COUNTIFS($H$6:$H221,"&lt;&gt;",$N$6:$N221,"&gt;0"),"")</f>
        <v/>
      </c>
      <c r="AA221" s="16" t="str">
        <f aca="false">IF(AND($H221&lt;&gt;"",N($N221)=0),COUNTIFS($H$6:$H221,"&lt;&gt;",$N$6:$N221,"&lt;=0"),"")</f>
        <v/>
      </c>
      <c r="AB221" s="16" t="str">
        <f aca="false">IF($C221="","",IF(COUNTIF($C$6:$C221,$C221)&gt;1,"",MAX($AB$5:AB220)+1))</f>
        <v/>
      </c>
      <c r="AC221" s="16" t="str">
        <f aca="false">IF($H221="","",IF(COUNTIF($H$6:$H221,$H221)&gt;1,"",MAX($AC$5:AC220)+1))</f>
        <v/>
      </c>
    </row>
    <row r="222" customFormat="false" ht="15" hidden="false" customHeight="false" outlineLevel="0" collapsed="false">
      <c r="A222" s="16" t="str">
        <f aca="false">IF($C222="","",COUNTA($C$6:$C222))</f>
        <v/>
      </c>
      <c r="B222" s="17"/>
      <c r="C222" s="8"/>
      <c r="D222" s="8"/>
      <c r="E222" s="8"/>
      <c r="F222" s="8"/>
      <c r="G222" s="8"/>
      <c r="H222" s="8"/>
      <c r="I222" s="9"/>
      <c r="J222" s="10" t="str">
        <f aca="false">IF($H222="","",IFERROR(VLOOKUP($H222,'BẢNG GIÁ GỐC'!$A$5:$D$204,3,FALSE()),""))</f>
        <v/>
      </c>
      <c r="K222" s="9"/>
      <c r="L222" s="10" t="str">
        <f aca="false">IF($C222="","",N($I222)*N($K222))</f>
        <v/>
      </c>
      <c r="M222" s="8"/>
      <c r="N222" s="11" t="str">
        <f aca="false">IF($C222="","",IF($M222="VAT 5%",0.05,IF($M222="VAT 8%",0.08,IF($M222="VAT 10%",0.1,0))))</f>
        <v/>
      </c>
      <c r="O222" s="10" t="str">
        <f aca="false">IF($C222="","",$L222*$N222)</f>
        <v/>
      </c>
      <c r="P222" s="10" t="str">
        <f aca="false">IF($C222="","",$L222+$O222)</f>
        <v/>
      </c>
      <c r="Q222" s="9"/>
      <c r="R222" s="10" t="str">
        <f aca="false">IF($C222="","",MAX(0,$P222-N($Q222)))</f>
        <v/>
      </c>
      <c r="S222" s="19" t="str">
        <f aca="false">IF(OR($C222="",$P222=0),"",IF(N($Q222)&lt;=0,"Chưa thanh toán",IF(N($Q222)&lt;$P222,"Thanh toán một phần","Đã thanh toán")))</f>
        <v/>
      </c>
      <c r="T222" s="10" t="str">
        <f aca="false">IF(OR($C222="",$J222=""),"",N($I222)*$J222)</f>
        <v/>
      </c>
      <c r="U222" s="10" t="str">
        <f aca="false">IF(OR($C222="",$T222=""),"",$L222-$T222)</f>
        <v/>
      </c>
      <c r="V222" s="11" t="str">
        <f aca="false">IF(OR($U222="",$L222=0),"",$U222/$L222)</f>
        <v/>
      </c>
      <c r="W222" s="8"/>
      <c r="X222" s="19" t="str">
        <f aca="false">IF($C222="","",IF(AND($H222="",N($I222)=0,N($K222)=0),"Dòng chỉ lưu thông tin khách (chưa có đơn); ",IF($B222="","Thiếu ngày đặt; ","")&amp;IF($H222="","Thiếu tên sản phẩm; ",IF($J222="","Sản phẩm chưa có trong BẢNG GIÁ GỐC; ",""))&amp;IF(N($I222)&lt;=0,"Thiếu số lượng; ","")&amp;IF(N($K222)&lt;=0,"Thiếu giá bán; ","")&amp;IF(AND($N222&gt;0,$F222=""),"Khách lấy VAT thiếu mã số thuế; ","")&amp;IF(N($Q222)&gt;$P222,"Đã thu vượt tổng phải thu; ","")&amp;IF(AND($L222&gt;0,$U222&lt;0),"CẢNH BÁO: ĐƠN NÀY ĐANG LỖ; ","")))</f>
        <v/>
      </c>
      <c r="Y222" s="16" t="str">
        <f aca="false">IF(AND($C222&lt;&gt;"",$R222&gt;0),COUNTIFS($C$6:$C222,"&lt;&gt;",$R$6:$R222,"&gt;0"),"")</f>
        <v/>
      </c>
      <c r="Z222" s="16" t="str">
        <f aca="false">IF(AND($H222&lt;&gt;"",N($N222)&gt;0),COUNTIFS($H$6:$H222,"&lt;&gt;",$N$6:$N222,"&gt;0"),"")</f>
        <v/>
      </c>
      <c r="AA222" s="16" t="str">
        <f aca="false">IF(AND($H222&lt;&gt;"",N($N222)=0),COUNTIFS($H$6:$H222,"&lt;&gt;",$N$6:$N222,"&lt;=0"),"")</f>
        <v/>
      </c>
      <c r="AB222" s="16" t="str">
        <f aca="false">IF($C222="","",IF(COUNTIF($C$6:$C222,$C222)&gt;1,"",MAX($AB$5:AB221)+1))</f>
        <v/>
      </c>
      <c r="AC222" s="16" t="str">
        <f aca="false">IF($H222="","",IF(COUNTIF($H$6:$H222,$H222)&gt;1,"",MAX($AC$5:AC221)+1))</f>
        <v/>
      </c>
    </row>
    <row r="223" customFormat="false" ht="15" hidden="false" customHeight="false" outlineLevel="0" collapsed="false">
      <c r="A223" s="16" t="str">
        <f aca="false">IF($C223="","",COUNTA($C$6:$C223))</f>
        <v/>
      </c>
      <c r="B223" s="17"/>
      <c r="C223" s="8"/>
      <c r="D223" s="8"/>
      <c r="E223" s="8"/>
      <c r="F223" s="8"/>
      <c r="G223" s="8"/>
      <c r="H223" s="8"/>
      <c r="I223" s="9"/>
      <c r="J223" s="10" t="str">
        <f aca="false">IF($H223="","",IFERROR(VLOOKUP($H223,'BẢNG GIÁ GỐC'!$A$5:$D$204,3,FALSE()),""))</f>
        <v/>
      </c>
      <c r="K223" s="9"/>
      <c r="L223" s="10" t="str">
        <f aca="false">IF($C223="","",N($I223)*N($K223))</f>
        <v/>
      </c>
      <c r="M223" s="8"/>
      <c r="N223" s="11" t="str">
        <f aca="false">IF($C223="","",IF($M223="VAT 5%",0.05,IF($M223="VAT 8%",0.08,IF($M223="VAT 10%",0.1,0))))</f>
        <v/>
      </c>
      <c r="O223" s="10" t="str">
        <f aca="false">IF($C223="","",$L223*$N223)</f>
        <v/>
      </c>
      <c r="P223" s="10" t="str">
        <f aca="false">IF($C223="","",$L223+$O223)</f>
        <v/>
      </c>
      <c r="Q223" s="9"/>
      <c r="R223" s="10" t="str">
        <f aca="false">IF($C223="","",MAX(0,$P223-N($Q223)))</f>
        <v/>
      </c>
      <c r="S223" s="19" t="str">
        <f aca="false">IF(OR($C223="",$P223=0),"",IF(N($Q223)&lt;=0,"Chưa thanh toán",IF(N($Q223)&lt;$P223,"Thanh toán một phần","Đã thanh toán")))</f>
        <v/>
      </c>
      <c r="T223" s="10" t="str">
        <f aca="false">IF(OR($C223="",$J223=""),"",N($I223)*$J223)</f>
        <v/>
      </c>
      <c r="U223" s="10" t="str">
        <f aca="false">IF(OR($C223="",$T223=""),"",$L223-$T223)</f>
        <v/>
      </c>
      <c r="V223" s="11" t="str">
        <f aca="false">IF(OR($U223="",$L223=0),"",$U223/$L223)</f>
        <v/>
      </c>
      <c r="W223" s="8"/>
      <c r="X223" s="19" t="str">
        <f aca="false">IF($C223="","",IF(AND($H223="",N($I223)=0,N($K223)=0),"Dòng chỉ lưu thông tin khách (chưa có đơn); ",IF($B223="","Thiếu ngày đặt; ","")&amp;IF($H223="","Thiếu tên sản phẩm; ",IF($J223="","Sản phẩm chưa có trong BẢNG GIÁ GỐC; ",""))&amp;IF(N($I223)&lt;=0,"Thiếu số lượng; ","")&amp;IF(N($K223)&lt;=0,"Thiếu giá bán; ","")&amp;IF(AND($N223&gt;0,$F223=""),"Khách lấy VAT thiếu mã số thuế; ","")&amp;IF(N($Q223)&gt;$P223,"Đã thu vượt tổng phải thu; ","")&amp;IF(AND($L223&gt;0,$U223&lt;0),"CẢNH BÁO: ĐƠN NÀY ĐANG LỖ; ","")))</f>
        <v/>
      </c>
      <c r="Y223" s="16" t="str">
        <f aca="false">IF(AND($C223&lt;&gt;"",$R223&gt;0),COUNTIFS($C$6:$C223,"&lt;&gt;",$R$6:$R223,"&gt;0"),"")</f>
        <v/>
      </c>
      <c r="Z223" s="16" t="str">
        <f aca="false">IF(AND($H223&lt;&gt;"",N($N223)&gt;0),COUNTIFS($H$6:$H223,"&lt;&gt;",$N$6:$N223,"&gt;0"),"")</f>
        <v/>
      </c>
      <c r="AA223" s="16" t="str">
        <f aca="false">IF(AND($H223&lt;&gt;"",N($N223)=0),COUNTIFS($H$6:$H223,"&lt;&gt;",$N$6:$N223,"&lt;=0"),"")</f>
        <v/>
      </c>
      <c r="AB223" s="16" t="str">
        <f aca="false">IF($C223="","",IF(COUNTIF($C$6:$C223,$C223)&gt;1,"",MAX($AB$5:AB222)+1))</f>
        <v/>
      </c>
      <c r="AC223" s="16" t="str">
        <f aca="false">IF($H223="","",IF(COUNTIF($H$6:$H223,$H223)&gt;1,"",MAX($AC$5:AC222)+1))</f>
        <v/>
      </c>
    </row>
    <row r="224" customFormat="false" ht="15" hidden="false" customHeight="false" outlineLevel="0" collapsed="false">
      <c r="A224" s="16" t="str">
        <f aca="false">IF($C224="","",COUNTA($C$6:$C224))</f>
        <v/>
      </c>
      <c r="B224" s="17"/>
      <c r="C224" s="8"/>
      <c r="D224" s="8"/>
      <c r="E224" s="8"/>
      <c r="F224" s="8"/>
      <c r="G224" s="8"/>
      <c r="H224" s="8"/>
      <c r="I224" s="9"/>
      <c r="J224" s="10" t="str">
        <f aca="false">IF($H224="","",IFERROR(VLOOKUP($H224,'BẢNG GIÁ GỐC'!$A$5:$D$204,3,FALSE()),""))</f>
        <v/>
      </c>
      <c r="K224" s="9"/>
      <c r="L224" s="10" t="str">
        <f aca="false">IF($C224="","",N($I224)*N($K224))</f>
        <v/>
      </c>
      <c r="M224" s="8"/>
      <c r="N224" s="11" t="str">
        <f aca="false">IF($C224="","",IF($M224="VAT 5%",0.05,IF($M224="VAT 8%",0.08,IF($M224="VAT 10%",0.1,0))))</f>
        <v/>
      </c>
      <c r="O224" s="10" t="str">
        <f aca="false">IF($C224="","",$L224*$N224)</f>
        <v/>
      </c>
      <c r="P224" s="10" t="str">
        <f aca="false">IF($C224="","",$L224+$O224)</f>
        <v/>
      </c>
      <c r="Q224" s="9"/>
      <c r="R224" s="10" t="str">
        <f aca="false">IF($C224="","",MAX(0,$P224-N($Q224)))</f>
        <v/>
      </c>
      <c r="S224" s="19" t="str">
        <f aca="false">IF(OR($C224="",$P224=0),"",IF(N($Q224)&lt;=0,"Chưa thanh toán",IF(N($Q224)&lt;$P224,"Thanh toán một phần","Đã thanh toán")))</f>
        <v/>
      </c>
      <c r="T224" s="10" t="str">
        <f aca="false">IF(OR($C224="",$J224=""),"",N($I224)*$J224)</f>
        <v/>
      </c>
      <c r="U224" s="10" t="str">
        <f aca="false">IF(OR($C224="",$T224=""),"",$L224-$T224)</f>
        <v/>
      </c>
      <c r="V224" s="11" t="str">
        <f aca="false">IF(OR($U224="",$L224=0),"",$U224/$L224)</f>
        <v/>
      </c>
      <c r="W224" s="8"/>
      <c r="X224" s="19" t="str">
        <f aca="false">IF($C224="","",IF(AND($H224="",N($I224)=0,N($K224)=0),"Dòng chỉ lưu thông tin khách (chưa có đơn); ",IF($B224="","Thiếu ngày đặt; ","")&amp;IF($H224="","Thiếu tên sản phẩm; ",IF($J224="","Sản phẩm chưa có trong BẢNG GIÁ GỐC; ",""))&amp;IF(N($I224)&lt;=0,"Thiếu số lượng; ","")&amp;IF(N($K224)&lt;=0,"Thiếu giá bán; ","")&amp;IF(AND($N224&gt;0,$F224=""),"Khách lấy VAT thiếu mã số thuế; ","")&amp;IF(N($Q224)&gt;$P224,"Đã thu vượt tổng phải thu; ","")&amp;IF(AND($L224&gt;0,$U224&lt;0),"CẢNH BÁO: ĐƠN NÀY ĐANG LỖ; ","")))</f>
        <v/>
      </c>
      <c r="Y224" s="16" t="str">
        <f aca="false">IF(AND($C224&lt;&gt;"",$R224&gt;0),COUNTIFS($C$6:$C224,"&lt;&gt;",$R$6:$R224,"&gt;0"),"")</f>
        <v/>
      </c>
      <c r="Z224" s="16" t="str">
        <f aca="false">IF(AND($H224&lt;&gt;"",N($N224)&gt;0),COUNTIFS($H$6:$H224,"&lt;&gt;",$N$6:$N224,"&gt;0"),"")</f>
        <v/>
      </c>
      <c r="AA224" s="16" t="str">
        <f aca="false">IF(AND($H224&lt;&gt;"",N($N224)=0),COUNTIFS($H$6:$H224,"&lt;&gt;",$N$6:$N224,"&lt;=0"),"")</f>
        <v/>
      </c>
      <c r="AB224" s="16" t="str">
        <f aca="false">IF($C224="","",IF(COUNTIF($C$6:$C224,$C224)&gt;1,"",MAX($AB$5:AB223)+1))</f>
        <v/>
      </c>
      <c r="AC224" s="16" t="str">
        <f aca="false">IF($H224="","",IF(COUNTIF($H$6:$H224,$H224)&gt;1,"",MAX($AC$5:AC223)+1))</f>
        <v/>
      </c>
    </row>
    <row r="225" customFormat="false" ht="15" hidden="false" customHeight="false" outlineLevel="0" collapsed="false">
      <c r="A225" s="16" t="str">
        <f aca="false">IF($C225="","",COUNTA($C$6:$C225))</f>
        <v/>
      </c>
      <c r="B225" s="17"/>
      <c r="C225" s="8"/>
      <c r="D225" s="8"/>
      <c r="E225" s="8"/>
      <c r="F225" s="8"/>
      <c r="G225" s="8"/>
      <c r="H225" s="8"/>
      <c r="I225" s="9"/>
      <c r="J225" s="10" t="str">
        <f aca="false">IF($H225="","",IFERROR(VLOOKUP($H225,'BẢNG GIÁ GỐC'!$A$5:$D$204,3,FALSE()),""))</f>
        <v/>
      </c>
      <c r="K225" s="9"/>
      <c r="L225" s="10" t="str">
        <f aca="false">IF($C225="","",N($I225)*N($K225))</f>
        <v/>
      </c>
      <c r="M225" s="8"/>
      <c r="N225" s="11" t="str">
        <f aca="false">IF($C225="","",IF($M225="VAT 5%",0.05,IF($M225="VAT 8%",0.08,IF($M225="VAT 10%",0.1,0))))</f>
        <v/>
      </c>
      <c r="O225" s="10" t="str">
        <f aca="false">IF($C225="","",$L225*$N225)</f>
        <v/>
      </c>
      <c r="P225" s="10" t="str">
        <f aca="false">IF($C225="","",$L225+$O225)</f>
        <v/>
      </c>
      <c r="Q225" s="9"/>
      <c r="R225" s="10" t="str">
        <f aca="false">IF($C225="","",MAX(0,$P225-N($Q225)))</f>
        <v/>
      </c>
      <c r="S225" s="19" t="str">
        <f aca="false">IF(OR($C225="",$P225=0),"",IF(N($Q225)&lt;=0,"Chưa thanh toán",IF(N($Q225)&lt;$P225,"Thanh toán một phần","Đã thanh toán")))</f>
        <v/>
      </c>
      <c r="T225" s="10" t="str">
        <f aca="false">IF(OR($C225="",$J225=""),"",N($I225)*$J225)</f>
        <v/>
      </c>
      <c r="U225" s="10" t="str">
        <f aca="false">IF(OR($C225="",$T225=""),"",$L225-$T225)</f>
        <v/>
      </c>
      <c r="V225" s="11" t="str">
        <f aca="false">IF(OR($U225="",$L225=0),"",$U225/$L225)</f>
        <v/>
      </c>
      <c r="W225" s="8"/>
      <c r="X225" s="19" t="str">
        <f aca="false">IF($C225="","",IF(AND($H225="",N($I225)=0,N($K225)=0),"Dòng chỉ lưu thông tin khách (chưa có đơn); ",IF($B225="","Thiếu ngày đặt; ","")&amp;IF($H225="","Thiếu tên sản phẩm; ",IF($J225="","Sản phẩm chưa có trong BẢNG GIÁ GỐC; ",""))&amp;IF(N($I225)&lt;=0,"Thiếu số lượng; ","")&amp;IF(N($K225)&lt;=0,"Thiếu giá bán; ","")&amp;IF(AND($N225&gt;0,$F225=""),"Khách lấy VAT thiếu mã số thuế; ","")&amp;IF(N($Q225)&gt;$P225,"Đã thu vượt tổng phải thu; ","")&amp;IF(AND($L225&gt;0,$U225&lt;0),"CẢNH BÁO: ĐƠN NÀY ĐANG LỖ; ","")))</f>
        <v/>
      </c>
      <c r="Y225" s="16" t="str">
        <f aca="false">IF(AND($C225&lt;&gt;"",$R225&gt;0),COUNTIFS($C$6:$C225,"&lt;&gt;",$R$6:$R225,"&gt;0"),"")</f>
        <v/>
      </c>
      <c r="Z225" s="16" t="str">
        <f aca="false">IF(AND($H225&lt;&gt;"",N($N225)&gt;0),COUNTIFS($H$6:$H225,"&lt;&gt;",$N$6:$N225,"&gt;0"),"")</f>
        <v/>
      </c>
      <c r="AA225" s="16" t="str">
        <f aca="false">IF(AND($H225&lt;&gt;"",N($N225)=0),COUNTIFS($H$6:$H225,"&lt;&gt;",$N$6:$N225,"&lt;=0"),"")</f>
        <v/>
      </c>
      <c r="AB225" s="16" t="str">
        <f aca="false">IF($C225="","",IF(COUNTIF($C$6:$C225,$C225)&gt;1,"",MAX($AB$5:AB224)+1))</f>
        <v/>
      </c>
      <c r="AC225" s="16" t="str">
        <f aca="false">IF($H225="","",IF(COUNTIF($H$6:$H225,$H225)&gt;1,"",MAX($AC$5:AC224)+1))</f>
        <v/>
      </c>
    </row>
    <row r="226" customFormat="false" ht="15" hidden="false" customHeight="false" outlineLevel="0" collapsed="false">
      <c r="A226" s="16" t="str">
        <f aca="false">IF($C226="","",COUNTA($C$6:$C226))</f>
        <v/>
      </c>
      <c r="B226" s="17"/>
      <c r="C226" s="8"/>
      <c r="D226" s="8"/>
      <c r="E226" s="8"/>
      <c r="F226" s="8"/>
      <c r="G226" s="8"/>
      <c r="H226" s="8"/>
      <c r="I226" s="9"/>
      <c r="J226" s="10" t="str">
        <f aca="false">IF($H226="","",IFERROR(VLOOKUP($H226,'BẢNG GIÁ GỐC'!$A$5:$D$204,3,FALSE()),""))</f>
        <v/>
      </c>
      <c r="K226" s="9"/>
      <c r="L226" s="10" t="str">
        <f aca="false">IF($C226="","",N($I226)*N($K226))</f>
        <v/>
      </c>
      <c r="M226" s="8"/>
      <c r="N226" s="11" t="str">
        <f aca="false">IF($C226="","",IF($M226="VAT 5%",0.05,IF($M226="VAT 8%",0.08,IF($M226="VAT 10%",0.1,0))))</f>
        <v/>
      </c>
      <c r="O226" s="10" t="str">
        <f aca="false">IF($C226="","",$L226*$N226)</f>
        <v/>
      </c>
      <c r="P226" s="10" t="str">
        <f aca="false">IF($C226="","",$L226+$O226)</f>
        <v/>
      </c>
      <c r="Q226" s="9"/>
      <c r="R226" s="10" t="str">
        <f aca="false">IF($C226="","",MAX(0,$P226-N($Q226)))</f>
        <v/>
      </c>
      <c r="S226" s="19" t="str">
        <f aca="false">IF(OR($C226="",$P226=0),"",IF(N($Q226)&lt;=0,"Chưa thanh toán",IF(N($Q226)&lt;$P226,"Thanh toán một phần","Đã thanh toán")))</f>
        <v/>
      </c>
      <c r="T226" s="10" t="str">
        <f aca="false">IF(OR($C226="",$J226=""),"",N($I226)*$J226)</f>
        <v/>
      </c>
      <c r="U226" s="10" t="str">
        <f aca="false">IF(OR($C226="",$T226=""),"",$L226-$T226)</f>
        <v/>
      </c>
      <c r="V226" s="11" t="str">
        <f aca="false">IF(OR($U226="",$L226=0),"",$U226/$L226)</f>
        <v/>
      </c>
      <c r="W226" s="8"/>
      <c r="X226" s="19" t="str">
        <f aca="false">IF($C226="","",IF(AND($H226="",N($I226)=0,N($K226)=0),"Dòng chỉ lưu thông tin khách (chưa có đơn); ",IF($B226="","Thiếu ngày đặt; ","")&amp;IF($H226="","Thiếu tên sản phẩm; ",IF($J226="","Sản phẩm chưa có trong BẢNG GIÁ GỐC; ",""))&amp;IF(N($I226)&lt;=0,"Thiếu số lượng; ","")&amp;IF(N($K226)&lt;=0,"Thiếu giá bán; ","")&amp;IF(AND($N226&gt;0,$F226=""),"Khách lấy VAT thiếu mã số thuế; ","")&amp;IF(N($Q226)&gt;$P226,"Đã thu vượt tổng phải thu; ","")&amp;IF(AND($L226&gt;0,$U226&lt;0),"CẢNH BÁO: ĐƠN NÀY ĐANG LỖ; ","")))</f>
        <v/>
      </c>
      <c r="Y226" s="16" t="str">
        <f aca="false">IF(AND($C226&lt;&gt;"",$R226&gt;0),COUNTIFS($C$6:$C226,"&lt;&gt;",$R$6:$R226,"&gt;0"),"")</f>
        <v/>
      </c>
      <c r="Z226" s="16" t="str">
        <f aca="false">IF(AND($H226&lt;&gt;"",N($N226)&gt;0),COUNTIFS($H$6:$H226,"&lt;&gt;",$N$6:$N226,"&gt;0"),"")</f>
        <v/>
      </c>
      <c r="AA226" s="16" t="str">
        <f aca="false">IF(AND($H226&lt;&gt;"",N($N226)=0),COUNTIFS($H$6:$H226,"&lt;&gt;",$N$6:$N226,"&lt;=0"),"")</f>
        <v/>
      </c>
      <c r="AB226" s="16" t="str">
        <f aca="false">IF($C226="","",IF(COUNTIF($C$6:$C226,$C226)&gt;1,"",MAX($AB$5:AB225)+1))</f>
        <v/>
      </c>
      <c r="AC226" s="16" t="str">
        <f aca="false">IF($H226="","",IF(COUNTIF($H$6:$H226,$H226)&gt;1,"",MAX($AC$5:AC225)+1))</f>
        <v/>
      </c>
    </row>
    <row r="227" customFormat="false" ht="15" hidden="false" customHeight="false" outlineLevel="0" collapsed="false">
      <c r="A227" s="16" t="str">
        <f aca="false">IF($C227="","",COUNTA($C$6:$C227))</f>
        <v/>
      </c>
      <c r="B227" s="17"/>
      <c r="C227" s="8"/>
      <c r="D227" s="8"/>
      <c r="E227" s="8"/>
      <c r="F227" s="8"/>
      <c r="G227" s="8"/>
      <c r="H227" s="8"/>
      <c r="I227" s="9"/>
      <c r="J227" s="10" t="str">
        <f aca="false">IF($H227="","",IFERROR(VLOOKUP($H227,'BẢNG GIÁ GỐC'!$A$5:$D$204,3,FALSE()),""))</f>
        <v/>
      </c>
      <c r="K227" s="9"/>
      <c r="L227" s="10" t="str">
        <f aca="false">IF($C227="","",N($I227)*N($K227))</f>
        <v/>
      </c>
      <c r="M227" s="8"/>
      <c r="N227" s="11" t="str">
        <f aca="false">IF($C227="","",IF($M227="VAT 5%",0.05,IF($M227="VAT 8%",0.08,IF($M227="VAT 10%",0.1,0))))</f>
        <v/>
      </c>
      <c r="O227" s="10" t="str">
        <f aca="false">IF($C227="","",$L227*$N227)</f>
        <v/>
      </c>
      <c r="P227" s="10" t="str">
        <f aca="false">IF($C227="","",$L227+$O227)</f>
        <v/>
      </c>
      <c r="Q227" s="9"/>
      <c r="R227" s="10" t="str">
        <f aca="false">IF($C227="","",MAX(0,$P227-N($Q227)))</f>
        <v/>
      </c>
      <c r="S227" s="19" t="str">
        <f aca="false">IF(OR($C227="",$P227=0),"",IF(N($Q227)&lt;=0,"Chưa thanh toán",IF(N($Q227)&lt;$P227,"Thanh toán một phần","Đã thanh toán")))</f>
        <v/>
      </c>
      <c r="T227" s="10" t="str">
        <f aca="false">IF(OR($C227="",$J227=""),"",N($I227)*$J227)</f>
        <v/>
      </c>
      <c r="U227" s="10" t="str">
        <f aca="false">IF(OR($C227="",$T227=""),"",$L227-$T227)</f>
        <v/>
      </c>
      <c r="V227" s="11" t="str">
        <f aca="false">IF(OR($U227="",$L227=0),"",$U227/$L227)</f>
        <v/>
      </c>
      <c r="W227" s="8"/>
      <c r="X227" s="19" t="str">
        <f aca="false">IF($C227="","",IF(AND($H227="",N($I227)=0,N($K227)=0),"Dòng chỉ lưu thông tin khách (chưa có đơn); ",IF($B227="","Thiếu ngày đặt; ","")&amp;IF($H227="","Thiếu tên sản phẩm; ",IF($J227="","Sản phẩm chưa có trong BẢNG GIÁ GỐC; ",""))&amp;IF(N($I227)&lt;=0,"Thiếu số lượng; ","")&amp;IF(N($K227)&lt;=0,"Thiếu giá bán; ","")&amp;IF(AND($N227&gt;0,$F227=""),"Khách lấy VAT thiếu mã số thuế; ","")&amp;IF(N($Q227)&gt;$P227,"Đã thu vượt tổng phải thu; ","")&amp;IF(AND($L227&gt;0,$U227&lt;0),"CẢNH BÁO: ĐƠN NÀY ĐANG LỖ; ","")))</f>
        <v/>
      </c>
      <c r="Y227" s="16" t="str">
        <f aca="false">IF(AND($C227&lt;&gt;"",$R227&gt;0),COUNTIFS($C$6:$C227,"&lt;&gt;",$R$6:$R227,"&gt;0"),"")</f>
        <v/>
      </c>
      <c r="Z227" s="16" t="str">
        <f aca="false">IF(AND($H227&lt;&gt;"",N($N227)&gt;0),COUNTIFS($H$6:$H227,"&lt;&gt;",$N$6:$N227,"&gt;0"),"")</f>
        <v/>
      </c>
      <c r="AA227" s="16" t="str">
        <f aca="false">IF(AND($H227&lt;&gt;"",N($N227)=0),COUNTIFS($H$6:$H227,"&lt;&gt;",$N$6:$N227,"&lt;=0"),"")</f>
        <v/>
      </c>
      <c r="AB227" s="16" t="str">
        <f aca="false">IF($C227="","",IF(COUNTIF($C$6:$C227,$C227)&gt;1,"",MAX($AB$5:AB226)+1))</f>
        <v/>
      </c>
      <c r="AC227" s="16" t="str">
        <f aca="false">IF($H227="","",IF(COUNTIF($H$6:$H227,$H227)&gt;1,"",MAX($AC$5:AC226)+1))</f>
        <v/>
      </c>
    </row>
    <row r="228" customFormat="false" ht="15" hidden="false" customHeight="false" outlineLevel="0" collapsed="false">
      <c r="A228" s="16" t="str">
        <f aca="false">IF($C228="","",COUNTA($C$6:$C228))</f>
        <v/>
      </c>
      <c r="B228" s="17"/>
      <c r="C228" s="8"/>
      <c r="D228" s="8"/>
      <c r="E228" s="8"/>
      <c r="F228" s="8"/>
      <c r="G228" s="8"/>
      <c r="H228" s="8"/>
      <c r="I228" s="9"/>
      <c r="J228" s="10" t="str">
        <f aca="false">IF($H228="","",IFERROR(VLOOKUP($H228,'BẢNG GIÁ GỐC'!$A$5:$D$204,3,FALSE()),""))</f>
        <v/>
      </c>
      <c r="K228" s="9"/>
      <c r="L228" s="10" t="str">
        <f aca="false">IF($C228="","",N($I228)*N($K228))</f>
        <v/>
      </c>
      <c r="M228" s="8"/>
      <c r="N228" s="11" t="str">
        <f aca="false">IF($C228="","",IF($M228="VAT 5%",0.05,IF($M228="VAT 8%",0.08,IF($M228="VAT 10%",0.1,0))))</f>
        <v/>
      </c>
      <c r="O228" s="10" t="str">
        <f aca="false">IF($C228="","",$L228*$N228)</f>
        <v/>
      </c>
      <c r="P228" s="10" t="str">
        <f aca="false">IF($C228="","",$L228+$O228)</f>
        <v/>
      </c>
      <c r="Q228" s="9"/>
      <c r="R228" s="10" t="str">
        <f aca="false">IF($C228="","",MAX(0,$P228-N($Q228)))</f>
        <v/>
      </c>
      <c r="S228" s="19" t="str">
        <f aca="false">IF(OR($C228="",$P228=0),"",IF(N($Q228)&lt;=0,"Chưa thanh toán",IF(N($Q228)&lt;$P228,"Thanh toán một phần","Đã thanh toán")))</f>
        <v/>
      </c>
      <c r="T228" s="10" t="str">
        <f aca="false">IF(OR($C228="",$J228=""),"",N($I228)*$J228)</f>
        <v/>
      </c>
      <c r="U228" s="10" t="str">
        <f aca="false">IF(OR($C228="",$T228=""),"",$L228-$T228)</f>
        <v/>
      </c>
      <c r="V228" s="11" t="str">
        <f aca="false">IF(OR($U228="",$L228=0),"",$U228/$L228)</f>
        <v/>
      </c>
      <c r="W228" s="8"/>
      <c r="X228" s="19" t="str">
        <f aca="false">IF($C228="","",IF(AND($H228="",N($I228)=0,N($K228)=0),"Dòng chỉ lưu thông tin khách (chưa có đơn); ",IF($B228="","Thiếu ngày đặt; ","")&amp;IF($H228="","Thiếu tên sản phẩm; ",IF($J228="","Sản phẩm chưa có trong BẢNG GIÁ GỐC; ",""))&amp;IF(N($I228)&lt;=0,"Thiếu số lượng; ","")&amp;IF(N($K228)&lt;=0,"Thiếu giá bán; ","")&amp;IF(AND($N228&gt;0,$F228=""),"Khách lấy VAT thiếu mã số thuế; ","")&amp;IF(N($Q228)&gt;$P228,"Đã thu vượt tổng phải thu; ","")&amp;IF(AND($L228&gt;0,$U228&lt;0),"CẢNH BÁO: ĐƠN NÀY ĐANG LỖ; ","")))</f>
        <v/>
      </c>
      <c r="Y228" s="16" t="str">
        <f aca="false">IF(AND($C228&lt;&gt;"",$R228&gt;0),COUNTIFS($C$6:$C228,"&lt;&gt;",$R$6:$R228,"&gt;0"),"")</f>
        <v/>
      </c>
      <c r="Z228" s="16" t="str">
        <f aca="false">IF(AND($H228&lt;&gt;"",N($N228)&gt;0),COUNTIFS($H$6:$H228,"&lt;&gt;",$N$6:$N228,"&gt;0"),"")</f>
        <v/>
      </c>
      <c r="AA228" s="16" t="str">
        <f aca="false">IF(AND($H228&lt;&gt;"",N($N228)=0),COUNTIFS($H$6:$H228,"&lt;&gt;",$N$6:$N228,"&lt;=0"),"")</f>
        <v/>
      </c>
      <c r="AB228" s="16" t="str">
        <f aca="false">IF($C228="","",IF(COUNTIF($C$6:$C228,$C228)&gt;1,"",MAX($AB$5:AB227)+1))</f>
        <v/>
      </c>
      <c r="AC228" s="16" t="str">
        <f aca="false">IF($H228="","",IF(COUNTIF($H$6:$H228,$H228)&gt;1,"",MAX($AC$5:AC227)+1))</f>
        <v/>
      </c>
    </row>
    <row r="229" customFormat="false" ht="15" hidden="false" customHeight="false" outlineLevel="0" collapsed="false">
      <c r="A229" s="16" t="str">
        <f aca="false">IF($C229="","",COUNTA($C$6:$C229))</f>
        <v/>
      </c>
      <c r="B229" s="17"/>
      <c r="C229" s="8"/>
      <c r="D229" s="8"/>
      <c r="E229" s="8"/>
      <c r="F229" s="8"/>
      <c r="G229" s="8"/>
      <c r="H229" s="8"/>
      <c r="I229" s="9"/>
      <c r="J229" s="10" t="str">
        <f aca="false">IF($H229="","",IFERROR(VLOOKUP($H229,'BẢNG GIÁ GỐC'!$A$5:$D$204,3,FALSE()),""))</f>
        <v/>
      </c>
      <c r="K229" s="9"/>
      <c r="L229" s="10" t="str">
        <f aca="false">IF($C229="","",N($I229)*N($K229))</f>
        <v/>
      </c>
      <c r="M229" s="8"/>
      <c r="N229" s="11" t="str">
        <f aca="false">IF($C229="","",IF($M229="VAT 5%",0.05,IF($M229="VAT 8%",0.08,IF($M229="VAT 10%",0.1,0))))</f>
        <v/>
      </c>
      <c r="O229" s="10" t="str">
        <f aca="false">IF($C229="","",$L229*$N229)</f>
        <v/>
      </c>
      <c r="P229" s="10" t="str">
        <f aca="false">IF($C229="","",$L229+$O229)</f>
        <v/>
      </c>
      <c r="Q229" s="9"/>
      <c r="R229" s="10" t="str">
        <f aca="false">IF($C229="","",MAX(0,$P229-N($Q229)))</f>
        <v/>
      </c>
      <c r="S229" s="19" t="str">
        <f aca="false">IF(OR($C229="",$P229=0),"",IF(N($Q229)&lt;=0,"Chưa thanh toán",IF(N($Q229)&lt;$P229,"Thanh toán một phần","Đã thanh toán")))</f>
        <v/>
      </c>
      <c r="T229" s="10" t="str">
        <f aca="false">IF(OR($C229="",$J229=""),"",N($I229)*$J229)</f>
        <v/>
      </c>
      <c r="U229" s="10" t="str">
        <f aca="false">IF(OR($C229="",$T229=""),"",$L229-$T229)</f>
        <v/>
      </c>
      <c r="V229" s="11" t="str">
        <f aca="false">IF(OR($U229="",$L229=0),"",$U229/$L229)</f>
        <v/>
      </c>
      <c r="W229" s="8"/>
      <c r="X229" s="19" t="str">
        <f aca="false">IF($C229="","",IF(AND($H229="",N($I229)=0,N($K229)=0),"Dòng chỉ lưu thông tin khách (chưa có đơn); ",IF($B229="","Thiếu ngày đặt; ","")&amp;IF($H229="","Thiếu tên sản phẩm; ",IF($J229="","Sản phẩm chưa có trong BẢNG GIÁ GỐC; ",""))&amp;IF(N($I229)&lt;=0,"Thiếu số lượng; ","")&amp;IF(N($K229)&lt;=0,"Thiếu giá bán; ","")&amp;IF(AND($N229&gt;0,$F229=""),"Khách lấy VAT thiếu mã số thuế; ","")&amp;IF(N($Q229)&gt;$P229,"Đã thu vượt tổng phải thu; ","")&amp;IF(AND($L229&gt;0,$U229&lt;0),"CẢNH BÁO: ĐƠN NÀY ĐANG LỖ; ","")))</f>
        <v/>
      </c>
      <c r="Y229" s="16" t="str">
        <f aca="false">IF(AND($C229&lt;&gt;"",$R229&gt;0),COUNTIFS($C$6:$C229,"&lt;&gt;",$R$6:$R229,"&gt;0"),"")</f>
        <v/>
      </c>
      <c r="Z229" s="16" t="str">
        <f aca="false">IF(AND($H229&lt;&gt;"",N($N229)&gt;0),COUNTIFS($H$6:$H229,"&lt;&gt;",$N$6:$N229,"&gt;0"),"")</f>
        <v/>
      </c>
      <c r="AA229" s="16" t="str">
        <f aca="false">IF(AND($H229&lt;&gt;"",N($N229)=0),COUNTIFS($H$6:$H229,"&lt;&gt;",$N$6:$N229,"&lt;=0"),"")</f>
        <v/>
      </c>
      <c r="AB229" s="16" t="str">
        <f aca="false">IF($C229="","",IF(COUNTIF($C$6:$C229,$C229)&gt;1,"",MAX($AB$5:AB228)+1))</f>
        <v/>
      </c>
      <c r="AC229" s="16" t="str">
        <f aca="false">IF($H229="","",IF(COUNTIF($H$6:$H229,$H229)&gt;1,"",MAX($AC$5:AC228)+1))</f>
        <v/>
      </c>
    </row>
    <row r="230" customFormat="false" ht="15" hidden="false" customHeight="false" outlineLevel="0" collapsed="false">
      <c r="A230" s="16" t="str">
        <f aca="false">IF($C230="","",COUNTA($C$6:$C230))</f>
        <v/>
      </c>
      <c r="B230" s="17"/>
      <c r="C230" s="8"/>
      <c r="D230" s="8"/>
      <c r="E230" s="8"/>
      <c r="F230" s="8"/>
      <c r="G230" s="8"/>
      <c r="H230" s="8"/>
      <c r="I230" s="9"/>
      <c r="J230" s="10" t="str">
        <f aca="false">IF($H230="","",IFERROR(VLOOKUP($H230,'BẢNG GIÁ GỐC'!$A$5:$D$204,3,FALSE()),""))</f>
        <v/>
      </c>
      <c r="K230" s="9"/>
      <c r="L230" s="10" t="str">
        <f aca="false">IF($C230="","",N($I230)*N($K230))</f>
        <v/>
      </c>
      <c r="M230" s="8"/>
      <c r="N230" s="11" t="str">
        <f aca="false">IF($C230="","",IF($M230="VAT 5%",0.05,IF($M230="VAT 8%",0.08,IF($M230="VAT 10%",0.1,0))))</f>
        <v/>
      </c>
      <c r="O230" s="10" t="str">
        <f aca="false">IF($C230="","",$L230*$N230)</f>
        <v/>
      </c>
      <c r="P230" s="10" t="str">
        <f aca="false">IF($C230="","",$L230+$O230)</f>
        <v/>
      </c>
      <c r="Q230" s="9"/>
      <c r="R230" s="10" t="str">
        <f aca="false">IF($C230="","",MAX(0,$P230-N($Q230)))</f>
        <v/>
      </c>
      <c r="S230" s="19" t="str">
        <f aca="false">IF(OR($C230="",$P230=0),"",IF(N($Q230)&lt;=0,"Chưa thanh toán",IF(N($Q230)&lt;$P230,"Thanh toán một phần","Đã thanh toán")))</f>
        <v/>
      </c>
      <c r="T230" s="10" t="str">
        <f aca="false">IF(OR($C230="",$J230=""),"",N($I230)*$J230)</f>
        <v/>
      </c>
      <c r="U230" s="10" t="str">
        <f aca="false">IF(OR($C230="",$T230=""),"",$L230-$T230)</f>
        <v/>
      </c>
      <c r="V230" s="11" t="str">
        <f aca="false">IF(OR($U230="",$L230=0),"",$U230/$L230)</f>
        <v/>
      </c>
      <c r="W230" s="8"/>
      <c r="X230" s="19" t="str">
        <f aca="false">IF($C230="","",IF(AND($H230="",N($I230)=0,N($K230)=0),"Dòng chỉ lưu thông tin khách (chưa có đơn); ",IF($B230="","Thiếu ngày đặt; ","")&amp;IF($H230="","Thiếu tên sản phẩm; ",IF($J230="","Sản phẩm chưa có trong BẢNG GIÁ GỐC; ",""))&amp;IF(N($I230)&lt;=0,"Thiếu số lượng; ","")&amp;IF(N($K230)&lt;=0,"Thiếu giá bán; ","")&amp;IF(AND($N230&gt;0,$F230=""),"Khách lấy VAT thiếu mã số thuế; ","")&amp;IF(N($Q230)&gt;$P230,"Đã thu vượt tổng phải thu; ","")&amp;IF(AND($L230&gt;0,$U230&lt;0),"CẢNH BÁO: ĐƠN NÀY ĐANG LỖ; ","")))</f>
        <v/>
      </c>
      <c r="Y230" s="16" t="str">
        <f aca="false">IF(AND($C230&lt;&gt;"",$R230&gt;0),COUNTIFS($C$6:$C230,"&lt;&gt;",$R$6:$R230,"&gt;0"),"")</f>
        <v/>
      </c>
      <c r="Z230" s="16" t="str">
        <f aca="false">IF(AND($H230&lt;&gt;"",N($N230)&gt;0),COUNTIFS($H$6:$H230,"&lt;&gt;",$N$6:$N230,"&gt;0"),"")</f>
        <v/>
      </c>
      <c r="AA230" s="16" t="str">
        <f aca="false">IF(AND($H230&lt;&gt;"",N($N230)=0),COUNTIFS($H$6:$H230,"&lt;&gt;",$N$6:$N230,"&lt;=0"),"")</f>
        <v/>
      </c>
      <c r="AB230" s="16" t="str">
        <f aca="false">IF($C230="","",IF(COUNTIF($C$6:$C230,$C230)&gt;1,"",MAX($AB$5:AB229)+1))</f>
        <v/>
      </c>
      <c r="AC230" s="16" t="str">
        <f aca="false">IF($H230="","",IF(COUNTIF($H$6:$H230,$H230)&gt;1,"",MAX($AC$5:AC229)+1))</f>
        <v/>
      </c>
    </row>
    <row r="231" customFormat="false" ht="15" hidden="false" customHeight="false" outlineLevel="0" collapsed="false">
      <c r="A231" s="16" t="str">
        <f aca="false">IF($C231="","",COUNTA($C$6:$C231))</f>
        <v/>
      </c>
      <c r="B231" s="17"/>
      <c r="C231" s="8"/>
      <c r="D231" s="8"/>
      <c r="E231" s="8"/>
      <c r="F231" s="8"/>
      <c r="G231" s="8"/>
      <c r="H231" s="8"/>
      <c r="I231" s="9"/>
      <c r="J231" s="10" t="str">
        <f aca="false">IF($H231="","",IFERROR(VLOOKUP($H231,'BẢNG GIÁ GỐC'!$A$5:$D$204,3,FALSE()),""))</f>
        <v/>
      </c>
      <c r="K231" s="9"/>
      <c r="L231" s="10" t="str">
        <f aca="false">IF($C231="","",N($I231)*N($K231))</f>
        <v/>
      </c>
      <c r="M231" s="8"/>
      <c r="N231" s="11" t="str">
        <f aca="false">IF($C231="","",IF($M231="VAT 5%",0.05,IF($M231="VAT 8%",0.08,IF($M231="VAT 10%",0.1,0))))</f>
        <v/>
      </c>
      <c r="O231" s="10" t="str">
        <f aca="false">IF($C231="","",$L231*$N231)</f>
        <v/>
      </c>
      <c r="P231" s="10" t="str">
        <f aca="false">IF($C231="","",$L231+$O231)</f>
        <v/>
      </c>
      <c r="Q231" s="9"/>
      <c r="R231" s="10" t="str">
        <f aca="false">IF($C231="","",MAX(0,$P231-N($Q231)))</f>
        <v/>
      </c>
      <c r="S231" s="19" t="str">
        <f aca="false">IF(OR($C231="",$P231=0),"",IF(N($Q231)&lt;=0,"Chưa thanh toán",IF(N($Q231)&lt;$P231,"Thanh toán một phần","Đã thanh toán")))</f>
        <v/>
      </c>
      <c r="T231" s="10" t="str">
        <f aca="false">IF(OR($C231="",$J231=""),"",N($I231)*$J231)</f>
        <v/>
      </c>
      <c r="U231" s="10" t="str">
        <f aca="false">IF(OR($C231="",$T231=""),"",$L231-$T231)</f>
        <v/>
      </c>
      <c r="V231" s="11" t="str">
        <f aca="false">IF(OR($U231="",$L231=0),"",$U231/$L231)</f>
        <v/>
      </c>
      <c r="W231" s="8"/>
      <c r="X231" s="19" t="str">
        <f aca="false">IF($C231="","",IF(AND($H231="",N($I231)=0,N($K231)=0),"Dòng chỉ lưu thông tin khách (chưa có đơn); ",IF($B231="","Thiếu ngày đặt; ","")&amp;IF($H231="","Thiếu tên sản phẩm; ",IF($J231="","Sản phẩm chưa có trong BẢNG GIÁ GỐC; ",""))&amp;IF(N($I231)&lt;=0,"Thiếu số lượng; ","")&amp;IF(N($K231)&lt;=0,"Thiếu giá bán; ","")&amp;IF(AND($N231&gt;0,$F231=""),"Khách lấy VAT thiếu mã số thuế; ","")&amp;IF(N($Q231)&gt;$P231,"Đã thu vượt tổng phải thu; ","")&amp;IF(AND($L231&gt;0,$U231&lt;0),"CẢNH BÁO: ĐƠN NÀY ĐANG LỖ; ","")))</f>
        <v/>
      </c>
      <c r="Y231" s="16" t="str">
        <f aca="false">IF(AND($C231&lt;&gt;"",$R231&gt;0),COUNTIFS($C$6:$C231,"&lt;&gt;",$R$6:$R231,"&gt;0"),"")</f>
        <v/>
      </c>
      <c r="Z231" s="16" t="str">
        <f aca="false">IF(AND($H231&lt;&gt;"",N($N231)&gt;0),COUNTIFS($H$6:$H231,"&lt;&gt;",$N$6:$N231,"&gt;0"),"")</f>
        <v/>
      </c>
      <c r="AA231" s="16" t="str">
        <f aca="false">IF(AND($H231&lt;&gt;"",N($N231)=0),COUNTIFS($H$6:$H231,"&lt;&gt;",$N$6:$N231,"&lt;=0"),"")</f>
        <v/>
      </c>
      <c r="AB231" s="16" t="str">
        <f aca="false">IF($C231="","",IF(COUNTIF($C$6:$C231,$C231)&gt;1,"",MAX($AB$5:AB230)+1))</f>
        <v/>
      </c>
      <c r="AC231" s="16" t="str">
        <f aca="false">IF($H231="","",IF(COUNTIF($H$6:$H231,$H231)&gt;1,"",MAX($AC$5:AC230)+1))</f>
        <v/>
      </c>
    </row>
    <row r="232" customFormat="false" ht="15" hidden="false" customHeight="false" outlineLevel="0" collapsed="false">
      <c r="A232" s="16" t="str">
        <f aca="false">IF($C232="","",COUNTA($C$6:$C232))</f>
        <v/>
      </c>
      <c r="B232" s="17"/>
      <c r="C232" s="8"/>
      <c r="D232" s="8"/>
      <c r="E232" s="8"/>
      <c r="F232" s="8"/>
      <c r="G232" s="8"/>
      <c r="H232" s="8"/>
      <c r="I232" s="9"/>
      <c r="J232" s="10" t="str">
        <f aca="false">IF($H232="","",IFERROR(VLOOKUP($H232,'BẢNG GIÁ GỐC'!$A$5:$D$204,3,FALSE()),""))</f>
        <v/>
      </c>
      <c r="K232" s="9"/>
      <c r="L232" s="10" t="str">
        <f aca="false">IF($C232="","",N($I232)*N($K232))</f>
        <v/>
      </c>
      <c r="M232" s="8"/>
      <c r="N232" s="11" t="str">
        <f aca="false">IF($C232="","",IF($M232="VAT 5%",0.05,IF($M232="VAT 8%",0.08,IF($M232="VAT 10%",0.1,0))))</f>
        <v/>
      </c>
      <c r="O232" s="10" t="str">
        <f aca="false">IF($C232="","",$L232*$N232)</f>
        <v/>
      </c>
      <c r="P232" s="10" t="str">
        <f aca="false">IF($C232="","",$L232+$O232)</f>
        <v/>
      </c>
      <c r="Q232" s="9"/>
      <c r="R232" s="10" t="str">
        <f aca="false">IF($C232="","",MAX(0,$P232-N($Q232)))</f>
        <v/>
      </c>
      <c r="S232" s="19" t="str">
        <f aca="false">IF(OR($C232="",$P232=0),"",IF(N($Q232)&lt;=0,"Chưa thanh toán",IF(N($Q232)&lt;$P232,"Thanh toán một phần","Đã thanh toán")))</f>
        <v/>
      </c>
      <c r="T232" s="10" t="str">
        <f aca="false">IF(OR($C232="",$J232=""),"",N($I232)*$J232)</f>
        <v/>
      </c>
      <c r="U232" s="10" t="str">
        <f aca="false">IF(OR($C232="",$T232=""),"",$L232-$T232)</f>
        <v/>
      </c>
      <c r="V232" s="11" t="str">
        <f aca="false">IF(OR($U232="",$L232=0),"",$U232/$L232)</f>
        <v/>
      </c>
      <c r="W232" s="8"/>
      <c r="X232" s="19" t="str">
        <f aca="false">IF($C232="","",IF(AND($H232="",N($I232)=0,N($K232)=0),"Dòng chỉ lưu thông tin khách (chưa có đơn); ",IF($B232="","Thiếu ngày đặt; ","")&amp;IF($H232="","Thiếu tên sản phẩm; ",IF($J232="","Sản phẩm chưa có trong BẢNG GIÁ GỐC; ",""))&amp;IF(N($I232)&lt;=0,"Thiếu số lượng; ","")&amp;IF(N($K232)&lt;=0,"Thiếu giá bán; ","")&amp;IF(AND($N232&gt;0,$F232=""),"Khách lấy VAT thiếu mã số thuế; ","")&amp;IF(N($Q232)&gt;$P232,"Đã thu vượt tổng phải thu; ","")&amp;IF(AND($L232&gt;0,$U232&lt;0),"CẢNH BÁO: ĐƠN NÀY ĐANG LỖ; ","")))</f>
        <v/>
      </c>
      <c r="Y232" s="16" t="str">
        <f aca="false">IF(AND($C232&lt;&gt;"",$R232&gt;0),COUNTIFS($C$6:$C232,"&lt;&gt;",$R$6:$R232,"&gt;0"),"")</f>
        <v/>
      </c>
      <c r="Z232" s="16" t="str">
        <f aca="false">IF(AND($H232&lt;&gt;"",N($N232)&gt;0),COUNTIFS($H$6:$H232,"&lt;&gt;",$N$6:$N232,"&gt;0"),"")</f>
        <v/>
      </c>
      <c r="AA232" s="16" t="str">
        <f aca="false">IF(AND($H232&lt;&gt;"",N($N232)=0),COUNTIFS($H$6:$H232,"&lt;&gt;",$N$6:$N232,"&lt;=0"),"")</f>
        <v/>
      </c>
      <c r="AB232" s="16" t="str">
        <f aca="false">IF($C232="","",IF(COUNTIF($C$6:$C232,$C232)&gt;1,"",MAX($AB$5:AB231)+1))</f>
        <v/>
      </c>
      <c r="AC232" s="16" t="str">
        <f aca="false">IF($H232="","",IF(COUNTIF($H$6:$H232,$H232)&gt;1,"",MAX($AC$5:AC231)+1))</f>
        <v/>
      </c>
    </row>
    <row r="233" customFormat="false" ht="15" hidden="false" customHeight="false" outlineLevel="0" collapsed="false">
      <c r="A233" s="16" t="str">
        <f aca="false">IF($C233="","",COUNTA($C$6:$C233))</f>
        <v/>
      </c>
      <c r="B233" s="17"/>
      <c r="C233" s="8"/>
      <c r="D233" s="8"/>
      <c r="E233" s="8"/>
      <c r="F233" s="8"/>
      <c r="G233" s="8"/>
      <c r="H233" s="8"/>
      <c r="I233" s="9"/>
      <c r="J233" s="10" t="str">
        <f aca="false">IF($H233="","",IFERROR(VLOOKUP($H233,'BẢNG GIÁ GỐC'!$A$5:$D$204,3,FALSE()),""))</f>
        <v/>
      </c>
      <c r="K233" s="9"/>
      <c r="L233" s="10" t="str">
        <f aca="false">IF($C233="","",N($I233)*N($K233))</f>
        <v/>
      </c>
      <c r="M233" s="8"/>
      <c r="N233" s="11" t="str">
        <f aca="false">IF($C233="","",IF($M233="VAT 5%",0.05,IF($M233="VAT 8%",0.08,IF($M233="VAT 10%",0.1,0))))</f>
        <v/>
      </c>
      <c r="O233" s="10" t="str">
        <f aca="false">IF($C233="","",$L233*$N233)</f>
        <v/>
      </c>
      <c r="P233" s="10" t="str">
        <f aca="false">IF($C233="","",$L233+$O233)</f>
        <v/>
      </c>
      <c r="Q233" s="9"/>
      <c r="R233" s="10" t="str">
        <f aca="false">IF($C233="","",MAX(0,$P233-N($Q233)))</f>
        <v/>
      </c>
      <c r="S233" s="19" t="str">
        <f aca="false">IF(OR($C233="",$P233=0),"",IF(N($Q233)&lt;=0,"Chưa thanh toán",IF(N($Q233)&lt;$P233,"Thanh toán một phần","Đã thanh toán")))</f>
        <v/>
      </c>
      <c r="T233" s="10" t="str">
        <f aca="false">IF(OR($C233="",$J233=""),"",N($I233)*$J233)</f>
        <v/>
      </c>
      <c r="U233" s="10" t="str">
        <f aca="false">IF(OR($C233="",$T233=""),"",$L233-$T233)</f>
        <v/>
      </c>
      <c r="V233" s="11" t="str">
        <f aca="false">IF(OR($U233="",$L233=0),"",$U233/$L233)</f>
        <v/>
      </c>
      <c r="W233" s="8"/>
      <c r="X233" s="19" t="str">
        <f aca="false">IF($C233="","",IF(AND($H233="",N($I233)=0,N($K233)=0),"Dòng chỉ lưu thông tin khách (chưa có đơn); ",IF($B233="","Thiếu ngày đặt; ","")&amp;IF($H233="","Thiếu tên sản phẩm; ",IF($J233="","Sản phẩm chưa có trong BẢNG GIÁ GỐC; ",""))&amp;IF(N($I233)&lt;=0,"Thiếu số lượng; ","")&amp;IF(N($K233)&lt;=0,"Thiếu giá bán; ","")&amp;IF(AND($N233&gt;0,$F233=""),"Khách lấy VAT thiếu mã số thuế; ","")&amp;IF(N($Q233)&gt;$P233,"Đã thu vượt tổng phải thu; ","")&amp;IF(AND($L233&gt;0,$U233&lt;0),"CẢNH BÁO: ĐƠN NÀY ĐANG LỖ; ","")))</f>
        <v/>
      </c>
      <c r="Y233" s="16" t="str">
        <f aca="false">IF(AND($C233&lt;&gt;"",$R233&gt;0),COUNTIFS($C$6:$C233,"&lt;&gt;",$R$6:$R233,"&gt;0"),"")</f>
        <v/>
      </c>
      <c r="Z233" s="16" t="str">
        <f aca="false">IF(AND($H233&lt;&gt;"",N($N233)&gt;0),COUNTIFS($H$6:$H233,"&lt;&gt;",$N$6:$N233,"&gt;0"),"")</f>
        <v/>
      </c>
      <c r="AA233" s="16" t="str">
        <f aca="false">IF(AND($H233&lt;&gt;"",N($N233)=0),COUNTIFS($H$6:$H233,"&lt;&gt;",$N$6:$N233,"&lt;=0"),"")</f>
        <v/>
      </c>
      <c r="AB233" s="16" t="str">
        <f aca="false">IF($C233="","",IF(COUNTIF($C$6:$C233,$C233)&gt;1,"",MAX($AB$5:AB232)+1))</f>
        <v/>
      </c>
      <c r="AC233" s="16" t="str">
        <f aca="false">IF($H233="","",IF(COUNTIF($H$6:$H233,$H233)&gt;1,"",MAX($AC$5:AC232)+1))</f>
        <v/>
      </c>
    </row>
    <row r="234" customFormat="false" ht="15" hidden="false" customHeight="false" outlineLevel="0" collapsed="false">
      <c r="A234" s="16" t="str">
        <f aca="false">IF($C234="","",COUNTA($C$6:$C234))</f>
        <v/>
      </c>
      <c r="B234" s="17"/>
      <c r="C234" s="8"/>
      <c r="D234" s="8"/>
      <c r="E234" s="8"/>
      <c r="F234" s="8"/>
      <c r="G234" s="8"/>
      <c r="H234" s="8"/>
      <c r="I234" s="9"/>
      <c r="J234" s="10" t="str">
        <f aca="false">IF($H234="","",IFERROR(VLOOKUP($H234,'BẢNG GIÁ GỐC'!$A$5:$D$204,3,FALSE()),""))</f>
        <v/>
      </c>
      <c r="K234" s="9"/>
      <c r="L234" s="10" t="str">
        <f aca="false">IF($C234="","",N($I234)*N($K234))</f>
        <v/>
      </c>
      <c r="M234" s="8"/>
      <c r="N234" s="11" t="str">
        <f aca="false">IF($C234="","",IF($M234="VAT 5%",0.05,IF($M234="VAT 8%",0.08,IF($M234="VAT 10%",0.1,0))))</f>
        <v/>
      </c>
      <c r="O234" s="10" t="str">
        <f aca="false">IF($C234="","",$L234*$N234)</f>
        <v/>
      </c>
      <c r="P234" s="10" t="str">
        <f aca="false">IF($C234="","",$L234+$O234)</f>
        <v/>
      </c>
      <c r="Q234" s="9"/>
      <c r="R234" s="10" t="str">
        <f aca="false">IF($C234="","",MAX(0,$P234-N($Q234)))</f>
        <v/>
      </c>
      <c r="S234" s="19" t="str">
        <f aca="false">IF(OR($C234="",$P234=0),"",IF(N($Q234)&lt;=0,"Chưa thanh toán",IF(N($Q234)&lt;$P234,"Thanh toán một phần","Đã thanh toán")))</f>
        <v/>
      </c>
      <c r="T234" s="10" t="str">
        <f aca="false">IF(OR($C234="",$J234=""),"",N($I234)*$J234)</f>
        <v/>
      </c>
      <c r="U234" s="10" t="str">
        <f aca="false">IF(OR($C234="",$T234=""),"",$L234-$T234)</f>
        <v/>
      </c>
      <c r="V234" s="11" t="str">
        <f aca="false">IF(OR($U234="",$L234=0),"",$U234/$L234)</f>
        <v/>
      </c>
      <c r="W234" s="8"/>
      <c r="X234" s="19" t="str">
        <f aca="false">IF($C234="","",IF(AND($H234="",N($I234)=0,N($K234)=0),"Dòng chỉ lưu thông tin khách (chưa có đơn); ",IF($B234="","Thiếu ngày đặt; ","")&amp;IF($H234="","Thiếu tên sản phẩm; ",IF($J234="","Sản phẩm chưa có trong BẢNG GIÁ GỐC; ",""))&amp;IF(N($I234)&lt;=0,"Thiếu số lượng; ","")&amp;IF(N($K234)&lt;=0,"Thiếu giá bán; ","")&amp;IF(AND($N234&gt;0,$F234=""),"Khách lấy VAT thiếu mã số thuế; ","")&amp;IF(N($Q234)&gt;$P234,"Đã thu vượt tổng phải thu; ","")&amp;IF(AND($L234&gt;0,$U234&lt;0),"CẢNH BÁO: ĐƠN NÀY ĐANG LỖ; ","")))</f>
        <v/>
      </c>
      <c r="Y234" s="16" t="str">
        <f aca="false">IF(AND($C234&lt;&gt;"",$R234&gt;0),COUNTIFS($C$6:$C234,"&lt;&gt;",$R$6:$R234,"&gt;0"),"")</f>
        <v/>
      </c>
      <c r="Z234" s="16" t="str">
        <f aca="false">IF(AND($H234&lt;&gt;"",N($N234)&gt;0),COUNTIFS($H$6:$H234,"&lt;&gt;",$N$6:$N234,"&gt;0"),"")</f>
        <v/>
      </c>
      <c r="AA234" s="16" t="str">
        <f aca="false">IF(AND($H234&lt;&gt;"",N($N234)=0),COUNTIFS($H$6:$H234,"&lt;&gt;",$N$6:$N234,"&lt;=0"),"")</f>
        <v/>
      </c>
      <c r="AB234" s="16" t="str">
        <f aca="false">IF($C234="","",IF(COUNTIF($C$6:$C234,$C234)&gt;1,"",MAX($AB$5:AB233)+1))</f>
        <v/>
      </c>
      <c r="AC234" s="16" t="str">
        <f aca="false">IF($H234="","",IF(COUNTIF($H$6:$H234,$H234)&gt;1,"",MAX($AC$5:AC233)+1))</f>
        <v/>
      </c>
    </row>
    <row r="235" customFormat="false" ht="15" hidden="false" customHeight="false" outlineLevel="0" collapsed="false">
      <c r="A235" s="16" t="str">
        <f aca="false">IF($C235="","",COUNTA($C$6:$C235))</f>
        <v/>
      </c>
      <c r="B235" s="17"/>
      <c r="C235" s="8"/>
      <c r="D235" s="8"/>
      <c r="E235" s="8"/>
      <c r="F235" s="8"/>
      <c r="G235" s="8"/>
      <c r="H235" s="8"/>
      <c r="I235" s="9"/>
      <c r="J235" s="10" t="str">
        <f aca="false">IF($H235="","",IFERROR(VLOOKUP($H235,'BẢNG GIÁ GỐC'!$A$5:$D$204,3,FALSE()),""))</f>
        <v/>
      </c>
      <c r="K235" s="9"/>
      <c r="L235" s="10" t="str">
        <f aca="false">IF($C235="","",N($I235)*N($K235))</f>
        <v/>
      </c>
      <c r="M235" s="8"/>
      <c r="N235" s="11" t="str">
        <f aca="false">IF($C235="","",IF($M235="VAT 5%",0.05,IF($M235="VAT 8%",0.08,IF($M235="VAT 10%",0.1,0))))</f>
        <v/>
      </c>
      <c r="O235" s="10" t="str">
        <f aca="false">IF($C235="","",$L235*$N235)</f>
        <v/>
      </c>
      <c r="P235" s="10" t="str">
        <f aca="false">IF($C235="","",$L235+$O235)</f>
        <v/>
      </c>
      <c r="Q235" s="9"/>
      <c r="R235" s="10" t="str">
        <f aca="false">IF($C235="","",MAX(0,$P235-N($Q235)))</f>
        <v/>
      </c>
      <c r="S235" s="19" t="str">
        <f aca="false">IF(OR($C235="",$P235=0),"",IF(N($Q235)&lt;=0,"Chưa thanh toán",IF(N($Q235)&lt;$P235,"Thanh toán một phần","Đã thanh toán")))</f>
        <v/>
      </c>
      <c r="T235" s="10" t="str">
        <f aca="false">IF(OR($C235="",$J235=""),"",N($I235)*$J235)</f>
        <v/>
      </c>
      <c r="U235" s="10" t="str">
        <f aca="false">IF(OR($C235="",$T235=""),"",$L235-$T235)</f>
        <v/>
      </c>
      <c r="V235" s="11" t="str">
        <f aca="false">IF(OR($U235="",$L235=0),"",$U235/$L235)</f>
        <v/>
      </c>
      <c r="W235" s="8"/>
      <c r="X235" s="19" t="str">
        <f aca="false">IF($C235="","",IF(AND($H235="",N($I235)=0,N($K235)=0),"Dòng chỉ lưu thông tin khách (chưa có đơn); ",IF($B235="","Thiếu ngày đặt; ","")&amp;IF($H235="","Thiếu tên sản phẩm; ",IF($J235="","Sản phẩm chưa có trong BẢNG GIÁ GỐC; ",""))&amp;IF(N($I235)&lt;=0,"Thiếu số lượng; ","")&amp;IF(N($K235)&lt;=0,"Thiếu giá bán; ","")&amp;IF(AND($N235&gt;0,$F235=""),"Khách lấy VAT thiếu mã số thuế; ","")&amp;IF(N($Q235)&gt;$P235,"Đã thu vượt tổng phải thu; ","")&amp;IF(AND($L235&gt;0,$U235&lt;0),"CẢNH BÁO: ĐƠN NÀY ĐANG LỖ; ","")))</f>
        <v/>
      </c>
      <c r="Y235" s="16" t="str">
        <f aca="false">IF(AND($C235&lt;&gt;"",$R235&gt;0),COUNTIFS($C$6:$C235,"&lt;&gt;",$R$6:$R235,"&gt;0"),"")</f>
        <v/>
      </c>
      <c r="Z235" s="16" t="str">
        <f aca="false">IF(AND($H235&lt;&gt;"",N($N235)&gt;0),COUNTIFS($H$6:$H235,"&lt;&gt;",$N$6:$N235,"&gt;0"),"")</f>
        <v/>
      </c>
      <c r="AA235" s="16" t="str">
        <f aca="false">IF(AND($H235&lt;&gt;"",N($N235)=0),COUNTIFS($H$6:$H235,"&lt;&gt;",$N$6:$N235,"&lt;=0"),"")</f>
        <v/>
      </c>
      <c r="AB235" s="16" t="str">
        <f aca="false">IF($C235="","",IF(COUNTIF($C$6:$C235,$C235)&gt;1,"",MAX($AB$5:AB234)+1))</f>
        <v/>
      </c>
      <c r="AC235" s="16" t="str">
        <f aca="false">IF($H235="","",IF(COUNTIF($H$6:$H235,$H235)&gt;1,"",MAX($AC$5:AC234)+1))</f>
        <v/>
      </c>
    </row>
    <row r="236" customFormat="false" ht="15" hidden="false" customHeight="false" outlineLevel="0" collapsed="false">
      <c r="A236" s="16" t="str">
        <f aca="false">IF($C236="","",COUNTA($C$6:$C236))</f>
        <v/>
      </c>
      <c r="B236" s="17"/>
      <c r="C236" s="8"/>
      <c r="D236" s="8"/>
      <c r="E236" s="8"/>
      <c r="F236" s="8"/>
      <c r="G236" s="8"/>
      <c r="H236" s="8"/>
      <c r="I236" s="9"/>
      <c r="J236" s="10" t="str">
        <f aca="false">IF($H236="","",IFERROR(VLOOKUP($H236,'BẢNG GIÁ GỐC'!$A$5:$D$204,3,FALSE()),""))</f>
        <v/>
      </c>
      <c r="K236" s="9"/>
      <c r="L236" s="10" t="str">
        <f aca="false">IF($C236="","",N($I236)*N($K236))</f>
        <v/>
      </c>
      <c r="M236" s="8"/>
      <c r="N236" s="11" t="str">
        <f aca="false">IF($C236="","",IF($M236="VAT 5%",0.05,IF($M236="VAT 8%",0.08,IF($M236="VAT 10%",0.1,0))))</f>
        <v/>
      </c>
      <c r="O236" s="10" t="str">
        <f aca="false">IF($C236="","",$L236*$N236)</f>
        <v/>
      </c>
      <c r="P236" s="10" t="str">
        <f aca="false">IF($C236="","",$L236+$O236)</f>
        <v/>
      </c>
      <c r="Q236" s="9"/>
      <c r="R236" s="10" t="str">
        <f aca="false">IF($C236="","",MAX(0,$P236-N($Q236)))</f>
        <v/>
      </c>
      <c r="S236" s="19" t="str">
        <f aca="false">IF(OR($C236="",$P236=0),"",IF(N($Q236)&lt;=0,"Chưa thanh toán",IF(N($Q236)&lt;$P236,"Thanh toán một phần","Đã thanh toán")))</f>
        <v/>
      </c>
      <c r="T236" s="10" t="str">
        <f aca="false">IF(OR($C236="",$J236=""),"",N($I236)*$J236)</f>
        <v/>
      </c>
      <c r="U236" s="10" t="str">
        <f aca="false">IF(OR($C236="",$T236=""),"",$L236-$T236)</f>
        <v/>
      </c>
      <c r="V236" s="11" t="str">
        <f aca="false">IF(OR($U236="",$L236=0),"",$U236/$L236)</f>
        <v/>
      </c>
      <c r="W236" s="8"/>
      <c r="X236" s="19" t="str">
        <f aca="false">IF($C236="","",IF(AND($H236="",N($I236)=0,N($K236)=0),"Dòng chỉ lưu thông tin khách (chưa có đơn); ",IF($B236="","Thiếu ngày đặt; ","")&amp;IF($H236="","Thiếu tên sản phẩm; ",IF($J236="","Sản phẩm chưa có trong BẢNG GIÁ GỐC; ",""))&amp;IF(N($I236)&lt;=0,"Thiếu số lượng; ","")&amp;IF(N($K236)&lt;=0,"Thiếu giá bán; ","")&amp;IF(AND($N236&gt;0,$F236=""),"Khách lấy VAT thiếu mã số thuế; ","")&amp;IF(N($Q236)&gt;$P236,"Đã thu vượt tổng phải thu; ","")&amp;IF(AND($L236&gt;0,$U236&lt;0),"CẢNH BÁO: ĐƠN NÀY ĐANG LỖ; ","")))</f>
        <v/>
      </c>
      <c r="Y236" s="16" t="str">
        <f aca="false">IF(AND($C236&lt;&gt;"",$R236&gt;0),COUNTIFS($C$6:$C236,"&lt;&gt;",$R$6:$R236,"&gt;0"),"")</f>
        <v/>
      </c>
      <c r="Z236" s="16" t="str">
        <f aca="false">IF(AND($H236&lt;&gt;"",N($N236)&gt;0),COUNTIFS($H$6:$H236,"&lt;&gt;",$N$6:$N236,"&gt;0"),"")</f>
        <v/>
      </c>
      <c r="AA236" s="16" t="str">
        <f aca="false">IF(AND($H236&lt;&gt;"",N($N236)=0),COUNTIFS($H$6:$H236,"&lt;&gt;",$N$6:$N236,"&lt;=0"),"")</f>
        <v/>
      </c>
      <c r="AB236" s="16" t="str">
        <f aca="false">IF($C236="","",IF(COUNTIF($C$6:$C236,$C236)&gt;1,"",MAX($AB$5:AB235)+1))</f>
        <v/>
      </c>
      <c r="AC236" s="16" t="str">
        <f aca="false">IF($H236="","",IF(COUNTIF($H$6:$H236,$H236)&gt;1,"",MAX($AC$5:AC235)+1))</f>
        <v/>
      </c>
    </row>
    <row r="237" customFormat="false" ht="15" hidden="false" customHeight="false" outlineLevel="0" collapsed="false">
      <c r="A237" s="16" t="str">
        <f aca="false">IF($C237="","",COUNTA($C$6:$C237))</f>
        <v/>
      </c>
      <c r="B237" s="17"/>
      <c r="C237" s="8"/>
      <c r="D237" s="8"/>
      <c r="E237" s="8"/>
      <c r="F237" s="8"/>
      <c r="G237" s="8"/>
      <c r="H237" s="8"/>
      <c r="I237" s="9"/>
      <c r="J237" s="10" t="str">
        <f aca="false">IF($H237="","",IFERROR(VLOOKUP($H237,'BẢNG GIÁ GỐC'!$A$5:$D$204,3,FALSE()),""))</f>
        <v/>
      </c>
      <c r="K237" s="9"/>
      <c r="L237" s="10" t="str">
        <f aca="false">IF($C237="","",N($I237)*N($K237))</f>
        <v/>
      </c>
      <c r="M237" s="8"/>
      <c r="N237" s="11" t="str">
        <f aca="false">IF($C237="","",IF($M237="VAT 5%",0.05,IF($M237="VAT 8%",0.08,IF($M237="VAT 10%",0.1,0))))</f>
        <v/>
      </c>
      <c r="O237" s="10" t="str">
        <f aca="false">IF($C237="","",$L237*$N237)</f>
        <v/>
      </c>
      <c r="P237" s="10" t="str">
        <f aca="false">IF($C237="","",$L237+$O237)</f>
        <v/>
      </c>
      <c r="Q237" s="9"/>
      <c r="R237" s="10" t="str">
        <f aca="false">IF($C237="","",MAX(0,$P237-N($Q237)))</f>
        <v/>
      </c>
      <c r="S237" s="19" t="str">
        <f aca="false">IF(OR($C237="",$P237=0),"",IF(N($Q237)&lt;=0,"Chưa thanh toán",IF(N($Q237)&lt;$P237,"Thanh toán một phần","Đã thanh toán")))</f>
        <v/>
      </c>
      <c r="T237" s="10" t="str">
        <f aca="false">IF(OR($C237="",$J237=""),"",N($I237)*$J237)</f>
        <v/>
      </c>
      <c r="U237" s="10" t="str">
        <f aca="false">IF(OR($C237="",$T237=""),"",$L237-$T237)</f>
        <v/>
      </c>
      <c r="V237" s="11" t="str">
        <f aca="false">IF(OR($U237="",$L237=0),"",$U237/$L237)</f>
        <v/>
      </c>
      <c r="W237" s="8"/>
      <c r="X237" s="19" t="str">
        <f aca="false">IF($C237="","",IF(AND($H237="",N($I237)=0,N($K237)=0),"Dòng chỉ lưu thông tin khách (chưa có đơn); ",IF($B237="","Thiếu ngày đặt; ","")&amp;IF($H237="","Thiếu tên sản phẩm; ",IF($J237="","Sản phẩm chưa có trong BẢNG GIÁ GỐC; ",""))&amp;IF(N($I237)&lt;=0,"Thiếu số lượng; ","")&amp;IF(N($K237)&lt;=0,"Thiếu giá bán; ","")&amp;IF(AND($N237&gt;0,$F237=""),"Khách lấy VAT thiếu mã số thuế; ","")&amp;IF(N($Q237)&gt;$P237,"Đã thu vượt tổng phải thu; ","")&amp;IF(AND($L237&gt;0,$U237&lt;0),"CẢNH BÁO: ĐƠN NÀY ĐANG LỖ; ","")))</f>
        <v/>
      </c>
      <c r="Y237" s="16" t="str">
        <f aca="false">IF(AND($C237&lt;&gt;"",$R237&gt;0),COUNTIFS($C$6:$C237,"&lt;&gt;",$R$6:$R237,"&gt;0"),"")</f>
        <v/>
      </c>
      <c r="Z237" s="16" t="str">
        <f aca="false">IF(AND($H237&lt;&gt;"",N($N237)&gt;0),COUNTIFS($H$6:$H237,"&lt;&gt;",$N$6:$N237,"&gt;0"),"")</f>
        <v/>
      </c>
      <c r="AA237" s="16" t="str">
        <f aca="false">IF(AND($H237&lt;&gt;"",N($N237)=0),COUNTIFS($H$6:$H237,"&lt;&gt;",$N$6:$N237,"&lt;=0"),"")</f>
        <v/>
      </c>
      <c r="AB237" s="16" t="str">
        <f aca="false">IF($C237="","",IF(COUNTIF($C$6:$C237,$C237)&gt;1,"",MAX($AB$5:AB236)+1))</f>
        <v/>
      </c>
      <c r="AC237" s="16" t="str">
        <f aca="false">IF($H237="","",IF(COUNTIF($H$6:$H237,$H237)&gt;1,"",MAX($AC$5:AC236)+1))</f>
        <v/>
      </c>
    </row>
    <row r="238" customFormat="false" ht="15" hidden="false" customHeight="false" outlineLevel="0" collapsed="false">
      <c r="A238" s="16" t="str">
        <f aca="false">IF($C238="","",COUNTA($C$6:$C238))</f>
        <v/>
      </c>
      <c r="B238" s="17"/>
      <c r="C238" s="8"/>
      <c r="D238" s="8"/>
      <c r="E238" s="8"/>
      <c r="F238" s="8"/>
      <c r="G238" s="8"/>
      <c r="H238" s="8"/>
      <c r="I238" s="9"/>
      <c r="J238" s="10" t="str">
        <f aca="false">IF($H238="","",IFERROR(VLOOKUP($H238,'BẢNG GIÁ GỐC'!$A$5:$D$204,3,FALSE()),""))</f>
        <v/>
      </c>
      <c r="K238" s="9"/>
      <c r="L238" s="10" t="str">
        <f aca="false">IF($C238="","",N($I238)*N($K238))</f>
        <v/>
      </c>
      <c r="M238" s="8"/>
      <c r="N238" s="11" t="str">
        <f aca="false">IF($C238="","",IF($M238="VAT 5%",0.05,IF($M238="VAT 8%",0.08,IF($M238="VAT 10%",0.1,0))))</f>
        <v/>
      </c>
      <c r="O238" s="10" t="str">
        <f aca="false">IF($C238="","",$L238*$N238)</f>
        <v/>
      </c>
      <c r="P238" s="10" t="str">
        <f aca="false">IF($C238="","",$L238+$O238)</f>
        <v/>
      </c>
      <c r="Q238" s="9"/>
      <c r="R238" s="10" t="str">
        <f aca="false">IF($C238="","",MAX(0,$P238-N($Q238)))</f>
        <v/>
      </c>
      <c r="S238" s="19" t="str">
        <f aca="false">IF(OR($C238="",$P238=0),"",IF(N($Q238)&lt;=0,"Chưa thanh toán",IF(N($Q238)&lt;$P238,"Thanh toán một phần","Đã thanh toán")))</f>
        <v/>
      </c>
      <c r="T238" s="10" t="str">
        <f aca="false">IF(OR($C238="",$J238=""),"",N($I238)*$J238)</f>
        <v/>
      </c>
      <c r="U238" s="10" t="str">
        <f aca="false">IF(OR($C238="",$T238=""),"",$L238-$T238)</f>
        <v/>
      </c>
      <c r="V238" s="11" t="str">
        <f aca="false">IF(OR($U238="",$L238=0),"",$U238/$L238)</f>
        <v/>
      </c>
      <c r="W238" s="8"/>
      <c r="X238" s="19" t="str">
        <f aca="false">IF($C238="","",IF(AND($H238="",N($I238)=0,N($K238)=0),"Dòng chỉ lưu thông tin khách (chưa có đơn); ",IF($B238="","Thiếu ngày đặt; ","")&amp;IF($H238="","Thiếu tên sản phẩm; ",IF($J238="","Sản phẩm chưa có trong BẢNG GIÁ GỐC; ",""))&amp;IF(N($I238)&lt;=0,"Thiếu số lượng; ","")&amp;IF(N($K238)&lt;=0,"Thiếu giá bán; ","")&amp;IF(AND($N238&gt;0,$F238=""),"Khách lấy VAT thiếu mã số thuế; ","")&amp;IF(N($Q238)&gt;$P238,"Đã thu vượt tổng phải thu; ","")&amp;IF(AND($L238&gt;0,$U238&lt;0),"CẢNH BÁO: ĐƠN NÀY ĐANG LỖ; ","")))</f>
        <v/>
      </c>
      <c r="Y238" s="16" t="str">
        <f aca="false">IF(AND($C238&lt;&gt;"",$R238&gt;0),COUNTIFS($C$6:$C238,"&lt;&gt;",$R$6:$R238,"&gt;0"),"")</f>
        <v/>
      </c>
      <c r="Z238" s="16" t="str">
        <f aca="false">IF(AND($H238&lt;&gt;"",N($N238)&gt;0),COUNTIFS($H$6:$H238,"&lt;&gt;",$N$6:$N238,"&gt;0"),"")</f>
        <v/>
      </c>
      <c r="AA238" s="16" t="str">
        <f aca="false">IF(AND($H238&lt;&gt;"",N($N238)=0),COUNTIFS($H$6:$H238,"&lt;&gt;",$N$6:$N238,"&lt;=0"),"")</f>
        <v/>
      </c>
      <c r="AB238" s="16" t="str">
        <f aca="false">IF($C238="","",IF(COUNTIF($C$6:$C238,$C238)&gt;1,"",MAX($AB$5:AB237)+1))</f>
        <v/>
      </c>
      <c r="AC238" s="16" t="str">
        <f aca="false">IF($H238="","",IF(COUNTIF($H$6:$H238,$H238)&gt;1,"",MAX($AC$5:AC237)+1))</f>
        <v/>
      </c>
    </row>
    <row r="239" customFormat="false" ht="15" hidden="false" customHeight="false" outlineLevel="0" collapsed="false">
      <c r="A239" s="16" t="str">
        <f aca="false">IF($C239="","",COUNTA($C$6:$C239))</f>
        <v/>
      </c>
      <c r="B239" s="17"/>
      <c r="C239" s="8"/>
      <c r="D239" s="8"/>
      <c r="E239" s="8"/>
      <c r="F239" s="8"/>
      <c r="G239" s="8"/>
      <c r="H239" s="8"/>
      <c r="I239" s="9"/>
      <c r="J239" s="10" t="str">
        <f aca="false">IF($H239="","",IFERROR(VLOOKUP($H239,'BẢNG GIÁ GỐC'!$A$5:$D$204,3,FALSE()),""))</f>
        <v/>
      </c>
      <c r="K239" s="9"/>
      <c r="L239" s="10" t="str">
        <f aca="false">IF($C239="","",N($I239)*N($K239))</f>
        <v/>
      </c>
      <c r="M239" s="8"/>
      <c r="N239" s="11" t="str">
        <f aca="false">IF($C239="","",IF($M239="VAT 5%",0.05,IF($M239="VAT 8%",0.08,IF($M239="VAT 10%",0.1,0))))</f>
        <v/>
      </c>
      <c r="O239" s="10" t="str">
        <f aca="false">IF($C239="","",$L239*$N239)</f>
        <v/>
      </c>
      <c r="P239" s="10" t="str">
        <f aca="false">IF($C239="","",$L239+$O239)</f>
        <v/>
      </c>
      <c r="Q239" s="9"/>
      <c r="R239" s="10" t="str">
        <f aca="false">IF($C239="","",MAX(0,$P239-N($Q239)))</f>
        <v/>
      </c>
      <c r="S239" s="19" t="str">
        <f aca="false">IF(OR($C239="",$P239=0),"",IF(N($Q239)&lt;=0,"Chưa thanh toán",IF(N($Q239)&lt;$P239,"Thanh toán một phần","Đã thanh toán")))</f>
        <v/>
      </c>
      <c r="T239" s="10" t="str">
        <f aca="false">IF(OR($C239="",$J239=""),"",N($I239)*$J239)</f>
        <v/>
      </c>
      <c r="U239" s="10" t="str">
        <f aca="false">IF(OR($C239="",$T239=""),"",$L239-$T239)</f>
        <v/>
      </c>
      <c r="V239" s="11" t="str">
        <f aca="false">IF(OR($U239="",$L239=0),"",$U239/$L239)</f>
        <v/>
      </c>
      <c r="W239" s="8"/>
      <c r="X239" s="19" t="str">
        <f aca="false">IF($C239="","",IF(AND($H239="",N($I239)=0,N($K239)=0),"Dòng chỉ lưu thông tin khách (chưa có đơn); ",IF($B239="","Thiếu ngày đặt; ","")&amp;IF($H239="","Thiếu tên sản phẩm; ",IF($J239="","Sản phẩm chưa có trong BẢNG GIÁ GỐC; ",""))&amp;IF(N($I239)&lt;=0,"Thiếu số lượng; ","")&amp;IF(N($K239)&lt;=0,"Thiếu giá bán; ","")&amp;IF(AND($N239&gt;0,$F239=""),"Khách lấy VAT thiếu mã số thuế; ","")&amp;IF(N($Q239)&gt;$P239,"Đã thu vượt tổng phải thu; ","")&amp;IF(AND($L239&gt;0,$U239&lt;0),"CẢNH BÁO: ĐƠN NÀY ĐANG LỖ; ","")))</f>
        <v/>
      </c>
      <c r="Y239" s="16" t="str">
        <f aca="false">IF(AND($C239&lt;&gt;"",$R239&gt;0),COUNTIFS($C$6:$C239,"&lt;&gt;",$R$6:$R239,"&gt;0"),"")</f>
        <v/>
      </c>
      <c r="Z239" s="16" t="str">
        <f aca="false">IF(AND($H239&lt;&gt;"",N($N239)&gt;0),COUNTIFS($H$6:$H239,"&lt;&gt;",$N$6:$N239,"&gt;0"),"")</f>
        <v/>
      </c>
      <c r="AA239" s="16" t="str">
        <f aca="false">IF(AND($H239&lt;&gt;"",N($N239)=0),COUNTIFS($H$6:$H239,"&lt;&gt;",$N$6:$N239,"&lt;=0"),"")</f>
        <v/>
      </c>
      <c r="AB239" s="16" t="str">
        <f aca="false">IF($C239="","",IF(COUNTIF($C$6:$C239,$C239)&gt;1,"",MAX($AB$5:AB238)+1))</f>
        <v/>
      </c>
      <c r="AC239" s="16" t="str">
        <f aca="false">IF($H239="","",IF(COUNTIF($H$6:$H239,$H239)&gt;1,"",MAX($AC$5:AC238)+1))</f>
        <v/>
      </c>
    </row>
    <row r="240" customFormat="false" ht="15" hidden="false" customHeight="false" outlineLevel="0" collapsed="false">
      <c r="A240" s="16" t="str">
        <f aca="false">IF($C240="","",COUNTA($C$6:$C240))</f>
        <v/>
      </c>
      <c r="B240" s="17"/>
      <c r="C240" s="8"/>
      <c r="D240" s="8"/>
      <c r="E240" s="8"/>
      <c r="F240" s="8"/>
      <c r="G240" s="8"/>
      <c r="H240" s="8"/>
      <c r="I240" s="9"/>
      <c r="J240" s="10" t="str">
        <f aca="false">IF($H240="","",IFERROR(VLOOKUP($H240,'BẢNG GIÁ GỐC'!$A$5:$D$204,3,FALSE()),""))</f>
        <v/>
      </c>
      <c r="K240" s="9"/>
      <c r="L240" s="10" t="str">
        <f aca="false">IF($C240="","",N($I240)*N($K240))</f>
        <v/>
      </c>
      <c r="M240" s="8"/>
      <c r="N240" s="11" t="str">
        <f aca="false">IF($C240="","",IF($M240="VAT 5%",0.05,IF($M240="VAT 8%",0.08,IF($M240="VAT 10%",0.1,0))))</f>
        <v/>
      </c>
      <c r="O240" s="10" t="str">
        <f aca="false">IF($C240="","",$L240*$N240)</f>
        <v/>
      </c>
      <c r="P240" s="10" t="str">
        <f aca="false">IF($C240="","",$L240+$O240)</f>
        <v/>
      </c>
      <c r="Q240" s="9"/>
      <c r="R240" s="10" t="str">
        <f aca="false">IF($C240="","",MAX(0,$P240-N($Q240)))</f>
        <v/>
      </c>
      <c r="S240" s="19" t="str">
        <f aca="false">IF(OR($C240="",$P240=0),"",IF(N($Q240)&lt;=0,"Chưa thanh toán",IF(N($Q240)&lt;$P240,"Thanh toán một phần","Đã thanh toán")))</f>
        <v/>
      </c>
      <c r="T240" s="10" t="str">
        <f aca="false">IF(OR($C240="",$J240=""),"",N($I240)*$J240)</f>
        <v/>
      </c>
      <c r="U240" s="10" t="str">
        <f aca="false">IF(OR($C240="",$T240=""),"",$L240-$T240)</f>
        <v/>
      </c>
      <c r="V240" s="11" t="str">
        <f aca="false">IF(OR($U240="",$L240=0),"",$U240/$L240)</f>
        <v/>
      </c>
      <c r="W240" s="8"/>
      <c r="X240" s="19" t="str">
        <f aca="false">IF($C240="","",IF(AND($H240="",N($I240)=0,N($K240)=0),"Dòng chỉ lưu thông tin khách (chưa có đơn); ",IF($B240="","Thiếu ngày đặt; ","")&amp;IF($H240="","Thiếu tên sản phẩm; ",IF($J240="","Sản phẩm chưa có trong BẢNG GIÁ GỐC; ",""))&amp;IF(N($I240)&lt;=0,"Thiếu số lượng; ","")&amp;IF(N($K240)&lt;=0,"Thiếu giá bán; ","")&amp;IF(AND($N240&gt;0,$F240=""),"Khách lấy VAT thiếu mã số thuế; ","")&amp;IF(N($Q240)&gt;$P240,"Đã thu vượt tổng phải thu; ","")&amp;IF(AND($L240&gt;0,$U240&lt;0),"CẢNH BÁO: ĐƠN NÀY ĐANG LỖ; ","")))</f>
        <v/>
      </c>
      <c r="Y240" s="16" t="str">
        <f aca="false">IF(AND($C240&lt;&gt;"",$R240&gt;0),COUNTIFS($C$6:$C240,"&lt;&gt;",$R$6:$R240,"&gt;0"),"")</f>
        <v/>
      </c>
      <c r="Z240" s="16" t="str">
        <f aca="false">IF(AND($H240&lt;&gt;"",N($N240)&gt;0),COUNTIFS($H$6:$H240,"&lt;&gt;",$N$6:$N240,"&gt;0"),"")</f>
        <v/>
      </c>
      <c r="AA240" s="16" t="str">
        <f aca="false">IF(AND($H240&lt;&gt;"",N($N240)=0),COUNTIFS($H$6:$H240,"&lt;&gt;",$N$6:$N240,"&lt;=0"),"")</f>
        <v/>
      </c>
      <c r="AB240" s="16" t="str">
        <f aca="false">IF($C240="","",IF(COUNTIF($C$6:$C240,$C240)&gt;1,"",MAX($AB$5:AB239)+1))</f>
        <v/>
      </c>
      <c r="AC240" s="16" t="str">
        <f aca="false">IF($H240="","",IF(COUNTIF($H$6:$H240,$H240)&gt;1,"",MAX($AC$5:AC239)+1))</f>
        <v/>
      </c>
    </row>
    <row r="241" customFormat="false" ht="15" hidden="false" customHeight="false" outlineLevel="0" collapsed="false">
      <c r="A241" s="16" t="str">
        <f aca="false">IF($C241="","",COUNTA($C$6:$C241))</f>
        <v/>
      </c>
      <c r="B241" s="17"/>
      <c r="C241" s="8"/>
      <c r="D241" s="8"/>
      <c r="E241" s="8"/>
      <c r="F241" s="8"/>
      <c r="G241" s="8"/>
      <c r="H241" s="8"/>
      <c r="I241" s="9"/>
      <c r="J241" s="10" t="str">
        <f aca="false">IF($H241="","",IFERROR(VLOOKUP($H241,'BẢNG GIÁ GỐC'!$A$5:$D$204,3,FALSE()),""))</f>
        <v/>
      </c>
      <c r="K241" s="9"/>
      <c r="L241" s="10" t="str">
        <f aca="false">IF($C241="","",N($I241)*N($K241))</f>
        <v/>
      </c>
      <c r="M241" s="8"/>
      <c r="N241" s="11" t="str">
        <f aca="false">IF($C241="","",IF($M241="VAT 5%",0.05,IF($M241="VAT 8%",0.08,IF($M241="VAT 10%",0.1,0))))</f>
        <v/>
      </c>
      <c r="O241" s="10" t="str">
        <f aca="false">IF($C241="","",$L241*$N241)</f>
        <v/>
      </c>
      <c r="P241" s="10" t="str">
        <f aca="false">IF($C241="","",$L241+$O241)</f>
        <v/>
      </c>
      <c r="Q241" s="9"/>
      <c r="R241" s="10" t="str">
        <f aca="false">IF($C241="","",MAX(0,$P241-N($Q241)))</f>
        <v/>
      </c>
      <c r="S241" s="19" t="str">
        <f aca="false">IF(OR($C241="",$P241=0),"",IF(N($Q241)&lt;=0,"Chưa thanh toán",IF(N($Q241)&lt;$P241,"Thanh toán một phần","Đã thanh toán")))</f>
        <v/>
      </c>
      <c r="T241" s="10" t="str">
        <f aca="false">IF(OR($C241="",$J241=""),"",N($I241)*$J241)</f>
        <v/>
      </c>
      <c r="U241" s="10" t="str">
        <f aca="false">IF(OR($C241="",$T241=""),"",$L241-$T241)</f>
        <v/>
      </c>
      <c r="V241" s="11" t="str">
        <f aca="false">IF(OR($U241="",$L241=0),"",$U241/$L241)</f>
        <v/>
      </c>
      <c r="W241" s="8"/>
      <c r="X241" s="19" t="str">
        <f aca="false">IF($C241="","",IF(AND($H241="",N($I241)=0,N($K241)=0),"Dòng chỉ lưu thông tin khách (chưa có đơn); ",IF($B241="","Thiếu ngày đặt; ","")&amp;IF($H241="","Thiếu tên sản phẩm; ",IF($J241="","Sản phẩm chưa có trong BẢNG GIÁ GỐC; ",""))&amp;IF(N($I241)&lt;=0,"Thiếu số lượng; ","")&amp;IF(N($K241)&lt;=0,"Thiếu giá bán; ","")&amp;IF(AND($N241&gt;0,$F241=""),"Khách lấy VAT thiếu mã số thuế; ","")&amp;IF(N($Q241)&gt;$P241,"Đã thu vượt tổng phải thu; ","")&amp;IF(AND($L241&gt;0,$U241&lt;0),"CẢNH BÁO: ĐƠN NÀY ĐANG LỖ; ","")))</f>
        <v/>
      </c>
      <c r="Y241" s="16" t="str">
        <f aca="false">IF(AND($C241&lt;&gt;"",$R241&gt;0),COUNTIFS($C$6:$C241,"&lt;&gt;",$R$6:$R241,"&gt;0"),"")</f>
        <v/>
      </c>
      <c r="Z241" s="16" t="str">
        <f aca="false">IF(AND($H241&lt;&gt;"",N($N241)&gt;0),COUNTIFS($H$6:$H241,"&lt;&gt;",$N$6:$N241,"&gt;0"),"")</f>
        <v/>
      </c>
      <c r="AA241" s="16" t="str">
        <f aca="false">IF(AND($H241&lt;&gt;"",N($N241)=0),COUNTIFS($H$6:$H241,"&lt;&gt;",$N$6:$N241,"&lt;=0"),"")</f>
        <v/>
      </c>
      <c r="AB241" s="16" t="str">
        <f aca="false">IF($C241="","",IF(COUNTIF($C$6:$C241,$C241)&gt;1,"",MAX($AB$5:AB240)+1))</f>
        <v/>
      </c>
      <c r="AC241" s="16" t="str">
        <f aca="false">IF($H241="","",IF(COUNTIF($H$6:$H241,$H241)&gt;1,"",MAX($AC$5:AC240)+1))</f>
        <v/>
      </c>
    </row>
    <row r="242" customFormat="false" ht="15" hidden="false" customHeight="false" outlineLevel="0" collapsed="false">
      <c r="A242" s="16" t="str">
        <f aca="false">IF($C242="","",COUNTA($C$6:$C242))</f>
        <v/>
      </c>
      <c r="B242" s="17"/>
      <c r="C242" s="8"/>
      <c r="D242" s="8"/>
      <c r="E242" s="8"/>
      <c r="F242" s="8"/>
      <c r="G242" s="8"/>
      <c r="H242" s="8"/>
      <c r="I242" s="9"/>
      <c r="J242" s="10" t="str">
        <f aca="false">IF($H242="","",IFERROR(VLOOKUP($H242,'BẢNG GIÁ GỐC'!$A$5:$D$204,3,FALSE()),""))</f>
        <v/>
      </c>
      <c r="K242" s="9"/>
      <c r="L242" s="10" t="str">
        <f aca="false">IF($C242="","",N($I242)*N($K242))</f>
        <v/>
      </c>
      <c r="M242" s="8"/>
      <c r="N242" s="11" t="str">
        <f aca="false">IF($C242="","",IF($M242="VAT 5%",0.05,IF($M242="VAT 8%",0.08,IF($M242="VAT 10%",0.1,0))))</f>
        <v/>
      </c>
      <c r="O242" s="10" t="str">
        <f aca="false">IF($C242="","",$L242*$N242)</f>
        <v/>
      </c>
      <c r="P242" s="10" t="str">
        <f aca="false">IF($C242="","",$L242+$O242)</f>
        <v/>
      </c>
      <c r="Q242" s="9"/>
      <c r="R242" s="10" t="str">
        <f aca="false">IF($C242="","",MAX(0,$P242-N($Q242)))</f>
        <v/>
      </c>
      <c r="S242" s="19" t="str">
        <f aca="false">IF(OR($C242="",$P242=0),"",IF(N($Q242)&lt;=0,"Chưa thanh toán",IF(N($Q242)&lt;$P242,"Thanh toán một phần","Đã thanh toán")))</f>
        <v/>
      </c>
      <c r="T242" s="10" t="str">
        <f aca="false">IF(OR($C242="",$J242=""),"",N($I242)*$J242)</f>
        <v/>
      </c>
      <c r="U242" s="10" t="str">
        <f aca="false">IF(OR($C242="",$T242=""),"",$L242-$T242)</f>
        <v/>
      </c>
      <c r="V242" s="11" t="str">
        <f aca="false">IF(OR($U242="",$L242=0),"",$U242/$L242)</f>
        <v/>
      </c>
      <c r="W242" s="8"/>
      <c r="X242" s="19" t="str">
        <f aca="false">IF($C242="","",IF(AND($H242="",N($I242)=0,N($K242)=0),"Dòng chỉ lưu thông tin khách (chưa có đơn); ",IF($B242="","Thiếu ngày đặt; ","")&amp;IF($H242="","Thiếu tên sản phẩm; ",IF($J242="","Sản phẩm chưa có trong BẢNG GIÁ GỐC; ",""))&amp;IF(N($I242)&lt;=0,"Thiếu số lượng; ","")&amp;IF(N($K242)&lt;=0,"Thiếu giá bán; ","")&amp;IF(AND($N242&gt;0,$F242=""),"Khách lấy VAT thiếu mã số thuế; ","")&amp;IF(N($Q242)&gt;$P242,"Đã thu vượt tổng phải thu; ","")&amp;IF(AND($L242&gt;0,$U242&lt;0),"CẢNH BÁO: ĐƠN NÀY ĐANG LỖ; ","")))</f>
        <v/>
      </c>
      <c r="Y242" s="16" t="str">
        <f aca="false">IF(AND($C242&lt;&gt;"",$R242&gt;0),COUNTIFS($C$6:$C242,"&lt;&gt;",$R$6:$R242,"&gt;0"),"")</f>
        <v/>
      </c>
      <c r="Z242" s="16" t="str">
        <f aca="false">IF(AND($H242&lt;&gt;"",N($N242)&gt;0),COUNTIFS($H$6:$H242,"&lt;&gt;",$N$6:$N242,"&gt;0"),"")</f>
        <v/>
      </c>
      <c r="AA242" s="16" t="str">
        <f aca="false">IF(AND($H242&lt;&gt;"",N($N242)=0),COUNTIFS($H$6:$H242,"&lt;&gt;",$N$6:$N242,"&lt;=0"),"")</f>
        <v/>
      </c>
      <c r="AB242" s="16" t="str">
        <f aca="false">IF($C242="","",IF(COUNTIF($C$6:$C242,$C242)&gt;1,"",MAX($AB$5:AB241)+1))</f>
        <v/>
      </c>
      <c r="AC242" s="16" t="str">
        <f aca="false">IF($H242="","",IF(COUNTIF($H$6:$H242,$H242)&gt;1,"",MAX($AC$5:AC241)+1))</f>
        <v/>
      </c>
    </row>
    <row r="243" customFormat="false" ht="15" hidden="false" customHeight="false" outlineLevel="0" collapsed="false">
      <c r="A243" s="16" t="str">
        <f aca="false">IF($C243="","",COUNTA($C$6:$C243))</f>
        <v/>
      </c>
      <c r="B243" s="17"/>
      <c r="C243" s="8"/>
      <c r="D243" s="8"/>
      <c r="E243" s="8"/>
      <c r="F243" s="8"/>
      <c r="G243" s="8"/>
      <c r="H243" s="8"/>
      <c r="I243" s="9"/>
      <c r="J243" s="10" t="str">
        <f aca="false">IF($H243="","",IFERROR(VLOOKUP($H243,'BẢNG GIÁ GỐC'!$A$5:$D$204,3,FALSE()),""))</f>
        <v/>
      </c>
      <c r="K243" s="9"/>
      <c r="L243" s="10" t="str">
        <f aca="false">IF($C243="","",N($I243)*N($K243))</f>
        <v/>
      </c>
      <c r="M243" s="8"/>
      <c r="N243" s="11" t="str">
        <f aca="false">IF($C243="","",IF($M243="VAT 5%",0.05,IF($M243="VAT 8%",0.08,IF($M243="VAT 10%",0.1,0))))</f>
        <v/>
      </c>
      <c r="O243" s="10" t="str">
        <f aca="false">IF($C243="","",$L243*$N243)</f>
        <v/>
      </c>
      <c r="P243" s="10" t="str">
        <f aca="false">IF($C243="","",$L243+$O243)</f>
        <v/>
      </c>
      <c r="Q243" s="9"/>
      <c r="R243" s="10" t="str">
        <f aca="false">IF($C243="","",MAX(0,$P243-N($Q243)))</f>
        <v/>
      </c>
      <c r="S243" s="19" t="str">
        <f aca="false">IF(OR($C243="",$P243=0),"",IF(N($Q243)&lt;=0,"Chưa thanh toán",IF(N($Q243)&lt;$P243,"Thanh toán một phần","Đã thanh toán")))</f>
        <v/>
      </c>
      <c r="T243" s="10" t="str">
        <f aca="false">IF(OR($C243="",$J243=""),"",N($I243)*$J243)</f>
        <v/>
      </c>
      <c r="U243" s="10" t="str">
        <f aca="false">IF(OR($C243="",$T243=""),"",$L243-$T243)</f>
        <v/>
      </c>
      <c r="V243" s="11" t="str">
        <f aca="false">IF(OR($U243="",$L243=0),"",$U243/$L243)</f>
        <v/>
      </c>
      <c r="W243" s="8"/>
      <c r="X243" s="19" t="str">
        <f aca="false">IF($C243="","",IF(AND($H243="",N($I243)=0,N($K243)=0),"Dòng chỉ lưu thông tin khách (chưa có đơn); ",IF($B243="","Thiếu ngày đặt; ","")&amp;IF($H243="","Thiếu tên sản phẩm; ",IF($J243="","Sản phẩm chưa có trong BẢNG GIÁ GỐC; ",""))&amp;IF(N($I243)&lt;=0,"Thiếu số lượng; ","")&amp;IF(N($K243)&lt;=0,"Thiếu giá bán; ","")&amp;IF(AND($N243&gt;0,$F243=""),"Khách lấy VAT thiếu mã số thuế; ","")&amp;IF(N($Q243)&gt;$P243,"Đã thu vượt tổng phải thu; ","")&amp;IF(AND($L243&gt;0,$U243&lt;0),"CẢNH BÁO: ĐƠN NÀY ĐANG LỖ; ","")))</f>
        <v/>
      </c>
      <c r="Y243" s="16" t="str">
        <f aca="false">IF(AND($C243&lt;&gt;"",$R243&gt;0),COUNTIFS($C$6:$C243,"&lt;&gt;",$R$6:$R243,"&gt;0"),"")</f>
        <v/>
      </c>
      <c r="Z243" s="16" t="str">
        <f aca="false">IF(AND($H243&lt;&gt;"",N($N243)&gt;0),COUNTIFS($H$6:$H243,"&lt;&gt;",$N$6:$N243,"&gt;0"),"")</f>
        <v/>
      </c>
      <c r="AA243" s="16" t="str">
        <f aca="false">IF(AND($H243&lt;&gt;"",N($N243)=0),COUNTIFS($H$6:$H243,"&lt;&gt;",$N$6:$N243,"&lt;=0"),"")</f>
        <v/>
      </c>
      <c r="AB243" s="16" t="str">
        <f aca="false">IF($C243="","",IF(COUNTIF($C$6:$C243,$C243)&gt;1,"",MAX($AB$5:AB242)+1))</f>
        <v/>
      </c>
      <c r="AC243" s="16" t="str">
        <f aca="false">IF($H243="","",IF(COUNTIF($H$6:$H243,$H243)&gt;1,"",MAX($AC$5:AC242)+1))</f>
        <v/>
      </c>
    </row>
    <row r="244" customFormat="false" ht="15" hidden="false" customHeight="false" outlineLevel="0" collapsed="false">
      <c r="A244" s="16" t="str">
        <f aca="false">IF($C244="","",COUNTA($C$6:$C244))</f>
        <v/>
      </c>
      <c r="B244" s="17"/>
      <c r="C244" s="8"/>
      <c r="D244" s="8"/>
      <c r="E244" s="8"/>
      <c r="F244" s="8"/>
      <c r="G244" s="8"/>
      <c r="H244" s="8"/>
      <c r="I244" s="9"/>
      <c r="J244" s="10" t="str">
        <f aca="false">IF($H244="","",IFERROR(VLOOKUP($H244,'BẢNG GIÁ GỐC'!$A$5:$D$204,3,FALSE()),""))</f>
        <v/>
      </c>
      <c r="K244" s="9"/>
      <c r="L244" s="10" t="str">
        <f aca="false">IF($C244="","",N($I244)*N($K244))</f>
        <v/>
      </c>
      <c r="M244" s="8"/>
      <c r="N244" s="11" t="str">
        <f aca="false">IF($C244="","",IF($M244="VAT 5%",0.05,IF($M244="VAT 8%",0.08,IF($M244="VAT 10%",0.1,0))))</f>
        <v/>
      </c>
      <c r="O244" s="10" t="str">
        <f aca="false">IF($C244="","",$L244*$N244)</f>
        <v/>
      </c>
      <c r="P244" s="10" t="str">
        <f aca="false">IF($C244="","",$L244+$O244)</f>
        <v/>
      </c>
      <c r="Q244" s="9"/>
      <c r="R244" s="10" t="str">
        <f aca="false">IF($C244="","",MAX(0,$P244-N($Q244)))</f>
        <v/>
      </c>
      <c r="S244" s="19" t="str">
        <f aca="false">IF(OR($C244="",$P244=0),"",IF(N($Q244)&lt;=0,"Chưa thanh toán",IF(N($Q244)&lt;$P244,"Thanh toán một phần","Đã thanh toán")))</f>
        <v/>
      </c>
      <c r="T244" s="10" t="str">
        <f aca="false">IF(OR($C244="",$J244=""),"",N($I244)*$J244)</f>
        <v/>
      </c>
      <c r="U244" s="10" t="str">
        <f aca="false">IF(OR($C244="",$T244=""),"",$L244-$T244)</f>
        <v/>
      </c>
      <c r="V244" s="11" t="str">
        <f aca="false">IF(OR($U244="",$L244=0),"",$U244/$L244)</f>
        <v/>
      </c>
      <c r="W244" s="8"/>
      <c r="X244" s="19" t="str">
        <f aca="false">IF($C244="","",IF(AND($H244="",N($I244)=0,N($K244)=0),"Dòng chỉ lưu thông tin khách (chưa có đơn); ",IF($B244="","Thiếu ngày đặt; ","")&amp;IF($H244="","Thiếu tên sản phẩm; ",IF($J244="","Sản phẩm chưa có trong BẢNG GIÁ GỐC; ",""))&amp;IF(N($I244)&lt;=0,"Thiếu số lượng; ","")&amp;IF(N($K244)&lt;=0,"Thiếu giá bán; ","")&amp;IF(AND($N244&gt;0,$F244=""),"Khách lấy VAT thiếu mã số thuế; ","")&amp;IF(N($Q244)&gt;$P244,"Đã thu vượt tổng phải thu; ","")&amp;IF(AND($L244&gt;0,$U244&lt;0),"CẢNH BÁO: ĐƠN NÀY ĐANG LỖ; ","")))</f>
        <v/>
      </c>
      <c r="Y244" s="16" t="str">
        <f aca="false">IF(AND($C244&lt;&gt;"",$R244&gt;0),COUNTIFS($C$6:$C244,"&lt;&gt;",$R$6:$R244,"&gt;0"),"")</f>
        <v/>
      </c>
      <c r="Z244" s="16" t="str">
        <f aca="false">IF(AND($H244&lt;&gt;"",N($N244)&gt;0),COUNTIFS($H$6:$H244,"&lt;&gt;",$N$6:$N244,"&gt;0"),"")</f>
        <v/>
      </c>
      <c r="AA244" s="16" t="str">
        <f aca="false">IF(AND($H244&lt;&gt;"",N($N244)=0),COUNTIFS($H$6:$H244,"&lt;&gt;",$N$6:$N244,"&lt;=0"),"")</f>
        <v/>
      </c>
      <c r="AB244" s="16" t="str">
        <f aca="false">IF($C244="","",IF(COUNTIF($C$6:$C244,$C244)&gt;1,"",MAX($AB$5:AB243)+1))</f>
        <v/>
      </c>
      <c r="AC244" s="16" t="str">
        <f aca="false">IF($H244="","",IF(COUNTIF($H$6:$H244,$H244)&gt;1,"",MAX($AC$5:AC243)+1))</f>
        <v/>
      </c>
    </row>
    <row r="245" customFormat="false" ht="15" hidden="false" customHeight="false" outlineLevel="0" collapsed="false">
      <c r="A245" s="16" t="str">
        <f aca="false">IF($C245="","",COUNTA($C$6:$C245))</f>
        <v/>
      </c>
      <c r="B245" s="17"/>
      <c r="C245" s="8"/>
      <c r="D245" s="8"/>
      <c r="E245" s="8"/>
      <c r="F245" s="8"/>
      <c r="G245" s="8"/>
      <c r="H245" s="8"/>
      <c r="I245" s="9"/>
      <c r="J245" s="10" t="str">
        <f aca="false">IF($H245="","",IFERROR(VLOOKUP($H245,'BẢNG GIÁ GỐC'!$A$5:$D$204,3,FALSE()),""))</f>
        <v/>
      </c>
      <c r="K245" s="9"/>
      <c r="L245" s="10" t="str">
        <f aca="false">IF($C245="","",N($I245)*N($K245))</f>
        <v/>
      </c>
      <c r="M245" s="8"/>
      <c r="N245" s="11" t="str">
        <f aca="false">IF($C245="","",IF($M245="VAT 5%",0.05,IF($M245="VAT 8%",0.08,IF($M245="VAT 10%",0.1,0))))</f>
        <v/>
      </c>
      <c r="O245" s="10" t="str">
        <f aca="false">IF($C245="","",$L245*$N245)</f>
        <v/>
      </c>
      <c r="P245" s="10" t="str">
        <f aca="false">IF($C245="","",$L245+$O245)</f>
        <v/>
      </c>
      <c r="Q245" s="9"/>
      <c r="R245" s="10" t="str">
        <f aca="false">IF($C245="","",MAX(0,$P245-N($Q245)))</f>
        <v/>
      </c>
      <c r="S245" s="19" t="str">
        <f aca="false">IF(OR($C245="",$P245=0),"",IF(N($Q245)&lt;=0,"Chưa thanh toán",IF(N($Q245)&lt;$P245,"Thanh toán một phần","Đã thanh toán")))</f>
        <v/>
      </c>
      <c r="T245" s="10" t="str">
        <f aca="false">IF(OR($C245="",$J245=""),"",N($I245)*$J245)</f>
        <v/>
      </c>
      <c r="U245" s="10" t="str">
        <f aca="false">IF(OR($C245="",$T245=""),"",$L245-$T245)</f>
        <v/>
      </c>
      <c r="V245" s="11" t="str">
        <f aca="false">IF(OR($U245="",$L245=0),"",$U245/$L245)</f>
        <v/>
      </c>
      <c r="W245" s="8"/>
      <c r="X245" s="19" t="str">
        <f aca="false">IF($C245="","",IF(AND($H245="",N($I245)=0,N($K245)=0),"Dòng chỉ lưu thông tin khách (chưa có đơn); ",IF($B245="","Thiếu ngày đặt; ","")&amp;IF($H245="","Thiếu tên sản phẩm; ",IF($J245="","Sản phẩm chưa có trong BẢNG GIÁ GỐC; ",""))&amp;IF(N($I245)&lt;=0,"Thiếu số lượng; ","")&amp;IF(N($K245)&lt;=0,"Thiếu giá bán; ","")&amp;IF(AND($N245&gt;0,$F245=""),"Khách lấy VAT thiếu mã số thuế; ","")&amp;IF(N($Q245)&gt;$P245,"Đã thu vượt tổng phải thu; ","")&amp;IF(AND($L245&gt;0,$U245&lt;0),"CẢNH BÁO: ĐƠN NÀY ĐANG LỖ; ","")))</f>
        <v/>
      </c>
      <c r="Y245" s="16" t="str">
        <f aca="false">IF(AND($C245&lt;&gt;"",$R245&gt;0),COUNTIFS($C$6:$C245,"&lt;&gt;",$R$6:$R245,"&gt;0"),"")</f>
        <v/>
      </c>
      <c r="Z245" s="16" t="str">
        <f aca="false">IF(AND($H245&lt;&gt;"",N($N245)&gt;0),COUNTIFS($H$6:$H245,"&lt;&gt;",$N$6:$N245,"&gt;0"),"")</f>
        <v/>
      </c>
      <c r="AA245" s="16" t="str">
        <f aca="false">IF(AND($H245&lt;&gt;"",N($N245)=0),COUNTIFS($H$6:$H245,"&lt;&gt;",$N$6:$N245,"&lt;=0"),"")</f>
        <v/>
      </c>
      <c r="AB245" s="16" t="str">
        <f aca="false">IF($C245="","",IF(COUNTIF($C$6:$C245,$C245)&gt;1,"",MAX($AB$5:AB244)+1))</f>
        <v/>
      </c>
      <c r="AC245" s="16" t="str">
        <f aca="false">IF($H245="","",IF(COUNTIF($H$6:$H245,$H245)&gt;1,"",MAX($AC$5:AC244)+1))</f>
        <v/>
      </c>
    </row>
    <row r="246" customFormat="false" ht="15" hidden="false" customHeight="false" outlineLevel="0" collapsed="false">
      <c r="A246" s="16" t="str">
        <f aca="false">IF($C246="","",COUNTA($C$6:$C246))</f>
        <v/>
      </c>
      <c r="B246" s="17"/>
      <c r="C246" s="8"/>
      <c r="D246" s="8"/>
      <c r="E246" s="8"/>
      <c r="F246" s="8"/>
      <c r="G246" s="8"/>
      <c r="H246" s="8"/>
      <c r="I246" s="9"/>
      <c r="J246" s="10" t="str">
        <f aca="false">IF($H246="","",IFERROR(VLOOKUP($H246,'BẢNG GIÁ GỐC'!$A$5:$D$204,3,FALSE()),""))</f>
        <v/>
      </c>
      <c r="K246" s="9"/>
      <c r="L246" s="10" t="str">
        <f aca="false">IF($C246="","",N($I246)*N($K246))</f>
        <v/>
      </c>
      <c r="M246" s="8"/>
      <c r="N246" s="11" t="str">
        <f aca="false">IF($C246="","",IF($M246="VAT 5%",0.05,IF($M246="VAT 8%",0.08,IF($M246="VAT 10%",0.1,0))))</f>
        <v/>
      </c>
      <c r="O246" s="10" t="str">
        <f aca="false">IF($C246="","",$L246*$N246)</f>
        <v/>
      </c>
      <c r="P246" s="10" t="str">
        <f aca="false">IF($C246="","",$L246+$O246)</f>
        <v/>
      </c>
      <c r="Q246" s="9"/>
      <c r="R246" s="10" t="str">
        <f aca="false">IF($C246="","",MAX(0,$P246-N($Q246)))</f>
        <v/>
      </c>
      <c r="S246" s="19" t="str">
        <f aca="false">IF(OR($C246="",$P246=0),"",IF(N($Q246)&lt;=0,"Chưa thanh toán",IF(N($Q246)&lt;$P246,"Thanh toán một phần","Đã thanh toán")))</f>
        <v/>
      </c>
      <c r="T246" s="10" t="str">
        <f aca="false">IF(OR($C246="",$J246=""),"",N($I246)*$J246)</f>
        <v/>
      </c>
      <c r="U246" s="10" t="str">
        <f aca="false">IF(OR($C246="",$T246=""),"",$L246-$T246)</f>
        <v/>
      </c>
      <c r="V246" s="11" t="str">
        <f aca="false">IF(OR($U246="",$L246=0),"",$U246/$L246)</f>
        <v/>
      </c>
      <c r="W246" s="8"/>
      <c r="X246" s="19" t="str">
        <f aca="false">IF($C246="","",IF(AND($H246="",N($I246)=0,N($K246)=0),"Dòng chỉ lưu thông tin khách (chưa có đơn); ",IF($B246="","Thiếu ngày đặt; ","")&amp;IF($H246="","Thiếu tên sản phẩm; ",IF($J246="","Sản phẩm chưa có trong BẢNG GIÁ GỐC; ",""))&amp;IF(N($I246)&lt;=0,"Thiếu số lượng; ","")&amp;IF(N($K246)&lt;=0,"Thiếu giá bán; ","")&amp;IF(AND($N246&gt;0,$F246=""),"Khách lấy VAT thiếu mã số thuế; ","")&amp;IF(N($Q246)&gt;$P246,"Đã thu vượt tổng phải thu; ","")&amp;IF(AND($L246&gt;0,$U246&lt;0),"CẢNH BÁO: ĐƠN NÀY ĐANG LỖ; ","")))</f>
        <v/>
      </c>
      <c r="Y246" s="16" t="str">
        <f aca="false">IF(AND($C246&lt;&gt;"",$R246&gt;0),COUNTIFS($C$6:$C246,"&lt;&gt;",$R$6:$R246,"&gt;0"),"")</f>
        <v/>
      </c>
      <c r="Z246" s="16" t="str">
        <f aca="false">IF(AND($H246&lt;&gt;"",N($N246)&gt;0),COUNTIFS($H$6:$H246,"&lt;&gt;",$N$6:$N246,"&gt;0"),"")</f>
        <v/>
      </c>
      <c r="AA246" s="16" t="str">
        <f aca="false">IF(AND($H246&lt;&gt;"",N($N246)=0),COUNTIFS($H$6:$H246,"&lt;&gt;",$N$6:$N246,"&lt;=0"),"")</f>
        <v/>
      </c>
      <c r="AB246" s="16" t="str">
        <f aca="false">IF($C246="","",IF(COUNTIF($C$6:$C246,$C246)&gt;1,"",MAX($AB$5:AB245)+1))</f>
        <v/>
      </c>
      <c r="AC246" s="16" t="str">
        <f aca="false">IF($H246="","",IF(COUNTIF($H$6:$H246,$H246)&gt;1,"",MAX($AC$5:AC245)+1))</f>
        <v/>
      </c>
    </row>
    <row r="247" customFormat="false" ht="15" hidden="false" customHeight="false" outlineLevel="0" collapsed="false">
      <c r="A247" s="16" t="str">
        <f aca="false">IF($C247="","",COUNTA($C$6:$C247))</f>
        <v/>
      </c>
      <c r="B247" s="17"/>
      <c r="C247" s="8"/>
      <c r="D247" s="8"/>
      <c r="E247" s="8"/>
      <c r="F247" s="8"/>
      <c r="G247" s="8"/>
      <c r="H247" s="8"/>
      <c r="I247" s="9"/>
      <c r="J247" s="10" t="str">
        <f aca="false">IF($H247="","",IFERROR(VLOOKUP($H247,'BẢNG GIÁ GỐC'!$A$5:$D$204,3,FALSE()),""))</f>
        <v/>
      </c>
      <c r="K247" s="9"/>
      <c r="L247" s="10" t="str">
        <f aca="false">IF($C247="","",N($I247)*N($K247))</f>
        <v/>
      </c>
      <c r="M247" s="8"/>
      <c r="N247" s="11" t="str">
        <f aca="false">IF($C247="","",IF($M247="VAT 5%",0.05,IF($M247="VAT 8%",0.08,IF($M247="VAT 10%",0.1,0))))</f>
        <v/>
      </c>
      <c r="O247" s="10" t="str">
        <f aca="false">IF($C247="","",$L247*$N247)</f>
        <v/>
      </c>
      <c r="P247" s="10" t="str">
        <f aca="false">IF($C247="","",$L247+$O247)</f>
        <v/>
      </c>
      <c r="Q247" s="9"/>
      <c r="R247" s="10" t="str">
        <f aca="false">IF($C247="","",MAX(0,$P247-N($Q247)))</f>
        <v/>
      </c>
      <c r="S247" s="19" t="str">
        <f aca="false">IF(OR($C247="",$P247=0),"",IF(N($Q247)&lt;=0,"Chưa thanh toán",IF(N($Q247)&lt;$P247,"Thanh toán một phần","Đã thanh toán")))</f>
        <v/>
      </c>
      <c r="T247" s="10" t="str">
        <f aca="false">IF(OR($C247="",$J247=""),"",N($I247)*$J247)</f>
        <v/>
      </c>
      <c r="U247" s="10" t="str">
        <f aca="false">IF(OR($C247="",$T247=""),"",$L247-$T247)</f>
        <v/>
      </c>
      <c r="V247" s="11" t="str">
        <f aca="false">IF(OR($U247="",$L247=0),"",$U247/$L247)</f>
        <v/>
      </c>
      <c r="W247" s="8"/>
      <c r="X247" s="19" t="str">
        <f aca="false">IF($C247="","",IF(AND($H247="",N($I247)=0,N($K247)=0),"Dòng chỉ lưu thông tin khách (chưa có đơn); ",IF($B247="","Thiếu ngày đặt; ","")&amp;IF($H247="","Thiếu tên sản phẩm; ",IF($J247="","Sản phẩm chưa có trong BẢNG GIÁ GỐC; ",""))&amp;IF(N($I247)&lt;=0,"Thiếu số lượng; ","")&amp;IF(N($K247)&lt;=0,"Thiếu giá bán; ","")&amp;IF(AND($N247&gt;0,$F247=""),"Khách lấy VAT thiếu mã số thuế; ","")&amp;IF(N($Q247)&gt;$P247,"Đã thu vượt tổng phải thu; ","")&amp;IF(AND($L247&gt;0,$U247&lt;0),"CẢNH BÁO: ĐƠN NÀY ĐANG LỖ; ","")))</f>
        <v/>
      </c>
      <c r="Y247" s="16" t="str">
        <f aca="false">IF(AND($C247&lt;&gt;"",$R247&gt;0),COUNTIFS($C$6:$C247,"&lt;&gt;",$R$6:$R247,"&gt;0"),"")</f>
        <v/>
      </c>
      <c r="Z247" s="16" t="str">
        <f aca="false">IF(AND($H247&lt;&gt;"",N($N247)&gt;0),COUNTIFS($H$6:$H247,"&lt;&gt;",$N$6:$N247,"&gt;0"),"")</f>
        <v/>
      </c>
      <c r="AA247" s="16" t="str">
        <f aca="false">IF(AND($H247&lt;&gt;"",N($N247)=0),COUNTIFS($H$6:$H247,"&lt;&gt;",$N$6:$N247,"&lt;=0"),"")</f>
        <v/>
      </c>
      <c r="AB247" s="16" t="str">
        <f aca="false">IF($C247="","",IF(COUNTIF($C$6:$C247,$C247)&gt;1,"",MAX($AB$5:AB246)+1))</f>
        <v/>
      </c>
      <c r="AC247" s="16" t="str">
        <f aca="false">IF($H247="","",IF(COUNTIF($H$6:$H247,$H247)&gt;1,"",MAX($AC$5:AC246)+1))</f>
        <v/>
      </c>
    </row>
    <row r="248" customFormat="false" ht="15" hidden="false" customHeight="false" outlineLevel="0" collapsed="false">
      <c r="A248" s="16" t="str">
        <f aca="false">IF($C248="","",COUNTA($C$6:$C248))</f>
        <v/>
      </c>
      <c r="B248" s="17"/>
      <c r="C248" s="8"/>
      <c r="D248" s="8"/>
      <c r="E248" s="8"/>
      <c r="F248" s="8"/>
      <c r="G248" s="8"/>
      <c r="H248" s="8"/>
      <c r="I248" s="9"/>
      <c r="J248" s="10" t="str">
        <f aca="false">IF($H248="","",IFERROR(VLOOKUP($H248,'BẢNG GIÁ GỐC'!$A$5:$D$204,3,FALSE()),""))</f>
        <v/>
      </c>
      <c r="K248" s="9"/>
      <c r="L248" s="10" t="str">
        <f aca="false">IF($C248="","",N($I248)*N($K248))</f>
        <v/>
      </c>
      <c r="M248" s="8"/>
      <c r="N248" s="11" t="str">
        <f aca="false">IF($C248="","",IF($M248="VAT 5%",0.05,IF($M248="VAT 8%",0.08,IF($M248="VAT 10%",0.1,0))))</f>
        <v/>
      </c>
      <c r="O248" s="10" t="str">
        <f aca="false">IF($C248="","",$L248*$N248)</f>
        <v/>
      </c>
      <c r="P248" s="10" t="str">
        <f aca="false">IF($C248="","",$L248+$O248)</f>
        <v/>
      </c>
      <c r="Q248" s="9"/>
      <c r="R248" s="10" t="str">
        <f aca="false">IF($C248="","",MAX(0,$P248-N($Q248)))</f>
        <v/>
      </c>
      <c r="S248" s="19" t="str">
        <f aca="false">IF(OR($C248="",$P248=0),"",IF(N($Q248)&lt;=0,"Chưa thanh toán",IF(N($Q248)&lt;$P248,"Thanh toán một phần","Đã thanh toán")))</f>
        <v/>
      </c>
      <c r="T248" s="10" t="str">
        <f aca="false">IF(OR($C248="",$J248=""),"",N($I248)*$J248)</f>
        <v/>
      </c>
      <c r="U248" s="10" t="str">
        <f aca="false">IF(OR($C248="",$T248=""),"",$L248-$T248)</f>
        <v/>
      </c>
      <c r="V248" s="11" t="str">
        <f aca="false">IF(OR($U248="",$L248=0),"",$U248/$L248)</f>
        <v/>
      </c>
      <c r="W248" s="8"/>
      <c r="X248" s="19" t="str">
        <f aca="false">IF($C248="","",IF(AND($H248="",N($I248)=0,N($K248)=0),"Dòng chỉ lưu thông tin khách (chưa có đơn); ",IF($B248="","Thiếu ngày đặt; ","")&amp;IF($H248="","Thiếu tên sản phẩm; ",IF($J248="","Sản phẩm chưa có trong BẢNG GIÁ GỐC; ",""))&amp;IF(N($I248)&lt;=0,"Thiếu số lượng; ","")&amp;IF(N($K248)&lt;=0,"Thiếu giá bán; ","")&amp;IF(AND($N248&gt;0,$F248=""),"Khách lấy VAT thiếu mã số thuế; ","")&amp;IF(N($Q248)&gt;$P248,"Đã thu vượt tổng phải thu; ","")&amp;IF(AND($L248&gt;0,$U248&lt;0),"CẢNH BÁO: ĐƠN NÀY ĐANG LỖ; ","")))</f>
        <v/>
      </c>
      <c r="Y248" s="16" t="str">
        <f aca="false">IF(AND($C248&lt;&gt;"",$R248&gt;0),COUNTIFS($C$6:$C248,"&lt;&gt;",$R$6:$R248,"&gt;0"),"")</f>
        <v/>
      </c>
      <c r="Z248" s="16" t="str">
        <f aca="false">IF(AND($H248&lt;&gt;"",N($N248)&gt;0),COUNTIFS($H$6:$H248,"&lt;&gt;",$N$6:$N248,"&gt;0"),"")</f>
        <v/>
      </c>
      <c r="AA248" s="16" t="str">
        <f aca="false">IF(AND($H248&lt;&gt;"",N($N248)=0),COUNTIFS($H$6:$H248,"&lt;&gt;",$N$6:$N248,"&lt;=0"),"")</f>
        <v/>
      </c>
      <c r="AB248" s="16" t="str">
        <f aca="false">IF($C248="","",IF(COUNTIF($C$6:$C248,$C248)&gt;1,"",MAX($AB$5:AB247)+1))</f>
        <v/>
      </c>
      <c r="AC248" s="16" t="str">
        <f aca="false">IF($H248="","",IF(COUNTIF($H$6:$H248,$H248)&gt;1,"",MAX($AC$5:AC247)+1))</f>
        <v/>
      </c>
    </row>
    <row r="249" customFormat="false" ht="15" hidden="false" customHeight="false" outlineLevel="0" collapsed="false">
      <c r="A249" s="16" t="str">
        <f aca="false">IF($C249="","",COUNTA($C$6:$C249))</f>
        <v/>
      </c>
      <c r="B249" s="17"/>
      <c r="C249" s="8"/>
      <c r="D249" s="8"/>
      <c r="E249" s="8"/>
      <c r="F249" s="8"/>
      <c r="G249" s="8"/>
      <c r="H249" s="8"/>
      <c r="I249" s="9"/>
      <c r="J249" s="10" t="str">
        <f aca="false">IF($H249="","",IFERROR(VLOOKUP($H249,'BẢNG GIÁ GỐC'!$A$5:$D$204,3,FALSE()),""))</f>
        <v/>
      </c>
      <c r="K249" s="9"/>
      <c r="L249" s="10" t="str">
        <f aca="false">IF($C249="","",N($I249)*N($K249))</f>
        <v/>
      </c>
      <c r="M249" s="8"/>
      <c r="N249" s="11" t="str">
        <f aca="false">IF($C249="","",IF($M249="VAT 5%",0.05,IF($M249="VAT 8%",0.08,IF($M249="VAT 10%",0.1,0))))</f>
        <v/>
      </c>
      <c r="O249" s="10" t="str">
        <f aca="false">IF($C249="","",$L249*$N249)</f>
        <v/>
      </c>
      <c r="P249" s="10" t="str">
        <f aca="false">IF($C249="","",$L249+$O249)</f>
        <v/>
      </c>
      <c r="Q249" s="9"/>
      <c r="R249" s="10" t="str">
        <f aca="false">IF($C249="","",MAX(0,$P249-N($Q249)))</f>
        <v/>
      </c>
      <c r="S249" s="19" t="str">
        <f aca="false">IF(OR($C249="",$P249=0),"",IF(N($Q249)&lt;=0,"Chưa thanh toán",IF(N($Q249)&lt;$P249,"Thanh toán một phần","Đã thanh toán")))</f>
        <v/>
      </c>
      <c r="T249" s="10" t="str">
        <f aca="false">IF(OR($C249="",$J249=""),"",N($I249)*$J249)</f>
        <v/>
      </c>
      <c r="U249" s="10" t="str">
        <f aca="false">IF(OR($C249="",$T249=""),"",$L249-$T249)</f>
        <v/>
      </c>
      <c r="V249" s="11" t="str">
        <f aca="false">IF(OR($U249="",$L249=0),"",$U249/$L249)</f>
        <v/>
      </c>
      <c r="W249" s="8"/>
      <c r="X249" s="19" t="str">
        <f aca="false">IF($C249="","",IF(AND($H249="",N($I249)=0,N($K249)=0),"Dòng chỉ lưu thông tin khách (chưa có đơn); ",IF($B249="","Thiếu ngày đặt; ","")&amp;IF($H249="","Thiếu tên sản phẩm; ",IF($J249="","Sản phẩm chưa có trong BẢNG GIÁ GỐC; ",""))&amp;IF(N($I249)&lt;=0,"Thiếu số lượng; ","")&amp;IF(N($K249)&lt;=0,"Thiếu giá bán; ","")&amp;IF(AND($N249&gt;0,$F249=""),"Khách lấy VAT thiếu mã số thuế; ","")&amp;IF(N($Q249)&gt;$P249,"Đã thu vượt tổng phải thu; ","")&amp;IF(AND($L249&gt;0,$U249&lt;0),"CẢNH BÁO: ĐƠN NÀY ĐANG LỖ; ","")))</f>
        <v/>
      </c>
      <c r="Y249" s="16" t="str">
        <f aca="false">IF(AND($C249&lt;&gt;"",$R249&gt;0),COUNTIFS($C$6:$C249,"&lt;&gt;",$R$6:$R249,"&gt;0"),"")</f>
        <v/>
      </c>
      <c r="Z249" s="16" t="str">
        <f aca="false">IF(AND($H249&lt;&gt;"",N($N249)&gt;0),COUNTIFS($H$6:$H249,"&lt;&gt;",$N$6:$N249,"&gt;0"),"")</f>
        <v/>
      </c>
      <c r="AA249" s="16" t="str">
        <f aca="false">IF(AND($H249&lt;&gt;"",N($N249)=0),COUNTIFS($H$6:$H249,"&lt;&gt;",$N$6:$N249,"&lt;=0"),"")</f>
        <v/>
      </c>
      <c r="AB249" s="16" t="str">
        <f aca="false">IF($C249="","",IF(COUNTIF($C$6:$C249,$C249)&gt;1,"",MAX($AB$5:AB248)+1))</f>
        <v/>
      </c>
      <c r="AC249" s="16" t="str">
        <f aca="false">IF($H249="","",IF(COUNTIF($H$6:$H249,$H249)&gt;1,"",MAX($AC$5:AC248)+1))</f>
        <v/>
      </c>
    </row>
    <row r="250" customFormat="false" ht="15" hidden="false" customHeight="false" outlineLevel="0" collapsed="false">
      <c r="A250" s="16" t="str">
        <f aca="false">IF($C250="","",COUNTA($C$6:$C250))</f>
        <v/>
      </c>
      <c r="B250" s="17"/>
      <c r="C250" s="8"/>
      <c r="D250" s="8"/>
      <c r="E250" s="8"/>
      <c r="F250" s="8"/>
      <c r="G250" s="8"/>
      <c r="H250" s="8"/>
      <c r="I250" s="9"/>
      <c r="J250" s="10" t="str">
        <f aca="false">IF($H250="","",IFERROR(VLOOKUP($H250,'BẢNG GIÁ GỐC'!$A$5:$D$204,3,FALSE()),""))</f>
        <v/>
      </c>
      <c r="K250" s="9"/>
      <c r="L250" s="10" t="str">
        <f aca="false">IF($C250="","",N($I250)*N($K250))</f>
        <v/>
      </c>
      <c r="M250" s="8"/>
      <c r="N250" s="11" t="str">
        <f aca="false">IF($C250="","",IF($M250="VAT 5%",0.05,IF($M250="VAT 8%",0.08,IF($M250="VAT 10%",0.1,0))))</f>
        <v/>
      </c>
      <c r="O250" s="10" t="str">
        <f aca="false">IF($C250="","",$L250*$N250)</f>
        <v/>
      </c>
      <c r="P250" s="10" t="str">
        <f aca="false">IF($C250="","",$L250+$O250)</f>
        <v/>
      </c>
      <c r="Q250" s="9"/>
      <c r="R250" s="10" t="str">
        <f aca="false">IF($C250="","",MAX(0,$P250-N($Q250)))</f>
        <v/>
      </c>
      <c r="S250" s="19" t="str">
        <f aca="false">IF(OR($C250="",$P250=0),"",IF(N($Q250)&lt;=0,"Chưa thanh toán",IF(N($Q250)&lt;$P250,"Thanh toán một phần","Đã thanh toán")))</f>
        <v/>
      </c>
      <c r="T250" s="10" t="str">
        <f aca="false">IF(OR($C250="",$J250=""),"",N($I250)*$J250)</f>
        <v/>
      </c>
      <c r="U250" s="10" t="str">
        <f aca="false">IF(OR($C250="",$T250=""),"",$L250-$T250)</f>
        <v/>
      </c>
      <c r="V250" s="11" t="str">
        <f aca="false">IF(OR($U250="",$L250=0),"",$U250/$L250)</f>
        <v/>
      </c>
      <c r="W250" s="8"/>
      <c r="X250" s="19" t="str">
        <f aca="false">IF($C250="","",IF(AND($H250="",N($I250)=0,N($K250)=0),"Dòng chỉ lưu thông tin khách (chưa có đơn); ",IF($B250="","Thiếu ngày đặt; ","")&amp;IF($H250="","Thiếu tên sản phẩm; ",IF($J250="","Sản phẩm chưa có trong BẢNG GIÁ GỐC; ",""))&amp;IF(N($I250)&lt;=0,"Thiếu số lượng; ","")&amp;IF(N($K250)&lt;=0,"Thiếu giá bán; ","")&amp;IF(AND($N250&gt;0,$F250=""),"Khách lấy VAT thiếu mã số thuế; ","")&amp;IF(N($Q250)&gt;$P250,"Đã thu vượt tổng phải thu; ","")&amp;IF(AND($L250&gt;0,$U250&lt;0),"CẢNH BÁO: ĐƠN NÀY ĐANG LỖ; ","")))</f>
        <v/>
      </c>
      <c r="Y250" s="16" t="str">
        <f aca="false">IF(AND($C250&lt;&gt;"",$R250&gt;0),COUNTIFS($C$6:$C250,"&lt;&gt;",$R$6:$R250,"&gt;0"),"")</f>
        <v/>
      </c>
      <c r="Z250" s="16" t="str">
        <f aca="false">IF(AND($H250&lt;&gt;"",N($N250)&gt;0),COUNTIFS($H$6:$H250,"&lt;&gt;",$N$6:$N250,"&gt;0"),"")</f>
        <v/>
      </c>
      <c r="AA250" s="16" t="str">
        <f aca="false">IF(AND($H250&lt;&gt;"",N($N250)=0),COUNTIFS($H$6:$H250,"&lt;&gt;",$N$6:$N250,"&lt;=0"),"")</f>
        <v/>
      </c>
      <c r="AB250" s="16" t="str">
        <f aca="false">IF($C250="","",IF(COUNTIF($C$6:$C250,$C250)&gt;1,"",MAX($AB$5:AB249)+1))</f>
        <v/>
      </c>
      <c r="AC250" s="16" t="str">
        <f aca="false">IF($H250="","",IF(COUNTIF($H$6:$H250,$H250)&gt;1,"",MAX($AC$5:AC249)+1))</f>
        <v/>
      </c>
    </row>
    <row r="251" customFormat="false" ht="15" hidden="false" customHeight="false" outlineLevel="0" collapsed="false">
      <c r="A251" s="16" t="str">
        <f aca="false">IF($C251="","",COUNTA($C$6:$C251))</f>
        <v/>
      </c>
      <c r="B251" s="17"/>
      <c r="C251" s="8"/>
      <c r="D251" s="8"/>
      <c r="E251" s="8"/>
      <c r="F251" s="8"/>
      <c r="G251" s="8"/>
      <c r="H251" s="8"/>
      <c r="I251" s="9"/>
      <c r="J251" s="10" t="str">
        <f aca="false">IF($H251="","",IFERROR(VLOOKUP($H251,'BẢNG GIÁ GỐC'!$A$5:$D$204,3,FALSE()),""))</f>
        <v/>
      </c>
      <c r="K251" s="9"/>
      <c r="L251" s="10" t="str">
        <f aca="false">IF($C251="","",N($I251)*N($K251))</f>
        <v/>
      </c>
      <c r="M251" s="8"/>
      <c r="N251" s="11" t="str">
        <f aca="false">IF($C251="","",IF($M251="VAT 5%",0.05,IF($M251="VAT 8%",0.08,IF($M251="VAT 10%",0.1,0))))</f>
        <v/>
      </c>
      <c r="O251" s="10" t="str">
        <f aca="false">IF($C251="","",$L251*$N251)</f>
        <v/>
      </c>
      <c r="P251" s="10" t="str">
        <f aca="false">IF($C251="","",$L251+$O251)</f>
        <v/>
      </c>
      <c r="Q251" s="9"/>
      <c r="R251" s="10" t="str">
        <f aca="false">IF($C251="","",MAX(0,$P251-N($Q251)))</f>
        <v/>
      </c>
      <c r="S251" s="19" t="str">
        <f aca="false">IF(OR($C251="",$P251=0),"",IF(N($Q251)&lt;=0,"Chưa thanh toán",IF(N($Q251)&lt;$P251,"Thanh toán một phần","Đã thanh toán")))</f>
        <v/>
      </c>
      <c r="T251" s="10" t="str">
        <f aca="false">IF(OR($C251="",$J251=""),"",N($I251)*$J251)</f>
        <v/>
      </c>
      <c r="U251" s="10" t="str">
        <f aca="false">IF(OR($C251="",$T251=""),"",$L251-$T251)</f>
        <v/>
      </c>
      <c r="V251" s="11" t="str">
        <f aca="false">IF(OR($U251="",$L251=0),"",$U251/$L251)</f>
        <v/>
      </c>
      <c r="W251" s="8"/>
      <c r="X251" s="19" t="str">
        <f aca="false">IF($C251="","",IF(AND($H251="",N($I251)=0,N($K251)=0),"Dòng chỉ lưu thông tin khách (chưa có đơn); ",IF($B251="","Thiếu ngày đặt; ","")&amp;IF($H251="","Thiếu tên sản phẩm; ",IF($J251="","Sản phẩm chưa có trong BẢNG GIÁ GỐC; ",""))&amp;IF(N($I251)&lt;=0,"Thiếu số lượng; ","")&amp;IF(N($K251)&lt;=0,"Thiếu giá bán; ","")&amp;IF(AND($N251&gt;0,$F251=""),"Khách lấy VAT thiếu mã số thuế; ","")&amp;IF(N($Q251)&gt;$P251,"Đã thu vượt tổng phải thu; ","")&amp;IF(AND($L251&gt;0,$U251&lt;0),"CẢNH BÁO: ĐƠN NÀY ĐANG LỖ; ","")))</f>
        <v/>
      </c>
      <c r="Y251" s="16" t="str">
        <f aca="false">IF(AND($C251&lt;&gt;"",$R251&gt;0),COUNTIFS($C$6:$C251,"&lt;&gt;",$R$6:$R251,"&gt;0"),"")</f>
        <v/>
      </c>
      <c r="Z251" s="16" t="str">
        <f aca="false">IF(AND($H251&lt;&gt;"",N($N251)&gt;0),COUNTIFS($H$6:$H251,"&lt;&gt;",$N$6:$N251,"&gt;0"),"")</f>
        <v/>
      </c>
      <c r="AA251" s="16" t="str">
        <f aca="false">IF(AND($H251&lt;&gt;"",N($N251)=0),COUNTIFS($H$6:$H251,"&lt;&gt;",$N$6:$N251,"&lt;=0"),"")</f>
        <v/>
      </c>
      <c r="AB251" s="16" t="str">
        <f aca="false">IF($C251="","",IF(COUNTIF($C$6:$C251,$C251)&gt;1,"",MAX($AB$5:AB250)+1))</f>
        <v/>
      </c>
      <c r="AC251" s="16" t="str">
        <f aca="false">IF($H251="","",IF(COUNTIF($H$6:$H251,$H251)&gt;1,"",MAX($AC$5:AC250)+1))</f>
        <v/>
      </c>
    </row>
    <row r="252" customFormat="false" ht="15" hidden="false" customHeight="false" outlineLevel="0" collapsed="false">
      <c r="A252" s="16" t="str">
        <f aca="false">IF($C252="","",COUNTA($C$6:$C252))</f>
        <v/>
      </c>
      <c r="B252" s="17"/>
      <c r="C252" s="8"/>
      <c r="D252" s="8"/>
      <c r="E252" s="8"/>
      <c r="F252" s="8"/>
      <c r="G252" s="8"/>
      <c r="H252" s="8"/>
      <c r="I252" s="9"/>
      <c r="J252" s="10" t="str">
        <f aca="false">IF($H252="","",IFERROR(VLOOKUP($H252,'BẢNG GIÁ GỐC'!$A$5:$D$204,3,FALSE()),""))</f>
        <v/>
      </c>
      <c r="K252" s="9"/>
      <c r="L252" s="10" t="str">
        <f aca="false">IF($C252="","",N($I252)*N($K252))</f>
        <v/>
      </c>
      <c r="M252" s="8"/>
      <c r="N252" s="11" t="str">
        <f aca="false">IF($C252="","",IF($M252="VAT 5%",0.05,IF($M252="VAT 8%",0.08,IF($M252="VAT 10%",0.1,0))))</f>
        <v/>
      </c>
      <c r="O252" s="10" t="str">
        <f aca="false">IF($C252="","",$L252*$N252)</f>
        <v/>
      </c>
      <c r="P252" s="10" t="str">
        <f aca="false">IF($C252="","",$L252+$O252)</f>
        <v/>
      </c>
      <c r="Q252" s="9"/>
      <c r="R252" s="10" t="str">
        <f aca="false">IF($C252="","",MAX(0,$P252-N($Q252)))</f>
        <v/>
      </c>
      <c r="S252" s="19" t="str">
        <f aca="false">IF(OR($C252="",$P252=0),"",IF(N($Q252)&lt;=0,"Chưa thanh toán",IF(N($Q252)&lt;$P252,"Thanh toán một phần","Đã thanh toán")))</f>
        <v/>
      </c>
      <c r="T252" s="10" t="str">
        <f aca="false">IF(OR($C252="",$J252=""),"",N($I252)*$J252)</f>
        <v/>
      </c>
      <c r="U252" s="10" t="str">
        <f aca="false">IF(OR($C252="",$T252=""),"",$L252-$T252)</f>
        <v/>
      </c>
      <c r="V252" s="11" t="str">
        <f aca="false">IF(OR($U252="",$L252=0),"",$U252/$L252)</f>
        <v/>
      </c>
      <c r="W252" s="8"/>
      <c r="X252" s="19" t="str">
        <f aca="false">IF($C252="","",IF(AND($H252="",N($I252)=0,N($K252)=0),"Dòng chỉ lưu thông tin khách (chưa có đơn); ",IF($B252="","Thiếu ngày đặt; ","")&amp;IF($H252="","Thiếu tên sản phẩm; ",IF($J252="","Sản phẩm chưa có trong BẢNG GIÁ GỐC; ",""))&amp;IF(N($I252)&lt;=0,"Thiếu số lượng; ","")&amp;IF(N($K252)&lt;=0,"Thiếu giá bán; ","")&amp;IF(AND($N252&gt;0,$F252=""),"Khách lấy VAT thiếu mã số thuế; ","")&amp;IF(N($Q252)&gt;$P252,"Đã thu vượt tổng phải thu; ","")&amp;IF(AND($L252&gt;0,$U252&lt;0),"CẢNH BÁO: ĐƠN NÀY ĐANG LỖ; ","")))</f>
        <v/>
      </c>
      <c r="Y252" s="16" t="str">
        <f aca="false">IF(AND($C252&lt;&gt;"",$R252&gt;0),COUNTIFS($C$6:$C252,"&lt;&gt;",$R$6:$R252,"&gt;0"),"")</f>
        <v/>
      </c>
      <c r="Z252" s="16" t="str">
        <f aca="false">IF(AND($H252&lt;&gt;"",N($N252)&gt;0),COUNTIFS($H$6:$H252,"&lt;&gt;",$N$6:$N252,"&gt;0"),"")</f>
        <v/>
      </c>
      <c r="AA252" s="16" t="str">
        <f aca="false">IF(AND($H252&lt;&gt;"",N($N252)=0),COUNTIFS($H$6:$H252,"&lt;&gt;",$N$6:$N252,"&lt;=0"),"")</f>
        <v/>
      </c>
      <c r="AB252" s="16" t="str">
        <f aca="false">IF($C252="","",IF(COUNTIF($C$6:$C252,$C252)&gt;1,"",MAX($AB$5:AB251)+1))</f>
        <v/>
      </c>
      <c r="AC252" s="16" t="str">
        <f aca="false">IF($H252="","",IF(COUNTIF($H$6:$H252,$H252)&gt;1,"",MAX($AC$5:AC251)+1))</f>
        <v/>
      </c>
    </row>
    <row r="253" customFormat="false" ht="15" hidden="false" customHeight="false" outlineLevel="0" collapsed="false">
      <c r="A253" s="16" t="str">
        <f aca="false">IF($C253="","",COUNTA($C$6:$C253))</f>
        <v/>
      </c>
      <c r="B253" s="17"/>
      <c r="C253" s="8"/>
      <c r="D253" s="8"/>
      <c r="E253" s="8"/>
      <c r="F253" s="8"/>
      <c r="G253" s="8"/>
      <c r="H253" s="8"/>
      <c r="I253" s="9"/>
      <c r="J253" s="10" t="str">
        <f aca="false">IF($H253="","",IFERROR(VLOOKUP($H253,'BẢNG GIÁ GỐC'!$A$5:$D$204,3,FALSE()),""))</f>
        <v/>
      </c>
      <c r="K253" s="9"/>
      <c r="L253" s="10" t="str">
        <f aca="false">IF($C253="","",N($I253)*N($K253))</f>
        <v/>
      </c>
      <c r="M253" s="8"/>
      <c r="N253" s="11" t="str">
        <f aca="false">IF($C253="","",IF($M253="VAT 5%",0.05,IF($M253="VAT 8%",0.08,IF($M253="VAT 10%",0.1,0))))</f>
        <v/>
      </c>
      <c r="O253" s="10" t="str">
        <f aca="false">IF($C253="","",$L253*$N253)</f>
        <v/>
      </c>
      <c r="P253" s="10" t="str">
        <f aca="false">IF($C253="","",$L253+$O253)</f>
        <v/>
      </c>
      <c r="Q253" s="9"/>
      <c r="R253" s="10" t="str">
        <f aca="false">IF($C253="","",MAX(0,$P253-N($Q253)))</f>
        <v/>
      </c>
      <c r="S253" s="19" t="str">
        <f aca="false">IF(OR($C253="",$P253=0),"",IF(N($Q253)&lt;=0,"Chưa thanh toán",IF(N($Q253)&lt;$P253,"Thanh toán một phần","Đã thanh toán")))</f>
        <v/>
      </c>
      <c r="T253" s="10" t="str">
        <f aca="false">IF(OR($C253="",$J253=""),"",N($I253)*$J253)</f>
        <v/>
      </c>
      <c r="U253" s="10" t="str">
        <f aca="false">IF(OR($C253="",$T253=""),"",$L253-$T253)</f>
        <v/>
      </c>
      <c r="V253" s="11" t="str">
        <f aca="false">IF(OR($U253="",$L253=0),"",$U253/$L253)</f>
        <v/>
      </c>
      <c r="W253" s="8"/>
      <c r="X253" s="19" t="str">
        <f aca="false">IF($C253="","",IF(AND($H253="",N($I253)=0,N($K253)=0),"Dòng chỉ lưu thông tin khách (chưa có đơn); ",IF($B253="","Thiếu ngày đặt; ","")&amp;IF($H253="","Thiếu tên sản phẩm; ",IF($J253="","Sản phẩm chưa có trong BẢNG GIÁ GỐC; ",""))&amp;IF(N($I253)&lt;=0,"Thiếu số lượng; ","")&amp;IF(N($K253)&lt;=0,"Thiếu giá bán; ","")&amp;IF(AND($N253&gt;0,$F253=""),"Khách lấy VAT thiếu mã số thuế; ","")&amp;IF(N($Q253)&gt;$P253,"Đã thu vượt tổng phải thu; ","")&amp;IF(AND($L253&gt;0,$U253&lt;0),"CẢNH BÁO: ĐƠN NÀY ĐANG LỖ; ","")))</f>
        <v/>
      </c>
      <c r="Y253" s="16" t="str">
        <f aca="false">IF(AND($C253&lt;&gt;"",$R253&gt;0),COUNTIFS($C$6:$C253,"&lt;&gt;",$R$6:$R253,"&gt;0"),"")</f>
        <v/>
      </c>
      <c r="Z253" s="16" t="str">
        <f aca="false">IF(AND($H253&lt;&gt;"",N($N253)&gt;0),COUNTIFS($H$6:$H253,"&lt;&gt;",$N$6:$N253,"&gt;0"),"")</f>
        <v/>
      </c>
      <c r="AA253" s="16" t="str">
        <f aca="false">IF(AND($H253&lt;&gt;"",N($N253)=0),COUNTIFS($H$6:$H253,"&lt;&gt;",$N$6:$N253,"&lt;=0"),"")</f>
        <v/>
      </c>
      <c r="AB253" s="16" t="str">
        <f aca="false">IF($C253="","",IF(COUNTIF($C$6:$C253,$C253)&gt;1,"",MAX($AB$5:AB252)+1))</f>
        <v/>
      </c>
      <c r="AC253" s="16" t="str">
        <f aca="false">IF($H253="","",IF(COUNTIF($H$6:$H253,$H253)&gt;1,"",MAX($AC$5:AC252)+1))</f>
        <v/>
      </c>
    </row>
    <row r="254" customFormat="false" ht="15" hidden="false" customHeight="false" outlineLevel="0" collapsed="false">
      <c r="A254" s="16" t="str">
        <f aca="false">IF($C254="","",COUNTA($C$6:$C254))</f>
        <v/>
      </c>
      <c r="B254" s="17"/>
      <c r="C254" s="8"/>
      <c r="D254" s="8"/>
      <c r="E254" s="8"/>
      <c r="F254" s="8"/>
      <c r="G254" s="8"/>
      <c r="H254" s="8"/>
      <c r="I254" s="9"/>
      <c r="J254" s="10" t="str">
        <f aca="false">IF($H254="","",IFERROR(VLOOKUP($H254,'BẢNG GIÁ GỐC'!$A$5:$D$204,3,FALSE()),""))</f>
        <v/>
      </c>
      <c r="K254" s="9"/>
      <c r="L254" s="10" t="str">
        <f aca="false">IF($C254="","",N($I254)*N($K254))</f>
        <v/>
      </c>
      <c r="M254" s="8"/>
      <c r="N254" s="11" t="str">
        <f aca="false">IF($C254="","",IF($M254="VAT 5%",0.05,IF($M254="VAT 8%",0.08,IF($M254="VAT 10%",0.1,0))))</f>
        <v/>
      </c>
      <c r="O254" s="10" t="str">
        <f aca="false">IF($C254="","",$L254*$N254)</f>
        <v/>
      </c>
      <c r="P254" s="10" t="str">
        <f aca="false">IF($C254="","",$L254+$O254)</f>
        <v/>
      </c>
      <c r="Q254" s="9"/>
      <c r="R254" s="10" t="str">
        <f aca="false">IF($C254="","",MAX(0,$P254-N($Q254)))</f>
        <v/>
      </c>
      <c r="S254" s="19" t="str">
        <f aca="false">IF(OR($C254="",$P254=0),"",IF(N($Q254)&lt;=0,"Chưa thanh toán",IF(N($Q254)&lt;$P254,"Thanh toán một phần","Đã thanh toán")))</f>
        <v/>
      </c>
      <c r="T254" s="10" t="str">
        <f aca="false">IF(OR($C254="",$J254=""),"",N($I254)*$J254)</f>
        <v/>
      </c>
      <c r="U254" s="10" t="str">
        <f aca="false">IF(OR($C254="",$T254=""),"",$L254-$T254)</f>
        <v/>
      </c>
      <c r="V254" s="11" t="str">
        <f aca="false">IF(OR($U254="",$L254=0),"",$U254/$L254)</f>
        <v/>
      </c>
      <c r="W254" s="8"/>
      <c r="X254" s="19" t="str">
        <f aca="false">IF($C254="","",IF(AND($H254="",N($I254)=0,N($K254)=0),"Dòng chỉ lưu thông tin khách (chưa có đơn); ",IF($B254="","Thiếu ngày đặt; ","")&amp;IF($H254="","Thiếu tên sản phẩm; ",IF($J254="","Sản phẩm chưa có trong BẢNG GIÁ GỐC; ",""))&amp;IF(N($I254)&lt;=0,"Thiếu số lượng; ","")&amp;IF(N($K254)&lt;=0,"Thiếu giá bán; ","")&amp;IF(AND($N254&gt;0,$F254=""),"Khách lấy VAT thiếu mã số thuế; ","")&amp;IF(N($Q254)&gt;$P254,"Đã thu vượt tổng phải thu; ","")&amp;IF(AND($L254&gt;0,$U254&lt;0),"CẢNH BÁO: ĐƠN NÀY ĐANG LỖ; ","")))</f>
        <v/>
      </c>
      <c r="Y254" s="16" t="str">
        <f aca="false">IF(AND($C254&lt;&gt;"",$R254&gt;0),COUNTIFS($C$6:$C254,"&lt;&gt;",$R$6:$R254,"&gt;0"),"")</f>
        <v/>
      </c>
      <c r="Z254" s="16" t="str">
        <f aca="false">IF(AND($H254&lt;&gt;"",N($N254)&gt;0),COUNTIFS($H$6:$H254,"&lt;&gt;",$N$6:$N254,"&gt;0"),"")</f>
        <v/>
      </c>
      <c r="AA254" s="16" t="str">
        <f aca="false">IF(AND($H254&lt;&gt;"",N($N254)=0),COUNTIFS($H$6:$H254,"&lt;&gt;",$N$6:$N254,"&lt;=0"),"")</f>
        <v/>
      </c>
      <c r="AB254" s="16" t="str">
        <f aca="false">IF($C254="","",IF(COUNTIF($C$6:$C254,$C254)&gt;1,"",MAX($AB$5:AB253)+1))</f>
        <v/>
      </c>
      <c r="AC254" s="16" t="str">
        <f aca="false">IF($H254="","",IF(COUNTIF($H$6:$H254,$H254)&gt;1,"",MAX($AC$5:AC253)+1))</f>
        <v/>
      </c>
    </row>
    <row r="255" customFormat="false" ht="15" hidden="false" customHeight="false" outlineLevel="0" collapsed="false">
      <c r="A255" s="16" t="str">
        <f aca="false">IF($C255="","",COUNTA($C$6:$C255))</f>
        <v/>
      </c>
      <c r="B255" s="17"/>
      <c r="C255" s="8"/>
      <c r="D255" s="8"/>
      <c r="E255" s="8"/>
      <c r="F255" s="8"/>
      <c r="G255" s="8"/>
      <c r="H255" s="8"/>
      <c r="I255" s="9"/>
      <c r="J255" s="10" t="str">
        <f aca="false">IF($H255="","",IFERROR(VLOOKUP($H255,'BẢNG GIÁ GỐC'!$A$5:$D$204,3,FALSE()),""))</f>
        <v/>
      </c>
      <c r="K255" s="9"/>
      <c r="L255" s="10" t="str">
        <f aca="false">IF($C255="","",N($I255)*N($K255))</f>
        <v/>
      </c>
      <c r="M255" s="8"/>
      <c r="N255" s="11" t="str">
        <f aca="false">IF($C255="","",IF($M255="VAT 5%",0.05,IF($M255="VAT 8%",0.08,IF($M255="VAT 10%",0.1,0))))</f>
        <v/>
      </c>
      <c r="O255" s="10" t="str">
        <f aca="false">IF($C255="","",$L255*$N255)</f>
        <v/>
      </c>
      <c r="P255" s="10" t="str">
        <f aca="false">IF($C255="","",$L255+$O255)</f>
        <v/>
      </c>
      <c r="Q255" s="9"/>
      <c r="R255" s="10" t="str">
        <f aca="false">IF($C255="","",MAX(0,$P255-N($Q255)))</f>
        <v/>
      </c>
      <c r="S255" s="19" t="str">
        <f aca="false">IF(OR($C255="",$P255=0),"",IF(N($Q255)&lt;=0,"Chưa thanh toán",IF(N($Q255)&lt;$P255,"Thanh toán một phần","Đã thanh toán")))</f>
        <v/>
      </c>
      <c r="T255" s="10" t="str">
        <f aca="false">IF(OR($C255="",$J255=""),"",N($I255)*$J255)</f>
        <v/>
      </c>
      <c r="U255" s="10" t="str">
        <f aca="false">IF(OR($C255="",$T255=""),"",$L255-$T255)</f>
        <v/>
      </c>
      <c r="V255" s="11" t="str">
        <f aca="false">IF(OR($U255="",$L255=0),"",$U255/$L255)</f>
        <v/>
      </c>
      <c r="W255" s="8"/>
      <c r="X255" s="19" t="str">
        <f aca="false">IF($C255="","",IF(AND($H255="",N($I255)=0,N($K255)=0),"Dòng chỉ lưu thông tin khách (chưa có đơn); ",IF($B255="","Thiếu ngày đặt; ","")&amp;IF($H255="","Thiếu tên sản phẩm; ",IF($J255="","Sản phẩm chưa có trong BẢNG GIÁ GỐC; ",""))&amp;IF(N($I255)&lt;=0,"Thiếu số lượng; ","")&amp;IF(N($K255)&lt;=0,"Thiếu giá bán; ","")&amp;IF(AND($N255&gt;0,$F255=""),"Khách lấy VAT thiếu mã số thuế; ","")&amp;IF(N($Q255)&gt;$P255,"Đã thu vượt tổng phải thu; ","")&amp;IF(AND($L255&gt;0,$U255&lt;0),"CẢNH BÁO: ĐƠN NÀY ĐANG LỖ; ","")))</f>
        <v/>
      </c>
      <c r="Y255" s="16" t="str">
        <f aca="false">IF(AND($C255&lt;&gt;"",$R255&gt;0),COUNTIFS($C$6:$C255,"&lt;&gt;",$R$6:$R255,"&gt;0"),"")</f>
        <v/>
      </c>
      <c r="Z255" s="16" t="str">
        <f aca="false">IF(AND($H255&lt;&gt;"",N($N255)&gt;0),COUNTIFS($H$6:$H255,"&lt;&gt;",$N$6:$N255,"&gt;0"),"")</f>
        <v/>
      </c>
      <c r="AA255" s="16" t="str">
        <f aca="false">IF(AND($H255&lt;&gt;"",N($N255)=0),COUNTIFS($H$6:$H255,"&lt;&gt;",$N$6:$N255,"&lt;=0"),"")</f>
        <v/>
      </c>
      <c r="AB255" s="16" t="str">
        <f aca="false">IF($C255="","",IF(COUNTIF($C$6:$C255,$C255)&gt;1,"",MAX($AB$5:AB254)+1))</f>
        <v/>
      </c>
      <c r="AC255" s="16" t="str">
        <f aca="false">IF($H255="","",IF(COUNTIF($H$6:$H255,$H255)&gt;1,"",MAX($AC$5:AC254)+1))</f>
        <v/>
      </c>
    </row>
    <row r="256" customFormat="false" ht="15" hidden="false" customHeight="false" outlineLevel="0" collapsed="false">
      <c r="A256" s="16" t="str">
        <f aca="false">IF($C256="","",COUNTA($C$6:$C256))</f>
        <v/>
      </c>
      <c r="B256" s="17"/>
      <c r="C256" s="8"/>
      <c r="D256" s="8"/>
      <c r="E256" s="8"/>
      <c r="F256" s="8"/>
      <c r="G256" s="8"/>
      <c r="H256" s="8"/>
      <c r="I256" s="9"/>
      <c r="J256" s="10" t="str">
        <f aca="false">IF($H256="","",IFERROR(VLOOKUP($H256,'BẢNG GIÁ GỐC'!$A$5:$D$204,3,FALSE()),""))</f>
        <v/>
      </c>
      <c r="K256" s="9"/>
      <c r="L256" s="10" t="str">
        <f aca="false">IF($C256="","",N($I256)*N($K256))</f>
        <v/>
      </c>
      <c r="M256" s="8"/>
      <c r="N256" s="11" t="str">
        <f aca="false">IF($C256="","",IF($M256="VAT 5%",0.05,IF($M256="VAT 8%",0.08,IF($M256="VAT 10%",0.1,0))))</f>
        <v/>
      </c>
      <c r="O256" s="10" t="str">
        <f aca="false">IF($C256="","",$L256*$N256)</f>
        <v/>
      </c>
      <c r="P256" s="10" t="str">
        <f aca="false">IF($C256="","",$L256+$O256)</f>
        <v/>
      </c>
      <c r="Q256" s="9"/>
      <c r="R256" s="10" t="str">
        <f aca="false">IF($C256="","",MAX(0,$P256-N($Q256)))</f>
        <v/>
      </c>
      <c r="S256" s="19" t="str">
        <f aca="false">IF(OR($C256="",$P256=0),"",IF(N($Q256)&lt;=0,"Chưa thanh toán",IF(N($Q256)&lt;$P256,"Thanh toán một phần","Đã thanh toán")))</f>
        <v/>
      </c>
      <c r="T256" s="10" t="str">
        <f aca="false">IF(OR($C256="",$J256=""),"",N($I256)*$J256)</f>
        <v/>
      </c>
      <c r="U256" s="10" t="str">
        <f aca="false">IF(OR($C256="",$T256=""),"",$L256-$T256)</f>
        <v/>
      </c>
      <c r="V256" s="11" t="str">
        <f aca="false">IF(OR($U256="",$L256=0),"",$U256/$L256)</f>
        <v/>
      </c>
      <c r="W256" s="8"/>
      <c r="X256" s="19" t="str">
        <f aca="false">IF($C256="","",IF(AND($H256="",N($I256)=0,N($K256)=0),"Dòng chỉ lưu thông tin khách (chưa có đơn); ",IF($B256="","Thiếu ngày đặt; ","")&amp;IF($H256="","Thiếu tên sản phẩm; ",IF($J256="","Sản phẩm chưa có trong BẢNG GIÁ GỐC; ",""))&amp;IF(N($I256)&lt;=0,"Thiếu số lượng; ","")&amp;IF(N($K256)&lt;=0,"Thiếu giá bán; ","")&amp;IF(AND($N256&gt;0,$F256=""),"Khách lấy VAT thiếu mã số thuế; ","")&amp;IF(N($Q256)&gt;$P256,"Đã thu vượt tổng phải thu; ","")&amp;IF(AND($L256&gt;0,$U256&lt;0),"CẢNH BÁO: ĐƠN NÀY ĐANG LỖ; ","")))</f>
        <v/>
      </c>
      <c r="Y256" s="16" t="str">
        <f aca="false">IF(AND($C256&lt;&gt;"",$R256&gt;0),COUNTIFS($C$6:$C256,"&lt;&gt;",$R$6:$R256,"&gt;0"),"")</f>
        <v/>
      </c>
      <c r="Z256" s="16" t="str">
        <f aca="false">IF(AND($H256&lt;&gt;"",N($N256)&gt;0),COUNTIFS($H$6:$H256,"&lt;&gt;",$N$6:$N256,"&gt;0"),"")</f>
        <v/>
      </c>
      <c r="AA256" s="16" t="str">
        <f aca="false">IF(AND($H256&lt;&gt;"",N($N256)=0),COUNTIFS($H$6:$H256,"&lt;&gt;",$N$6:$N256,"&lt;=0"),"")</f>
        <v/>
      </c>
      <c r="AB256" s="16" t="str">
        <f aca="false">IF($C256="","",IF(COUNTIF($C$6:$C256,$C256)&gt;1,"",MAX($AB$5:AB255)+1))</f>
        <v/>
      </c>
      <c r="AC256" s="16" t="str">
        <f aca="false">IF($H256="","",IF(COUNTIF($H$6:$H256,$H256)&gt;1,"",MAX($AC$5:AC255)+1))</f>
        <v/>
      </c>
    </row>
    <row r="257" customFormat="false" ht="15" hidden="false" customHeight="false" outlineLevel="0" collapsed="false">
      <c r="A257" s="16" t="str">
        <f aca="false">IF($C257="","",COUNTA($C$6:$C257))</f>
        <v/>
      </c>
      <c r="B257" s="17"/>
      <c r="C257" s="8"/>
      <c r="D257" s="8"/>
      <c r="E257" s="8"/>
      <c r="F257" s="8"/>
      <c r="G257" s="8"/>
      <c r="H257" s="8"/>
      <c r="I257" s="9"/>
      <c r="J257" s="10" t="str">
        <f aca="false">IF($H257="","",IFERROR(VLOOKUP($H257,'BẢNG GIÁ GỐC'!$A$5:$D$204,3,FALSE()),""))</f>
        <v/>
      </c>
      <c r="K257" s="9"/>
      <c r="L257" s="10" t="str">
        <f aca="false">IF($C257="","",N($I257)*N($K257))</f>
        <v/>
      </c>
      <c r="M257" s="8"/>
      <c r="N257" s="11" t="str">
        <f aca="false">IF($C257="","",IF($M257="VAT 5%",0.05,IF($M257="VAT 8%",0.08,IF($M257="VAT 10%",0.1,0))))</f>
        <v/>
      </c>
      <c r="O257" s="10" t="str">
        <f aca="false">IF($C257="","",$L257*$N257)</f>
        <v/>
      </c>
      <c r="P257" s="10" t="str">
        <f aca="false">IF($C257="","",$L257+$O257)</f>
        <v/>
      </c>
      <c r="Q257" s="9"/>
      <c r="R257" s="10" t="str">
        <f aca="false">IF($C257="","",MAX(0,$P257-N($Q257)))</f>
        <v/>
      </c>
      <c r="S257" s="19" t="str">
        <f aca="false">IF(OR($C257="",$P257=0),"",IF(N($Q257)&lt;=0,"Chưa thanh toán",IF(N($Q257)&lt;$P257,"Thanh toán một phần","Đã thanh toán")))</f>
        <v/>
      </c>
      <c r="T257" s="10" t="str">
        <f aca="false">IF(OR($C257="",$J257=""),"",N($I257)*$J257)</f>
        <v/>
      </c>
      <c r="U257" s="10" t="str">
        <f aca="false">IF(OR($C257="",$T257=""),"",$L257-$T257)</f>
        <v/>
      </c>
      <c r="V257" s="11" t="str">
        <f aca="false">IF(OR($U257="",$L257=0),"",$U257/$L257)</f>
        <v/>
      </c>
      <c r="W257" s="8"/>
      <c r="X257" s="19" t="str">
        <f aca="false">IF($C257="","",IF(AND($H257="",N($I257)=0,N($K257)=0),"Dòng chỉ lưu thông tin khách (chưa có đơn); ",IF($B257="","Thiếu ngày đặt; ","")&amp;IF($H257="","Thiếu tên sản phẩm; ",IF($J257="","Sản phẩm chưa có trong BẢNG GIÁ GỐC; ",""))&amp;IF(N($I257)&lt;=0,"Thiếu số lượng; ","")&amp;IF(N($K257)&lt;=0,"Thiếu giá bán; ","")&amp;IF(AND($N257&gt;0,$F257=""),"Khách lấy VAT thiếu mã số thuế; ","")&amp;IF(N($Q257)&gt;$P257,"Đã thu vượt tổng phải thu; ","")&amp;IF(AND($L257&gt;0,$U257&lt;0),"CẢNH BÁO: ĐƠN NÀY ĐANG LỖ; ","")))</f>
        <v/>
      </c>
      <c r="Y257" s="16" t="str">
        <f aca="false">IF(AND($C257&lt;&gt;"",$R257&gt;0),COUNTIFS($C$6:$C257,"&lt;&gt;",$R$6:$R257,"&gt;0"),"")</f>
        <v/>
      </c>
      <c r="Z257" s="16" t="str">
        <f aca="false">IF(AND($H257&lt;&gt;"",N($N257)&gt;0),COUNTIFS($H$6:$H257,"&lt;&gt;",$N$6:$N257,"&gt;0"),"")</f>
        <v/>
      </c>
      <c r="AA257" s="16" t="str">
        <f aca="false">IF(AND($H257&lt;&gt;"",N($N257)=0),COUNTIFS($H$6:$H257,"&lt;&gt;",$N$6:$N257,"&lt;=0"),"")</f>
        <v/>
      </c>
      <c r="AB257" s="16" t="str">
        <f aca="false">IF($C257="","",IF(COUNTIF($C$6:$C257,$C257)&gt;1,"",MAX($AB$5:AB256)+1))</f>
        <v/>
      </c>
      <c r="AC257" s="16" t="str">
        <f aca="false">IF($H257="","",IF(COUNTIF($H$6:$H257,$H257)&gt;1,"",MAX($AC$5:AC256)+1))</f>
        <v/>
      </c>
    </row>
    <row r="258" customFormat="false" ht="15" hidden="false" customHeight="false" outlineLevel="0" collapsed="false">
      <c r="A258" s="16" t="str">
        <f aca="false">IF($C258="","",COUNTA($C$6:$C258))</f>
        <v/>
      </c>
      <c r="B258" s="17"/>
      <c r="C258" s="8"/>
      <c r="D258" s="8"/>
      <c r="E258" s="8"/>
      <c r="F258" s="8"/>
      <c r="G258" s="8"/>
      <c r="H258" s="8"/>
      <c r="I258" s="9"/>
      <c r="J258" s="10" t="str">
        <f aca="false">IF($H258="","",IFERROR(VLOOKUP($H258,'BẢNG GIÁ GỐC'!$A$5:$D$204,3,FALSE()),""))</f>
        <v/>
      </c>
      <c r="K258" s="9"/>
      <c r="L258" s="10" t="str">
        <f aca="false">IF($C258="","",N($I258)*N($K258))</f>
        <v/>
      </c>
      <c r="M258" s="8"/>
      <c r="N258" s="11" t="str">
        <f aca="false">IF($C258="","",IF($M258="VAT 5%",0.05,IF($M258="VAT 8%",0.08,IF($M258="VAT 10%",0.1,0))))</f>
        <v/>
      </c>
      <c r="O258" s="10" t="str">
        <f aca="false">IF($C258="","",$L258*$N258)</f>
        <v/>
      </c>
      <c r="P258" s="10" t="str">
        <f aca="false">IF($C258="","",$L258+$O258)</f>
        <v/>
      </c>
      <c r="Q258" s="9"/>
      <c r="R258" s="10" t="str">
        <f aca="false">IF($C258="","",MAX(0,$P258-N($Q258)))</f>
        <v/>
      </c>
      <c r="S258" s="19" t="str">
        <f aca="false">IF(OR($C258="",$P258=0),"",IF(N($Q258)&lt;=0,"Chưa thanh toán",IF(N($Q258)&lt;$P258,"Thanh toán một phần","Đã thanh toán")))</f>
        <v/>
      </c>
      <c r="T258" s="10" t="str">
        <f aca="false">IF(OR($C258="",$J258=""),"",N($I258)*$J258)</f>
        <v/>
      </c>
      <c r="U258" s="10" t="str">
        <f aca="false">IF(OR($C258="",$T258=""),"",$L258-$T258)</f>
        <v/>
      </c>
      <c r="V258" s="11" t="str">
        <f aca="false">IF(OR($U258="",$L258=0),"",$U258/$L258)</f>
        <v/>
      </c>
      <c r="W258" s="8"/>
      <c r="X258" s="19" t="str">
        <f aca="false">IF($C258="","",IF(AND($H258="",N($I258)=0,N($K258)=0),"Dòng chỉ lưu thông tin khách (chưa có đơn); ",IF($B258="","Thiếu ngày đặt; ","")&amp;IF($H258="","Thiếu tên sản phẩm; ",IF($J258="","Sản phẩm chưa có trong BẢNG GIÁ GỐC; ",""))&amp;IF(N($I258)&lt;=0,"Thiếu số lượng; ","")&amp;IF(N($K258)&lt;=0,"Thiếu giá bán; ","")&amp;IF(AND($N258&gt;0,$F258=""),"Khách lấy VAT thiếu mã số thuế; ","")&amp;IF(N($Q258)&gt;$P258,"Đã thu vượt tổng phải thu; ","")&amp;IF(AND($L258&gt;0,$U258&lt;0),"CẢNH BÁO: ĐƠN NÀY ĐANG LỖ; ","")))</f>
        <v/>
      </c>
      <c r="Y258" s="16" t="str">
        <f aca="false">IF(AND($C258&lt;&gt;"",$R258&gt;0),COUNTIFS($C$6:$C258,"&lt;&gt;",$R$6:$R258,"&gt;0"),"")</f>
        <v/>
      </c>
      <c r="Z258" s="16" t="str">
        <f aca="false">IF(AND($H258&lt;&gt;"",N($N258)&gt;0),COUNTIFS($H$6:$H258,"&lt;&gt;",$N$6:$N258,"&gt;0"),"")</f>
        <v/>
      </c>
      <c r="AA258" s="16" t="str">
        <f aca="false">IF(AND($H258&lt;&gt;"",N($N258)=0),COUNTIFS($H$6:$H258,"&lt;&gt;",$N$6:$N258,"&lt;=0"),"")</f>
        <v/>
      </c>
      <c r="AB258" s="16" t="str">
        <f aca="false">IF($C258="","",IF(COUNTIF($C$6:$C258,$C258)&gt;1,"",MAX($AB$5:AB257)+1))</f>
        <v/>
      </c>
      <c r="AC258" s="16" t="str">
        <f aca="false">IF($H258="","",IF(COUNTIF($H$6:$H258,$H258)&gt;1,"",MAX($AC$5:AC257)+1))</f>
        <v/>
      </c>
    </row>
    <row r="259" customFormat="false" ht="15" hidden="false" customHeight="false" outlineLevel="0" collapsed="false">
      <c r="A259" s="16" t="str">
        <f aca="false">IF($C259="","",COUNTA($C$6:$C259))</f>
        <v/>
      </c>
      <c r="B259" s="17"/>
      <c r="C259" s="8"/>
      <c r="D259" s="8"/>
      <c r="E259" s="8"/>
      <c r="F259" s="8"/>
      <c r="G259" s="8"/>
      <c r="H259" s="8"/>
      <c r="I259" s="9"/>
      <c r="J259" s="10" t="str">
        <f aca="false">IF($H259="","",IFERROR(VLOOKUP($H259,'BẢNG GIÁ GỐC'!$A$5:$D$204,3,FALSE()),""))</f>
        <v/>
      </c>
      <c r="K259" s="9"/>
      <c r="L259" s="10" t="str">
        <f aca="false">IF($C259="","",N($I259)*N($K259))</f>
        <v/>
      </c>
      <c r="M259" s="8"/>
      <c r="N259" s="11" t="str">
        <f aca="false">IF($C259="","",IF($M259="VAT 5%",0.05,IF($M259="VAT 8%",0.08,IF($M259="VAT 10%",0.1,0))))</f>
        <v/>
      </c>
      <c r="O259" s="10" t="str">
        <f aca="false">IF($C259="","",$L259*$N259)</f>
        <v/>
      </c>
      <c r="P259" s="10" t="str">
        <f aca="false">IF($C259="","",$L259+$O259)</f>
        <v/>
      </c>
      <c r="Q259" s="9"/>
      <c r="R259" s="10" t="str">
        <f aca="false">IF($C259="","",MAX(0,$P259-N($Q259)))</f>
        <v/>
      </c>
      <c r="S259" s="19" t="str">
        <f aca="false">IF(OR($C259="",$P259=0),"",IF(N($Q259)&lt;=0,"Chưa thanh toán",IF(N($Q259)&lt;$P259,"Thanh toán một phần","Đã thanh toán")))</f>
        <v/>
      </c>
      <c r="T259" s="10" t="str">
        <f aca="false">IF(OR($C259="",$J259=""),"",N($I259)*$J259)</f>
        <v/>
      </c>
      <c r="U259" s="10" t="str">
        <f aca="false">IF(OR($C259="",$T259=""),"",$L259-$T259)</f>
        <v/>
      </c>
      <c r="V259" s="11" t="str">
        <f aca="false">IF(OR($U259="",$L259=0),"",$U259/$L259)</f>
        <v/>
      </c>
      <c r="W259" s="8"/>
      <c r="X259" s="19" t="str">
        <f aca="false">IF($C259="","",IF(AND($H259="",N($I259)=0,N($K259)=0),"Dòng chỉ lưu thông tin khách (chưa có đơn); ",IF($B259="","Thiếu ngày đặt; ","")&amp;IF($H259="","Thiếu tên sản phẩm; ",IF($J259="","Sản phẩm chưa có trong BẢNG GIÁ GỐC; ",""))&amp;IF(N($I259)&lt;=0,"Thiếu số lượng; ","")&amp;IF(N($K259)&lt;=0,"Thiếu giá bán; ","")&amp;IF(AND($N259&gt;0,$F259=""),"Khách lấy VAT thiếu mã số thuế; ","")&amp;IF(N($Q259)&gt;$P259,"Đã thu vượt tổng phải thu; ","")&amp;IF(AND($L259&gt;0,$U259&lt;0),"CẢNH BÁO: ĐƠN NÀY ĐANG LỖ; ","")))</f>
        <v/>
      </c>
      <c r="Y259" s="16" t="str">
        <f aca="false">IF(AND($C259&lt;&gt;"",$R259&gt;0),COUNTIFS($C$6:$C259,"&lt;&gt;",$R$6:$R259,"&gt;0"),"")</f>
        <v/>
      </c>
      <c r="Z259" s="16" t="str">
        <f aca="false">IF(AND($H259&lt;&gt;"",N($N259)&gt;0),COUNTIFS($H$6:$H259,"&lt;&gt;",$N$6:$N259,"&gt;0"),"")</f>
        <v/>
      </c>
      <c r="AA259" s="16" t="str">
        <f aca="false">IF(AND($H259&lt;&gt;"",N($N259)=0),COUNTIFS($H$6:$H259,"&lt;&gt;",$N$6:$N259,"&lt;=0"),"")</f>
        <v/>
      </c>
      <c r="AB259" s="16" t="str">
        <f aca="false">IF($C259="","",IF(COUNTIF($C$6:$C259,$C259)&gt;1,"",MAX($AB$5:AB258)+1))</f>
        <v/>
      </c>
      <c r="AC259" s="16" t="str">
        <f aca="false">IF($H259="","",IF(COUNTIF($H$6:$H259,$H259)&gt;1,"",MAX($AC$5:AC258)+1))</f>
        <v/>
      </c>
    </row>
    <row r="260" customFormat="false" ht="15" hidden="false" customHeight="false" outlineLevel="0" collapsed="false">
      <c r="A260" s="16" t="str">
        <f aca="false">IF($C260="","",COUNTA($C$6:$C260))</f>
        <v/>
      </c>
      <c r="B260" s="17"/>
      <c r="C260" s="8"/>
      <c r="D260" s="8"/>
      <c r="E260" s="8"/>
      <c r="F260" s="8"/>
      <c r="G260" s="8"/>
      <c r="H260" s="8"/>
      <c r="I260" s="9"/>
      <c r="J260" s="10" t="str">
        <f aca="false">IF($H260="","",IFERROR(VLOOKUP($H260,'BẢNG GIÁ GỐC'!$A$5:$D$204,3,FALSE()),""))</f>
        <v/>
      </c>
      <c r="K260" s="9"/>
      <c r="L260" s="10" t="str">
        <f aca="false">IF($C260="","",N($I260)*N($K260))</f>
        <v/>
      </c>
      <c r="M260" s="8"/>
      <c r="N260" s="11" t="str">
        <f aca="false">IF($C260="","",IF($M260="VAT 5%",0.05,IF($M260="VAT 8%",0.08,IF($M260="VAT 10%",0.1,0))))</f>
        <v/>
      </c>
      <c r="O260" s="10" t="str">
        <f aca="false">IF($C260="","",$L260*$N260)</f>
        <v/>
      </c>
      <c r="P260" s="10" t="str">
        <f aca="false">IF($C260="","",$L260+$O260)</f>
        <v/>
      </c>
      <c r="Q260" s="9"/>
      <c r="R260" s="10" t="str">
        <f aca="false">IF($C260="","",MAX(0,$P260-N($Q260)))</f>
        <v/>
      </c>
      <c r="S260" s="19" t="str">
        <f aca="false">IF(OR($C260="",$P260=0),"",IF(N($Q260)&lt;=0,"Chưa thanh toán",IF(N($Q260)&lt;$P260,"Thanh toán một phần","Đã thanh toán")))</f>
        <v/>
      </c>
      <c r="T260" s="10" t="str">
        <f aca="false">IF(OR($C260="",$J260=""),"",N($I260)*$J260)</f>
        <v/>
      </c>
      <c r="U260" s="10" t="str">
        <f aca="false">IF(OR($C260="",$T260=""),"",$L260-$T260)</f>
        <v/>
      </c>
      <c r="V260" s="11" t="str">
        <f aca="false">IF(OR($U260="",$L260=0),"",$U260/$L260)</f>
        <v/>
      </c>
      <c r="W260" s="8"/>
      <c r="X260" s="19" t="str">
        <f aca="false">IF($C260="","",IF(AND($H260="",N($I260)=0,N($K260)=0),"Dòng chỉ lưu thông tin khách (chưa có đơn); ",IF($B260="","Thiếu ngày đặt; ","")&amp;IF($H260="","Thiếu tên sản phẩm; ",IF($J260="","Sản phẩm chưa có trong BẢNG GIÁ GỐC; ",""))&amp;IF(N($I260)&lt;=0,"Thiếu số lượng; ","")&amp;IF(N($K260)&lt;=0,"Thiếu giá bán; ","")&amp;IF(AND($N260&gt;0,$F260=""),"Khách lấy VAT thiếu mã số thuế; ","")&amp;IF(N($Q260)&gt;$P260,"Đã thu vượt tổng phải thu; ","")&amp;IF(AND($L260&gt;0,$U260&lt;0),"CẢNH BÁO: ĐƠN NÀY ĐANG LỖ; ","")))</f>
        <v/>
      </c>
      <c r="Y260" s="16" t="str">
        <f aca="false">IF(AND($C260&lt;&gt;"",$R260&gt;0),COUNTIFS($C$6:$C260,"&lt;&gt;",$R$6:$R260,"&gt;0"),"")</f>
        <v/>
      </c>
      <c r="Z260" s="16" t="str">
        <f aca="false">IF(AND($H260&lt;&gt;"",N($N260)&gt;0),COUNTIFS($H$6:$H260,"&lt;&gt;",$N$6:$N260,"&gt;0"),"")</f>
        <v/>
      </c>
      <c r="AA260" s="16" t="str">
        <f aca="false">IF(AND($H260&lt;&gt;"",N($N260)=0),COUNTIFS($H$6:$H260,"&lt;&gt;",$N$6:$N260,"&lt;=0"),"")</f>
        <v/>
      </c>
      <c r="AB260" s="16" t="str">
        <f aca="false">IF($C260="","",IF(COUNTIF($C$6:$C260,$C260)&gt;1,"",MAX($AB$5:AB259)+1))</f>
        <v/>
      </c>
      <c r="AC260" s="16" t="str">
        <f aca="false">IF($H260="","",IF(COUNTIF($H$6:$H260,$H260)&gt;1,"",MAX($AC$5:AC259)+1))</f>
        <v/>
      </c>
    </row>
    <row r="261" customFormat="false" ht="15" hidden="false" customHeight="false" outlineLevel="0" collapsed="false">
      <c r="A261" s="16" t="str">
        <f aca="false">IF($C261="","",COUNTA($C$6:$C261))</f>
        <v/>
      </c>
      <c r="B261" s="17"/>
      <c r="C261" s="8"/>
      <c r="D261" s="8"/>
      <c r="E261" s="8"/>
      <c r="F261" s="8"/>
      <c r="G261" s="8"/>
      <c r="H261" s="8"/>
      <c r="I261" s="9"/>
      <c r="J261" s="10" t="str">
        <f aca="false">IF($H261="","",IFERROR(VLOOKUP($H261,'BẢNG GIÁ GỐC'!$A$5:$D$204,3,FALSE()),""))</f>
        <v/>
      </c>
      <c r="K261" s="9"/>
      <c r="L261" s="10" t="str">
        <f aca="false">IF($C261="","",N($I261)*N($K261))</f>
        <v/>
      </c>
      <c r="M261" s="8"/>
      <c r="N261" s="11" t="str">
        <f aca="false">IF($C261="","",IF($M261="VAT 5%",0.05,IF($M261="VAT 8%",0.08,IF($M261="VAT 10%",0.1,0))))</f>
        <v/>
      </c>
      <c r="O261" s="10" t="str">
        <f aca="false">IF($C261="","",$L261*$N261)</f>
        <v/>
      </c>
      <c r="P261" s="10" t="str">
        <f aca="false">IF($C261="","",$L261+$O261)</f>
        <v/>
      </c>
      <c r="Q261" s="9"/>
      <c r="R261" s="10" t="str">
        <f aca="false">IF($C261="","",MAX(0,$P261-N($Q261)))</f>
        <v/>
      </c>
      <c r="S261" s="19" t="str">
        <f aca="false">IF(OR($C261="",$P261=0),"",IF(N($Q261)&lt;=0,"Chưa thanh toán",IF(N($Q261)&lt;$P261,"Thanh toán một phần","Đã thanh toán")))</f>
        <v/>
      </c>
      <c r="T261" s="10" t="str">
        <f aca="false">IF(OR($C261="",$J261=""),"",N($I261)*$J261)</f>
        <v/>
      </c>
      <c r="U261" s="10" t="str">
        <f aca="false">IF(OR($C261="",$T261=""),"",$L261-$T261)</f>
        <v/>
      </c>
      <c r="V261" s="11" t="str">
        <f aca="false">IF(OR($U261="",$L261=0),"",$U261/$L261)</f>
        <v/>
      </c>
      <c r="W261" s="8"/>
      <c r="X261" s="19" t="str">
        <f aca="false">IF($C261="","",IF(AND($H261="",N($I261)=0,N($K261)=0),"Dòng chỉ lưu thông tin khách (chưa có đơn); ",IF($B261="","Thiếu ngày đặt; ","")&amp;IF($H261="","Thiếu tên sản phẩm; ",IF($J261="","Sản phẩm chưa có trong BẢNG GIÁ GỐC; ",""))&amp;IF(N($I261)&lt;=0,"Thiếu số lượng; ","")&amp;IF(N($K261)&lt;=0,"Thiếu giá bán; ","")&amp;IF(AND($N261&gt;0,$F261=""),"Khách lấy VAT thiếu mã số thuế; ","")&amp;IF(N($Q261)&gt;$P261,"Đã thu vượt tổng phải thu; ","")&amp;IF(AND($L261&gt;0,$U261&lt;0),"CẢNH BÁO: ĐƠN NÀY ĐANG LỖ; ","")))</f>
        <v/>
      </c>
      <c r="Y261" s="16" t="str">
        <f aca="false">IF(AND($C261&lt;&gt;"",$R261&gt;0),COUNTIFS($C$6:$C261,"&lt;&gt;",$R$6:$R261,"&gt;0"),"")</f>
        <v/>
      </c>
      <c r="Z261" s="16" t="str">
        <f aca="false">IF(AND($H261&lt;&gt;"",N($N261)&gt;0),COUNTIFS($H$6:$H261,"&lt;&gt;",$N$6:$N261,"&gt;0"),"")</f>
        <v/>
      </c>
      <c r="AA261" s="16" t="str">
        <f aca="false">IF(AND($H261&lt;&gt;"",N($N261)=0),COUNTIFS($H$6:$H261,"&lt;&gt;",$N$6:$N261,"&lt;=0"),"")</f>
        <v/>
      </c>
      <c r="AB261" s="16" t="str">
        <f aca="false">IF($C261="","",IF(COUNTIF($C$6:$C261,$C261)&gt;1,"",MAX($AB$5:AB260)+1))</f>
        <v/>
      </c>
      <c r="AC261" s="16" t="str">
        <f aca="false">IF($H261="","",IF(COUNTIF($H$6:$H261,$H261)&gt;1,"",MAX($AC$5:AC260)+1))</f>
        <v/>
      </c>
    </row>
    <row r="262" customFormat="false" ht="15" hidden="false" customHeight="false" outlineLevel="0" collapsed="false">
      <c r="A262" s="16" t="str">
        <f aca="false">IF($C262="","",COUNTA($C$6:$C262))</f>
        <v/>
      </c>
      <c r="B262" s="17"/>
      <c r="C262" s="8"/>
      <c r="D262" s="8"/>
      <c r="E262" s="8"/>
      <c r="F262" s="8"/>
      <c r="G262" s="8"/>
      <c r="H262" s="8"/>
      <c r="I262" s="9"/>
      <c r="J262" s="10" t="str">
        <f aca="false">IF($H262="","",IFERROR(VLOOKUP($H262,'BẢNG GIÁ GỐC'!$A$5:$D$204,3,FALSE()),""))</f>
        <v/>
      </c>
      <c r="K262" s="9"/>
      <c r="L262" s="10" t="str">
        <f aca="false">IF($C262="","",N($I262)*N($K262))</f>
        <v/>
      </c>
      <c r="M262" s="8"/>
      <c r="N262" s="11" t="str">
        <f aca="false">IF($C262="","",IF($M262="VAT 5%",0.05,IF($M262="VAT 8%",0.08,IF($M262="VAT 10%",0.1,0))))</f>
        <v/>
      </c>
      <c r="O262" s="10" t="str">
        <f aca="false">IF($C262="","",$L262*$N262)</f>
        <v/>
      </c>
      <c r="P262" s="10" t="str">
        <f aca="false">IF($C262="","",$L262+$O262)</f>
        <v/>
      </c>
      <c r="Q262" s="9"/>
      <c r="R262" s="10" t="str">
        <f aca="false">IF($C262="","",MAX(0,$P262-N($Q262)))</f>
        <v/>
      </c>
      <c r="S262" s="19" t="str">
        <f aca="false">IF(OR($C262="",$P262=0),"",IF(N($Q262)&lt;=0,"Chưa thanh toán",IF(N($Q262)&lt;$P262,"Thanh toán một phần","Đã thanh toán")))</f>
        <v/>
      </c>
      <c r="T262" s="10" t="str">
        <f aca="false">IF(OR($C262="",$J262=""),"",N($I262)*$J262)</f>
        <v/>
      </c>
      <c r="U262" s="10" t="str">
        <f aca="false">IF(OR($C262="",$T262=""),"",$L262-$T262)</f>
        <v/>
      </c>
      <c r="V262" s="11" t="str">
        <f aca="false">IF(OR($U262="",$L262=0),"",$U262/$L262)</f>
        <v/>
      </c>
      <c r="W262" s="8"/>
      <c r="X262" s="19" t="str">
        <f aca="false">IF($C262="","",IF(AND($H262="",N($I262)=0,N($K262)=0),"Dòng chỉ lưu thông tin khách (chưa có đơn); ",IF($B262="","Thiếu ngày đặt; ","")&amp;IF($H262="","Thiếu tên sản phẩm; ",IF($J262="","Sản phẩm chưa có trong BẢNG GIÁ GỐC; ",""))&amp;IF(N($I262)&lt;=0,"Thiếu số lượng; ","")&amp;IF(N($K262)&lt;=0,"Thiếu giá bán; ","")&amp;IF(AND($N262&gt;0,$F262=""),"Khách lấy VAT thiếu mã số thuế; ","")&amp;IF(N($Q262)&gt;$P262,"Đã thu vượt tổng phải thu; ","")&amp;IF(AND($L262&gt;0,$U262&lt;0),"CẢNH BÁO: ĐƠN NÀY ĐANG LỖ; ","")))</f>
        <v/>
      </c>
      <c r="Y262" s="16" t="str">
        <f aca="false">IF(AND($C262&lt;&gt;"",$R262&gt;0),COUNTIFS($C$6:$C262,"&lt;&gt;",$R$6:$R262,"&gt;0"),"")</f>
        <v/>
      </c>
      <c r="Z262" s="16" t="str">
        <f aca="false">IF(AND($H262&lt;&gt;"",N($N262)&gt;0),COUNTIFS($H$6:$H262,"&lt;&gt;",$N$6:$N262,"&gt;0"),"")</f>
        <v/>
      </c>
      <c r="AA262" s="16" t="str">
        <f aca="false">IF(AND($H262&lt;&gt;"",N($N262)=0),COUNTIFS($H$6:$H262,"&lt;&gt;",$N$6:$N262,"&lt;=0"),"")</f>
        <v/>
      </c>
      <c r="AB262" s="16" t="str">
        <f aca="false">IF($C262="","",IF(COUNTIF($C$6:$C262,$C262)&gt;1,"",MAX($AB$5:AB261)+1))</f>
        <v/>
      </c>
      <c r="AC262" s="16" t="str">
        <f aca="false">IF($H262="","",IF(COUNTIF($H$6:$H262,$H262)&gt;1,"",MAX($AC$5:AC261)+1))</f>
        <v/>
      </c>
    </row>
    <row r="263" customFormat="false" ht="15" hidden="false" customHeight="false" outlineLevel="0" collapsed="false">
      <c r="A263" s="16" t="str">
        <f aca="false">IF($C263="","",COUNTA($C$6:$C263))</f>
        <v/>
      </c>
      <c r="B263" s="17"/>
      <c r="C263" s="8"/>
      <c r="D263" s="8"/>
      <c r="E263" s="8"/>
      <c r="F263" s="8"/>
      <c r="G263" s="8"/>
      <c r="H263" s="8"/>
      <c r="I263" s="9"/>
      <c r="J263" s="10" t="str">
        <f aca="false">IF($H263="","",IFERROR(VLOOKUP($H263,'BẢNG GIÁ GỐC'!$A$5:$D$204,3,FALSE()),""))</f>
        <v/>
      </c>
      <c r="K263" s="9"/>
      <c r="L263" s="10" t="str">
        <f aca="false">IF($C263="","",N($I263)*N($K263))</f>
        <v/>
      </c>
      <c r="M263" s="8"/>
      <c r="N263" s="11" t="str">
        <f aca="false">IF($C263="","",IF($M263="VAT 5%",0.05,IF($M263="VAT 8%",0.08,IF($M263="VAT 10%",0.1,0))))</f>
        <v/>
      </c>
      <c r="O263" s="10" t="str">
        <f aca="false">IF($C263="","",$L263*$N263)</f>
        <v/>
      </c>
      <c r="P263" s="10" t="str">
        <f aca="false">IF($C263="","",$L263+$O263)</f>
        <v/>
      </c>
      <c r="Q263" s="9"/>
      <c r="R263" s="10" t="str">
        <f aca="false">IF($C263="","",MAX(0,$P263-N($Q263)))</f>
        <v/>
      </c>
      <c r="S263" s="19" t="str">
        <f aca="false">IF(OR($C263="",$P263=0),"",IF(N($Q263)&lt;=0,"Chưa thanh toán",IF(N($Q263)&lt;$P263,"Thanh toán một phần","Đã thanh toán")))</f>
        <v/>
      </c>
      <c r="T263" s="10" t="str">
        <f aca="false">IF(OR($C263="",$J263=""),"",N($I263)*$J263)</f>
        <v/>
      </c>
      <c r="U263" s="10" t="str">
        <f aca="false">IF(OR($C263="",$T263=""),"",$L263-$T263)</f>
        <v/>
      </c>
      <c r="V263" s="11" t="str">
        <f aca="false">IF(OR($U263="",$L263=0),"",$U263/$L263)</f>
        <v/>
      </c>
      <c r="W263" s="8"/>
      <c r="X263" s="19" t="str">
        <f aca="false">IF($C263="","",IF(AND($H263="",N($I263)=0,N($K263)=0),"Dòng chỉ lưu thông tin khách (chưa có đơn); ",IF($B263="","Thiếu ngày đặt; ","")&amp;IF($H263="","Thiếu tên sản phẩm; ",IF($J263="","Sản phẩm chưa có trong BẢNG GIÁ GỐC; ",""))&amp;IF(N($I263)&lt;=0,"Thiếu số lượng; ","")&amp;IF(N($K263)&lt;=0,"Thiếu giá bán; ","")&amp;IF(AND($N263&gt;0,$F263=""),"Khách lấy VAT thiếu mã số thuế; ","")&amp;IF(N($Q263)&gt;$P263,"Đã thu vượt tổng phải thu; ","")&amp;IF(AND($L263&gt;0,$U263&lt;0),"CẢNH BÁO: ĐƠN NÀY ĐANG LỖ; ","")))</f>
        <v/>
      </c>
      <c r="Y263" s="16" t="str">
        <f aca="false">IF(AND($C263&lt;&gt;"",$R263&gt;0),COUNTIFS($C$6:$C263,"&lt;&gt;",$R$6:$R263,"&gt;0"),"")</f>
        <v/>
      </c>
      <c r="Z263" s="16" t="str">
        <f aca="false">IF(AND($H263&lt;&gt;"",N($N263)&gt;0),COUNTIFS($H$6:$H263,"&lt;&gt;",$N$6:$N263,"&gt;0"),"")</f>
        <v/>
      </c>
      <c r="AA263" s="16" t="str">
        <f aca="false">IF(AND($H263&lt;&gt;"",N($N263)=0),COUNTIFS($H$6:$H263,"&lt;&gt;",$N$6:$N263,"&lt;=0"),"")</f>
        <v/>
      </c>
      <c r="AB263" s="16" t="str">
        <f aca="false">IF($C263="","",IF(COUNTIF($C$6:$C263,$C263)&gt;1,"",MAX($AB$5:AB262)+1))</f>
        <v/>
      </c>
      <c r="AC263" s="16" t="str">
        <f aca="false">IF($H263="","",IF(COUNTIF($H$6:$H263,$H263)&gt;1,"",MAX($AC$5:AC262)+1))</f>
        <v/>
      </c>
    </row>
    <row r="264" customFormat="false" ht="15" hidden="false" customHeight="false" outlineLevel="0" collapsed="false">
      <c r="A264" s="16" t="str">
        <f aca="false">IF($C264="","",COUNTA($C$6:$C264))</f>
        <v/>
      </c>
      <c r="B264" s="17"/>
      <c r="C264" s="8"/>
      <c r="D264" s="8"/>
      <c r="E264" s="8"/>
      <c r="F264" s="8"/>
      <c r="G264" s="8"/>
      <c r="H264" s="8"/>
      <c r="I264" s="9"/>
      <c r="J264" s="10" t="str">
        <f aca="false">IF($H264="","",IFERROR(VLOOKUP($H264,'BẢNG GIÁ GỐC'!$A$5:$D$204,3,FALSE()),""))</f>
        <v/>
      </c>
      <c r="K264" s="9"/>
      <c r="L264" s="10" t="str">
        <f aca="false">IF($C264="","",N($I264)*N($K264))</f>
        <v/>
      </c>
      <c r="M264" s="8"/>
      <c r="N264" s="11" t="str">
        <f aca="false">IF($C264="","",IF($M264="VAT 5%",0.05,IF($M264="VAT 8%",0.08,IF($M264="VAT 10%",0.1,0))))</f>
        <v/>
      </c>
      <c r="O264" s="10" t="str">
        <f aca="false">IF($C264="","",$L264*$N264)</f>
        <v/>
      </c>
      <c r="P264" s="10" t="str">
        <f aca="false">IF($C264="","",$L264+$O264)</f>
        <v/>
      </c>
      <c r="Q264" s="9"/>
      <c r="R264" s="10" t="str">
        <f aca="false">IF($C264="","",MAX(0,$P264-N($Q264)))</f>
        <v/>
      </c>
      <c r="S264" s="19" t="str">
        <f aca="false">IF(OR($C264="",$P264=0),"",IF(N($Q264)&lt;=0,"Chưa thanh toán",IF(N($Q264)&lt;$P264,"Thanh toán một phần","Đã thanh toán")))</f>
        <v/>
      </c>
      <c r="T264" s="10" t="str">
        <f aca="false">IF(OR($C264="",$J264=""),"",N($I264)*$J264)</f>
        <v/>
      </c>
      <c r="U264" s="10" t="str">
        <f aca="false">IF(OR($C264="",$T264=""),"",$L264-$T264)</f>
        <v/>
      </c>
      <c r="V264" s="11" t="str">
        <f aca="false">IF(OR($U264="",$L264=0),"",$U264/$L264)</f>
        <v/>
      </c>
      <c r="W264" s="8"/>
      <c r="X264" s="19" t="str">
        <f aca="false">IF($C264="","",IF(AND($H264="",N($I264)=0,N($K264)=0),"Dòng chỉ lưu thông tin khách (chưa có đơn); ",IF($B264="","Thiếu ngày đặt; ","")&amp;IF($H264="","Thiếu tên sản phẩm; ",IF($J264="","Sản phẩm chưa có trong BẢNG GIÁ GỐC; ",""))&amp;IF(N($I264)&lt;=0,"Thiếu số lượng; ","")&amp;IF(N($K264)&lt;=0,"Thiếu giá bán; ","")&amp;IF(AND($N264&gt;0,$F264=""),"Khách lấy VAT thiếu mã số thuế; ","")&amp;IF(N($Q264)&gt;$P264,"Đã thu vượt tổng phải thu; ","")&amp;IF(AND($L264&gt;0,$U264&lt;0),"CẢNH BÁO: ĐƠN NÀY ĐANG LỖ; ","")))</f>
        <v/>
      </c>
      <c r="Y264" s="16" t="str">
        <f aca="false">IF(AND($C264&lt;&gt;"",$R264&gt;0),COUNTIFS($C$6:$C264,"&lt;&gt;",$R$6:$R264,"&gt;0"),"")</f>
        <v/>
      </c>
      <c r="Z264" s="16" t="str">
        <f aca="false">IF(AND($H264&lt;&gt;"",N($N264)&gt;0),COUNTIFS($H$6:$H264,"&lt;&gt;",$N$6:$N264,"&gt;0"),"")</f>
        <v/>
      </c>
      <c r="AA264" s="16" t="str">
        <f aca="false">IF(AND($H264&lt;&gt;"",N($N264)=0),COUNTIFS($H$6:$H264,"&lt;&gt;",$N$6:$N264,"&lt;=0"),"")</f>
        <v/>
      </c>
      <c r="AB264" s="16" t="str">
        <f aca="false">IF($C264="","",IF(COUNTIF($C$6:$C264,$C264)&gt;1,"",MAX($AB$5:AB263)+1))</f>
        <v/>
      </c>
      <c r="AC264" s="16" t="str">
        <f aca="false">IF($H264="","",IF(COUNTIF($H$6:$H264,$H264)&gt;1,"",MAX($AC$5:AC263)+1))</f>
        <v/>
      </c>
    </row>
    <row r="265" customFormat="false" ht="15" hidden="false" customHeight="false" outlineLevel="0" collapsed="false">
      <c r="A265" s="16" t="str">
        <f aca="false">IF($C265="","",COUNTA($C$6:$C265))</f>
        <v/>
      </c>
      <c r="B265" s="17"/>
      <c r="C265" s="8"/>
      <c r="D265" s="8"/>
      <c r="E265" s="8"/>
      <c r="F265" s="8"/>
      <c r="G265" s="8"/>
      <c r="H265" s="8"/>
      <c r="I265" s="9"/>
      <c r="J265" s="10" t="str">
        <f aca="false">IF($H265="","",IFERROR(VLOOKUP($H265,'BẢNG GIÁ GỐC'!$A$5:$D$204,3,FALSE()),""))</f>
        <v/>
      </c>
      <c r="K265" s="9"/>
      <c r="L265" s="10" t="str">
        <f aca="false">IF($C265="","",N($I265)*N($K265))</f>
        <v/>
      </c>
      <c r="M265" s="8"/>
      <c r="N265" s="11" t="str">
        <f aca="false">IF($C265="","",IF($M265="VAT 5%",0.05,IF($M265="VAT 8%",0.08,IF($M265="VAT 10%",0.1,0))))</f>
        <v/>
      </c>
      <c r="O265" s="10" t="str">
        <f aca="false">IF($C265="","",$L265*$N265)</f>
        <v/>
      </c>
      <c r="P265" s="10" t="str">
        <f aca="false">IF($C265="","",$L265+$O265)</f>
        <v/>
      </c>
      <c r="Q265" s="9"/>
      <c r="R265" s="10" t="str">
        <f aca="false">IF($C265="","",MAX(0,$P265-N($Q265)))</f>
        <v/>
      </c>
      <c r="S265" s="19" t="str">
        <f aca="false">IF(OR($C265="",$P265=0),"",IF(N($Q265)&lt;=0,"Chưa thanh toán",IF(N($Q265)&lt;$P265,"Thanh toán một phần","Đã thanh toán")))</f>
        <v/>
      </c>
      <c r="T265" s="10" t="str">
        <f aca="false">IF(OR($C265="",$J265=""),"",N($I265)*$J265)</f>
        <v/>
      </c>
      <c r="U265" s="10" t="str">
        <f aca="false">IF(OR($C265="",$T265=""),"",$L265-$T265)</f>
        <v/>
      </c>
      <c r="V265" s="11" t="str">
        <f aca="false">IF(OR($U265="",$L265=0),"",$U265/$L265)</f>
        <v/>
      </c>
      <c r="W265" s="8"/>
      <c r="X265" s="19" t="str">
        <f aca="false">IF($C265="","",IF(AND($H265="",N($I265)=0,N($K265)=0),"Dòng chỉ lưu thông tin khách (chưa có đơn); ",IF($B265="","Thiếu ngày đặt; ","")&amp;IF($H265="","Thiếu tên sản phẩm; ",IF($J265="","Sản phẩm chưa có trong BẢNG GIÁ GỐC; ",""))&amp;IF(N($I265)&lt;=0,"Thiếu số lượng; ","")&amp;IF(N($K265)&lt;=0,"Thiếu giá bán; ","")&amp;IF(AND($N265&gt;0,$F265=""),"Khách lấy VAT thiếu mã số thuế; ","")&amp;IF(N($Q265)&gt;$P265,"Đã thu vượt tổng phải thu; ","")&amp;IF(AND($L265&gt;0,$U265&lt;0),"CẢNH BÁO: ĐƠN NÀY ĐANG LỖ; ","")))</f>
        <v/>
      </c>
      <c r="Y265" s="16" t="str">
        <f aca="false">IF(AND($C265&lt;&gt;"",$R265&gt;0),COUNTIFS($C$6:$C265,"&lt;&gt;",$R$6:$R265,"&gt;0"),"")</f>
        <v/>
      </c>
      <c r="Z265" s="16" t="str">
        <f aca="false">IF(AND($H265&lt;&gt;"",N($N265)&gt;0),COUNTIFS($H$6:$H265,"&lt;&gt;",$N$6:$N265,"&gt;0"),"")</f>
        <v/>
      </c>
      <c r="AA265" s="16" t="str">
        <f aca="false">IF(AND($H265&lt;&gt;"",N($N265)=0),COUNTIFS($H$6:$H265,"&lt;&gt;",$N$6:$N265,"&lt;=0"),"")</f>
        <v/>
      </c>
      <c r="AB265" s="16" t="str">
        <f aca="false">IF($C265="","",IF(COUNTIF($C$6:$C265,$C265)&gt;1,"",MAX($AB$5:AB264)+1))</f>
        <v/>
      </c>
      <c r="AC265" s="16" t="str">
        <f aca="false">IF($H265="","",IF(COUNTIF($H$6:$H265,$H265)&gt;1,"",MAX($AC$5:AC264)+1))</f>
        <v/>
      </c>
    </row>
    <row r="266" customFormat="false" ht="15" hidden="false" customHeight="false" outlineLevel="0" collapsed="false">
      <c r="A266" s="16" t="str">
        <f aca="false">IF($C266="","",COUNTA($C$6:$C266))</f>
        <v/>
      </c>
      <c r="B266" s="17"/>
      <c r="C266" s="8"/>
      <c r="D266" s="8"/>
      <c r="E266" s="8"/>
      <c r="F266" s="8"/>
      <c r="G266" s="8"/>
      <c r="H266" s="8"/>
      <c r="I266" s="9"/>
      <c r="J266" s="10" t="str">
        <f aca="false">IF($H266="","",IFERROR(VLOOKUP($H266,'BẢNG GIÁ GỐC'!$A$5:$D$204,3,FALSE()),""))</f>
        <v/>
      </c>
      <c r="K266" s="9"/>
      <c r="L266" s="10" t="str">
        <f aca="false">IF($C266="","",N($I266)*N($K266))</f>
        <v/>
      </c>
      <c r="M266" s="8"/>
      <c r="N266" s="11" t="str">
        <f aca="false">IF($C266="","",IF($M266="VAT 5%",0.05,IF($M266="VAT 8%",0.08,IF($M266="VAT 10%",0.1,0))))</f>
        <v/>
      </c>
      <c r="O266" s="10" t="str">
        <f aca="false">IF($C266="","",$L266*$N266)</f>
        <v/>
      </c>
      <c r="P266" s="10" t="str">
        <f aca="false">IF($C266="","",$L266+$O266)</f>
        <v/>
      </c>
      <c r="Q266" s="9"/>
      <c r="R266" s="10" t="str">
        <f aca="false">IF($C266="","",MAX(0,$P266-N($Q266)))</f>
        <v/>
      </c>
      <c r="S266" s="19" t="str">
        <f aca="false">IF(OR($C266="",$P266=0),"",IF(N($Q266)&lt;=0,"Chưa thanh toán",IF(N($Q266)&lt;$P266,"Thanh toán một phần","Đã thanh toán")))</f>
        <v/>
      </c>
      <c r="T266" s="10" t="str">
        <f aca="false">IF(OR($C266="",$J266=""),"",N($I266)*$J266)</f>
        <v/>
      </c>
      <c r="U266" s="10" t="str">
        <f aca="false">IF(OR($C266="",$T266=""),"",$L266-$T266)</f>
        <v/>
      </c>
      <c r="V266" s="11" t="str">
        <f aca="false">IF(OR($U266="",$L266=0),"",$U266/$L266)</f>
        <v/>
      </c>
      <c r="W266" s="8"/>
      <c r="X266" s="19" t="str">
        <f aca="false">IF($C266="","",IF(AND($H266="",N($I266)=0,N($K266)=0),"Dòng chỉ lưu thông tin khách (chưa có đơn); ",IF($B266="","Thiếu ngày đặt; ","")&amp;IF($H266="","Thiếu tên sản phẩm; ",IF($J266="","Sản phẩm chưa có trong BẢNG GIÁ GỐC; ",""))&amp;IF(N($I266)&lt;=0,"Thiếu số lượng; ","")&amp;IF(N($K266)&lt;=0,"Thiếu giá bán; ","")&amp;IF(AND($N266&gt;0,$F266=""),"Khách lấy VAT thiếu mã số thuế; ","")&amp;IF(N($Q266)&gt;$P266,"Đã thu vượt tổng phải thu; ","")&amp;IF(AND($L266&gt;0,$U266&lt;0),"CẢNH BÁO: ĐƠN NÀY ĐANG LỖ; ","")))</f>
        <v/>
      </c>
      <c r="Y266" s="16" t="str">
        <f aca="false">IF(AND($C266&lt;&gt;"",$R266&gt;0),COUNTIFS($C$6:$C266,"&lt;&gt;",$R$6:$R266,"&gt;0"),"")</f>
        <v/>
      </c>
      <c r="Z266" s="16" t="str">
        <f aca="false">IF(AND($H266&lt;&gt;"",N($N266)&gt;0),COUNTIFS($H$6:$H266,"&lt;&gt;",$N$6:$N266,"&gt;0"),"")</f>
        <v/>
      </c>
      <c r="AA266" s="16" t="str">
        <f aca="false">IF(AND($H266&lt;&gt;"",N($N266)=0),COUNTIFS($H$6:$H266,"&lt;&gt;",$N$6:$N266,"&lt;=0"),"")</f>
        <v/>
      </c>
      <c r="AB266" s="16" t="str">
        <f aca="false">IF($C266="","",IF(COUNTIF($C$6:$C266,$C266)&gt;1,"",MAX($AB$5:AB265)+1))</f>
        <v/>
      </c>
      <c r="AC266" s="16" t="str">
        <f aca="false">IF($H266="","",IF(COUNTIF($H$6:$H266,$H266)&gt;1,"",MAX($AC$5:AC265)+1))</f>
        <v/>
      </c>
    </row>
    <row r="267" customFormat="false" ht="15" hidden="false" customHeight="false" outlineLevel="0" collapsed="false">
      <c r="A267" s="16" t="str">
        <f aca="false">IF($C267="","",COUNTA($C$6:$C267))</f>
        <v/>
      </c>
      <c r="B267" s="17"/>
      <c r="C267" s="8"/>
      <c r="D267" s="8"/>
      <c r="E267" s="8"/>
      <c r="F267" s="8"/>
      <c r="G267" s="8"/>
      <c r="H267" s="8"/>
      <c r="I267" s="9"/>
      <c r="J267" s="10" t="str">
        <f aca="false">IF($H267="","",IFERROR(VLOOKUP($H267,'BẢNG GIÁ GỐC'!$A$5:$D$204,3,FALSE()),""))</f>
        <v/>
      </c>
      <c r="K267" s="9"/>
      <c r="L267" s="10" t="str">
        <f aca="false">IF($C267="","",N($I267)*N($K267))</f>
        <v/>
      </c>
      <c r="M267" s="8"/>
      <c r="N267" s="11" t="str">
        <f aca="false">IF($C267="","",IF($M267="VAT 5%",0.05,IF($M267="VAT 8%",0.08,IF($M267="VAT 10%",0.1,0))))</f>
        <v/>
      </c>
      <c r="O267" s="10" t="str">
        <f aca="false">IF($C267="","",$L267*$N267)</f>
        <v/>
      </c>
      <c r="P267" s="10" t="str">
        <f aca="false">IF($C267="","",$L267+$O267)</f>
        <v/>
      </c>
      <c r="Q267" s="9"/>
      <c r="R267" s="10" t="str">
        <f aca="false">IF($C267="","",MAX(0,$P267-N($Q267)))</f>
        <v/>
      </c>
      <c r="S267" s="19" t="str">
        <f aca="false">IF(OR($C267="",$P267=0),"",IF(N($Q267)&lt;=0,"Chưa thanh toán",IF(N($Q267)&lt;$P267,"Thanh toán một phần","Đã thanh toán")))</f>
        <v/>
      </c>
      <c r="T267" s="10" t="str">
        <f aca="false">IF(OR($C267="",$J267=""),"",N($I267)*$J267)</f>
        <v/>
      </c>
      <c r="U267" s="10" t="str">
        <f aca="false">IF(OR($C267="",$T267=""),"",$L267-$T267)</f>
        <v/>
      </c>
      <c r="V267" s="11" t="str">
        <f aca="false">IF(OR($U267="",$L267=0),"",$U267/$L267)</f>
        <v/>
      </c>
      <c r="W267" s="8"/>
      <c r="X267" s="19" t="str">
        <f aca="false">IF($C267="","",IF(AND($H267="",N($I267)=0,N($K267)=0),"Dòng chỉ lưu thông tin khách (chưa có đơn); ",IF($B267="","Thiếu ngày đặt; ","")&amp;IF($H267="","Thiếu tên sản phẩm; ",IF($J267="","Sản phẩm chưa có trong BẢNG GIÁ GỐC; ",""))&amp;IF(N($I267)&lt;=0,"Thiếu số lượng; ","")&amp;IF(N($K267)&lt;=0,"Thiếu giá bán; ","")&amp;IF(AND($N267&gt;0,$F267=""),"Khách lấy VAT thiếu mã số thuế; ","")&amp;IF(N($Q267)&gt;$P267,"Đã thu vượt tổng phải thu; ","")&amp;IF(AND($L267&gt;0,$U267&lt;0),"CẢNH BÁO: ĐƠN NÀY ĐANG LỖ; ","")))</f>
        <v/>
      </c>
      <c r="Y267" s="16" t="str">
        <f aca="false">IF(AND($C267&lt;&gt;"",$R267&gt;0),COUNTIFS($C$6:$C267,"&lt;&gt;",$R$6:$R267,"&gt;0"),"")</f>
        <v/>
      </c>
      <c r="Z267" s="16" t="str">
        <f aca="false">IF(AND($H267&lt;&gt;"",N($N267)&gt;0),COUNTIFS($H$6:$H267,"&lt;&gt;",$N$6:$N267,"&gt;0"),"")</f>
        <v/>
      </c>
      <c r="AA267" s="16" t="str">
        <f aca="false">IF(AND($H267&lt;&gt;"",N($N267)=0),COUNTIFS($H$6:$H267,"&lt;&gt;",$N$6:$N267,"&lt;=0"),"")</f>
        <v/>
      </c>
      <c r="AB267" s="16" t="str">
        <f aca="false">IF($C267="","",IF(COUNTIF($C$6:$C267,$C267)&gt;1,"",MAX($AB$5:AB266)+1))</f>
        <v/>
      </c>
      <c r="AC267" s="16" t="str">
        <f aca="false">IF($H267="","",IF(COUNTIF($H$6:$H267,$H267)&gt;1,"",MAX($AC$5:AC266)+1))</f>
        <v/>
      </c>
    </row>
    <row r="268" customFormat="false" ht="15" hidden="false" customHeight="false" outlineLevel="0" collapsed="false">
      <c r="A268" s="16" t="str">
        <f aca="false">IF($C268="","",COUNTA($C$6:$C268))</f>
        <v/>
      </c>
      <c r="B268" s="17"/>
      <c r="C268" s="8"/>
      <c r="D268" s="8"/>
      <c r="E268" s="8"/>
      <c r="F268" s="8"/>
      <c r="G268" s="8"/>
      <c r="H268" s="8"/>
      <c r="I268" s="9"/>
      <c r="J268" s="10" t="str">
        <f aca="false">IF($H268="","",IFERROR(VLOOKUP($H268,'BẢNG GIÁ GỐC'!$A$5:$D$204,3,FALSE()),""))</f>
        <v/>
      </c>
      <c r="K268" s="9"/>
      <c r="L268" s="10" t="str">
        <f aca="false">IF($C268="","",N($I268)*N($K268))</f>
        <v/>
      </c>
      <c r="M268" s="8"/>
      <c r="N268" s="11" t="str">
        <f aca="false">IF($C268="","",IF($M268="VAT 5%",0.05,IF($M268="VAT 8%",0.08,IF($M268="VAT 10%",0.1,0))))</f>
        <v/>
      </c>
      <c r="O268" s="10" t="str">
        <f aca="false">IF($C268="","",$L268*$N268)</f>
        <v/>
      </c>
      <c r="P268" s="10" t="str">
        <f aca="false">IF($C268="","",$L268+$O268)</f>
        <v/>
      </c>
      <c r="Q268" s="9"/>
      <c r="R268" s="10" t="str">
        <f aca="false">IF($C268="","",MAX(0,$P268-N($Q268)))</f>
        <v/>
      </c>
      <c r="S268" s="19" t="str">
        <f aca="false">IF(OR($C268="",$P268=0),"",IF(N($Q268)&lt;=0,"Chưa thanh toán",IF(N($Q268)&lt;$P268,"Thanh toán một phần","Đã thanh toán")))</f>
        <v/>
      </c>
      <c r="T268" s="10" t="str">
        <f aca="false">IF(OR($C268="",$J268=""),"",N($I268)*$J268)</f>
        <v/>
      </c>
      <c r="U268" s="10" t="str">
        <f aca="false">IF(OR($C268="",$T268=""),"",$L268-$T268)</f>
        <v/>
      </c>
      <c r="V268" s="11" t="str">
        <f aca="false">IF(OR($U268="",$L268=0),"",$U268/$L268)</f>
        <v/>
      </c>
      <c r="W268" s="8"/>
      <c r="X268" s="19" t="str">
        <f aca="false">IF($C268="","",IF(AND($H268="",N($I268)=0,N($K268)=0),"Dòng chỉ lưu thông tin khách (chưa có đơn); ",IF($B268="","Thiếu ngày đặt; ","")&amp;IF($H268="","Thiếu tên sản phẩm; ",IF($J268="","Sản phẩm chưa có trong BẢNG GIÁ GỐC; ",""))&amp;IF(N($I268)&lt;=0,"Thiếu số lượng; ","")&amp;IF(N($K268)&lt;=0,"Thiếu giá bán; ","")&amp;IF(AND($N268&gt;0,$F268=""),"Khách lấy VAT thiếu mã số thuế; ","")&amp;IF(N($Q268)&gt;$P268,"Đã thu vượt tổng phải thu; ","")&amp;IF(AND($L268&gt;0,$U268&lt;0),"CẢNH BÁO: ĐƠN NÀY ĐANG LỖ; ","")))</f>
        <v/>
      </c>
      <c r="Y268" s="16" t="str">
        <f aca="false">IF(AND($C268&lt;&gt;"",$R268&gt;0),COUNTIFS($C$6:$C268,"&lt;&gt;",$R$6:$R268,"&gt;0"),"")</f>
        <v/>
      </c>
      <c r="Z268" s="16" t="str">
        <f aca="false">IF(AND($H268&lt;&gt;"",N($N268)&gt;0),COUNTIFS($H$6:$H268,"&lt;&gt;",$N$6:$N268,"&gt;0"),"")</f>
        <v/>
      </c>
      <c r="AA268" s="16" t="str">
        <f aca="false">IF(AND($H268&lt;&gt;"",N($N268)=0),COUNTIFS($H$6:$H268,"&lt;&gt;",$N$6:$N268,"&lt;=0"),"")</f>
        <v/>
      </c>
      <c r="AB268" s="16" t="str">
        <f aca="false">IF($C268="","",IF(COUNTIF($C$6:$C268,$C268)&gt;1,"",MAX($AB$5:AB267)+1))</f>
        <v/>
      </c>
      <c r="AC268" s="16" t="str">
        <f aca="false">IF($H268="","",IF(COUNTIF($H$6:$H268,$H268)&gt;1,"",MAX($AC$5:AC267)+1))</f>
        <v/>
      </c>
    </row>
    <row r="269" customFormat="false" ht="15" hidden="false" customHeight="false" outlineLevel="0" collapsed="false">
      <c r="A269" s="16" t="str">
        <f aca="false">IF($C269="","",COUNTA($C$6:$C269))</f>
        <v/>
      </c>
      <c r="B269" s="17"/>
      <c r="C269" s="8"/>
      <c r="D269" s="8"/>
      <c r="E269" s="8"/>
      <c r="F269" s="8"/>
      <c r="G269" s="8"/>
      <c r="H269" s="8"/>
      <c r="I269" s="9"/>
      <c r="J269" s="10" t="str">
        <f aca="false">IF($H269="","",IFERROR(VLOOKUP($H269,'BẢNG GIÁ GỐC'!$A$5:$D$204,3,FALSE()),""))</f>
        <v/>
      </c>
      <c r="K269" s="9"/>
      <c r="L269" s="10" t="str">
        <f aca="false">IF($C269="","",N($I269)*N($K269))</f>
        <v/>
      </c>
      <c r="M269" s="8"/>
      <c r="N269" s="11" t="str">
        <f aca="false">IF($C269="","",IF($M269="VAT 5%",0.05,IF($M269="VAT 8%",0.08,IF($M269="VAT 10%",0.1,0))))</f>
        <v/>
      </c>
      <c r="O269" s="10" t="str">
        <f aca="false">IF($C269="","",$L269*$N269)</f>
        <v/>
      </c>
      <c r="P269" s="10" t="str">
        <f aca="false">IF($C269="","",$L269+$O269)</f>
        <v/>
      </c>
      <c r="Q269" s="9"/>
      <c r="R269" s="10" t="str">
        <f aca="false">IF($C269="","",MAX(0,$P269-N($Q269)))</f>
        <v/>
      </c>
      <c r="S269" s="19" t="str">
        <f aca="false">IF(OR($C269="",$P269=0),"",IF(N($Q269)&lt;=0,"Chưa thanh toán",IF(N($Q269)&lt;$P269,"Thanh toán một phần","Đã thanh toán")))</f>
        <v/>
      </c>
      <c r="T269" s="10" t="str">
        <f aca="false">IF(OR($C269="",$J269=""),"",N($I269)*$J269)</f>
        <v/>
      </c>
      <c r="U269" s="10" t="str">
        <f aca="false">IF(OR($C269="",$T269=""),"",$L269-$T269)</f>
        <v/>
      </c>
      <c r="V269" s="11" t="str">
        <f aca="false">IF(OR($U269="",$L269=0),"",$U269/$L269)</f>
        <v/>
      </c>
      <c r="W269" s="8"/>
      <c r="X269" s="19" t="str">
        <f aca="false">IF($C269="","",IF(AND($H269="",N($I269)=0,N($K269)=0),"Dòng chỉ lưu thông tin khách (chưa có đơn); ",IF($B269="","Thiếu ngày đặt; ","")&amp;IF($H269="","Thiếu tên sản phẩm; ",IF($J269="","Sản phẩm chưa có trong BẢNG GIÁ GỐC; ",""))&amp;IF(N($I269)&lt;=0,"Thiếu số lượng; ","")&amp;IF(N($K269)&lt;=0,"Thiếu giá bán; ","")&amp;IF(AND($N269&gt;0,$F269=""),"Khách lấy VAT thiếu mã số thuế; ","")&amp;IF(N($Q269)&gt;$P269,"Đã thu vượt tổng phải thu; ","")&amp;IF(AND($L269&gt;0,$U269&lt;0),"CẢNH BÁO: ĐƠN NÀY ĐANG LỖ; ","")))</f>
        <v/>
      </c>
      <c r="Y269" s="16" t="str">
        <f aca="false">IF(AND($C269&lt;&gt;"",$R269&gt;0),COUNTIFS($C$6:$C269,"&lt;&gt;",$R$6:$R269,"&gt;0"),"")</f>
        <v/>
      </c>
      <c r="Z269" s="16" t="str">
        <f aca="false">IF(AND($H269&lt;&gt;"",N($N269)&gt;0),COUNTIFS($H$6:$H269,"&lt;&gt;",$N$6:$N269,"&gt;0"),"")</f>
        <v/>
      </c>
      <c r="AA269" s="16" t="str">
        <f aca="false">IF(AND($H269&lt;&gt;"",N($N269)=0),COUNTIFS($H$6:$H269,"&lt;&gt;",$N$6:$N269,"&lt;=0"),"")</f>
        <v/>
      </c>
      <c r="AB269" s="16" t="str">
        <f aca="false">IF($C269="","",IF(COUNTIF($C$6:$C269,$C269)&gt;1,"",MAX($AB$5:AB268)+1))</f>
        <v/>
      </c>
      <c r="AC269" s="16" t="str">
        <f aca="false">IF($H269="","",IF(COUNTIF($H$6:$H269,$H269)&gt;1,"",MAX($AC$5:AC268)+1))</f>
        <v/>
      </c>
    </row>
    <row r="270" customFormat="false" ht="15" hidden="false" customHeight="false" outlineLevel="0" collapsed="false">
      <c r="A270" s="16" t="str">
        <f aca="false">IF($C270="","",COUNTA($C$6:$C270))</f>
        <v/>
      </c>
      <c r="B270" s="17"/>
      <c r="C270" s="8"/>
      <c r="D270" s="8"/>
      <c r="E270" s="8"/>
      <c r="F270" s="8"/>
      <c r="G270" s="8"/>
      <c r="H270" s="8"/>
      <c r="I270" s="9"/>
      <c r="J270" s="10" t="str">
        <f aca="false">IF($H270="","",IFERROR(VLOOKUP($H270,'BẢNG GIÁ GỐC'!$A$5:$D$204,3,FALSE()),""))</f>
        <v/>
      </c>
      <c r="K270" s="9"/>
      <c r="L270" s="10" t="str">
        <f aca="false">IF($C270="","",N($I270)*N($K270))</f>
        <v/>
      </c>
      <c r="M270" s="8"/>
      <c r="N270" s="11" t="str">
        <f aca="false">IF($C270="","",IF($M270="VAT 5%",0.05,IF($M270="VAT 8%",0.08,IF($M270="VAT 10%",0.1,0))))</f>
        <v/>
      </c>
      <c r="O270" s="10" t="str">
        <f aca="false">IF($C270="","",$L270*$N270)</f>
        <v/>
      </c>
      <c r="P270" s="10" t="str">
        <f aca="false">IF($C270="","",$L270+$O270)</f>
        <v/>
      </c>
      <c r="Q270" s="9"/>
      <c r="R270" s="10" t="str">
        <f aca="false">IF($C270="","",MAX(0,$P270-N($Q270)))</f>
        <v/>
      </c>
      <c r="S270" s="19" t="str">
        <f aca="false">IF(OR($C270="",$P270=0),"",IF(N($Q270)&lt;=0,"Chưa thanh toán",IF(N($Q270)&lt;$P270,"Thanh toán một phần","Đã thanh toán")))</f>
        <v/>
      </c>
      <c r="T270" s="10" t="str">
        <f aca="false">IF(OR($C270="",$J270=""),"",N($I270)*$J270)</f>
        <v/>
      </c>
      <c r="U270" s="10" t="str">
        <f aca="false">IF(OR($C270="",$T270=""),"",$L270-$T270)</f>
        <v/>
      </c>
      <c r="V270" s="11" t="str">
        <f aca="false">IF(OR($U270="",$L270=0),"",$U270/$L270)</f>
        <v/>
      </c>
      <c r="W270" s="8"/>
      <c r="X270" s="19" t="str">
        <f aca="false">IF($C270="","",IF(AND($H270="",N($I270)=0,N($K270)=0),"Dòng chỉ lưu thông tin khách (chưa có đơn); ",IF($B270="","Thiếu ngày đặt; ","")&amp;IF($H270="","Thiếu tên sản phẩm; ",IF($J270="","Sản phẩm chưa có trong BẢNG GIÁ GỐC; ",""))&amp;IF(N($I270)&lt;=0,"Thiếu số lượng; ","")&amp;IF(N($K270)&lt;=0,"Thiếu giá bán; ","")&amp;IF(AND($N270&gt;0,$F270=""),"Khách lấy VAT thiếu mã số thuế; ","")&amp;IF(N($Q270)&gt;$P270,"Đã thu vượt tổng phải thu; ","")&amp;IF(AND($L270&gt;0,$U270&lt;0),"CẢNH BÁO: ĐƠN NÀY ĐANG LỖ; ","")))</f>
        <v/>
      </c>
      <c r="Y270" s="16" t="str">
        <f aca="false">IF(AND($C270&lt;&gt;"",$R270&gt;0),COUNTIFS($C$6:$C270,"&lt;&gt;",$R$6:$R270,"&gt;0"),"")</f>
        <v/>
      </c>
      <c r="Z270" s="16" t="str">
        <f aca="false">IF(AND($H270&lt;&gt;"",N($N270)&gt;0),COUNTIFS($H$6:$H270,"&lt;&gt;",$N$6:$N270,"&gt;0"),"")</f>
        <v/>
      </c>
      <c r="AA270" s="16" t="str">
        <f aca="false">IF(AND($H270&lt;&gt;"",N($N270)=0),COUNTIFS($H$6:$H270,"&lt;&gt;",$N$6:$N270,"&lt;=0"),"")</f>
        <v/>
      </c>
      <c r="AB270" s="16" t="str">
        <f aca="false">IF($C270="","",IF(COUNTIF($C$6:$C270,$C270)&gt;1,"",MAX($AB$5:AB269)+1))</f>
        <v/>
      </c>
      <c r="AC270" s="16" t="str">
        <f aca="false">IF($H270="","",IF(COUNTIF($H$6:$H270,$H270)&gt;1,"",MAX($AC$5:AC269)+1))</f>
        <v/>
      </c>
    </row>
    <row r="271" customFormat="false" ht="15" hidden="false" customHeight="false" outlineLevel="0" collapsed="false">
      <c r="A271" s="16" t="str">
        <f aca="false">IF($C271="","",COUNTA($C$6:$C271))</f>
        <v/>
      </c>
      <c r="B271" s="17"/>
      <c r="C271" s="8"/>
      <c r="D271" s="8"/>
      <c r="E271" s="8"/>
      <c r="F271" s="8"/>
      <c r="G271" s="8"/>
      <c r="H271" s="8"/>
      <c r="I271" s="9"/>
      <c r="J271" s="10" t="str">
        <f aca="false">IF($H271="","",IFERROR(VLOOKUP($H271,'BẢNG GIÁ GỐC'!$A$5:$D$204,3,FALSE()),""))</f>
        <v/>
      </c>
      <c r="K271" s="9"/>
      <c r="L271" s="10" t="str">
        <f aca="false">IF($C271="","",N($I271)*N($K271))</f>
        <v/>
      </c>
      <c r="M271" s="8"/>
      <c r="N271" s="11" t="str">
        <f aca="false">IF($C271="","",IF($M271="VAT 5%",0.05,IF($M271="VAT 8%",0.08,IF($M271="VAT 10%",0.1,0))))</f>
        <v/>
      </c>
      <c r="O271" s="10" t="str">
        <f aca="false">IF($C271="","",$L271*$N271)</f>
        <v/>
      </c>
      <c r="P271" s="10" t="str">
        <f aca="false">IF($C271="","",$L271+$O271)</f>
        <v/>
      </c>
      <c r="Q271" s="9"/>
      <c r="R271" s="10" t="str">
        <f aca="false">IF($C271="","",MAX(0,$P271-N($Q271)))</f>
        <v/>
      </c>
      <c r="S271" s="19" t="str">
        <f aca="false">IF(OR($C271="",$P271=0),"",IF(N($Q271)&lt;=0,"Chưa thanh toán",IF(N($Q271)&lt;$P271,"Thanh toán một phần","Đã thanh toán")))</f>
        <v/>
      </c>
      <c r="T271" s="10" t="str">
        <f aca="false">IF(OR($C271="",$J271=""),"",N($I271)*$J271)</f>
        <v/>
      </c>
      <c r="U271" s="10" t="str">
        <f aca="false">IF(OR($C271="",$T271=""),"",$L271-$T271)</f>
        <v/>
      </c>
      <c r="V271" s="11" t="str">
        <f aca="false">IF(OR($U271="",$L271=0),"",$U271/$L271)</f>
        <v/>
      </c>
      <c r="W271" s="8"/>
      <c r="X271" s="19" t="str">
        <f aca="false">IF($C271="","",IF(AND($H271="",N($I271)=0,N($K271)=0),"Dòng chỉ lưu thông tin khách (chưa có đơn); ",IF($B271="","Thiếu ngày đặt; ","")&amp;IF($H271="","Thiếu tên sản phẩm; ",IF($J271="","Sản phẩm chưa có trong BẢNG GIÁ GỐC; ",""))&amp;IF(N($I271)&lt;=0,"Thiếu số lượng; ","")&amp;IF(N($K271)&lt;=0,"Thiếu giá bán; ","")&amp;IF(AND($N271&gt;0,$F271=""),"Khách lấy VAT thiếu mã số thuế; ","")&amp;IF(N($Q271)&gt;$P271,"Đã thu vượt tổng phải thu; ","")&amp;IF(AND($L271&gt;0,$U271&lt;0),"CẢNH BÁO: ĐƠN NÀY ĐANG LỖ; ","")))</f>
        <v/>
      </c>
      <c r="Y271" s="16" t="str">
        <f aca="false">IF(AND($C271&lt;&gt;"",$R271&gt;0),COUNTIFS($C$6:$C271,"&lt;&gt;",$R$6:$R271,"&gt;0"),"")</f>
        <v/>
      </c>
      <c r="Z271" s="16" t="str">
        <f aca="false">IF(AND($H271&lt;&gt;"",N($N271)&gt;0),COUNTIFS($H$6:$H271,"&lt;&gt;",$N$6:$N271,"&gt;0"),"")</f>
        <v/>
      </c>
      <c r="AA271" s="16" t="str">
        <f aca="false">IF(AND($H271&lt;&gt;"",N($N271)=0),COUNTIFS($H$6:$H271,"&lt;&gt;",$N$6:$N271,"&lt;=0"),"")</f>
        <v/>
      </c>
      <c r="AB271" s="16" t="str">
        <f aca="false">IF($C271="","",IF(COUNTIF($C$6:$C271,$C271)&gt;1,"",MAX($AB$5:AB270)+1))</f>
        <v/>
      </c>
      <c r="AC271" s="16" t="str">
        <f aca="false">IF($H271="","",IF(COUNTIF($H$6:$H271,$H271)&gt;1,"",MAX($AC$5:AC270)+1))</f>
        <v/>
      </c>
    </row>
    <row r="272" customFormat="false" ht="15" hidden="false" customHeight="false" outlineLevel="0" collapsed="false">
      <c r="A272" s="16" t="str">
        <f aca="false">IF($C272="","",COUNTA($C$6:$C272))</f>
        <v/>
      </c>
      <c r="B272" s="17"/>
      <c r="C272" s="8"/>
      <c r="D272" s="8"/>
      <c r="E272" s="8"/>
      <c r="F272" s="8"/>
      <c r="G272" s="8"/>
      <c r="H272" s="8"/>
      <c r="I272" s="9"/>
      <c r="J272" s="10" t="str">
        <f aca="false">IF($H272="","",IFERROR(VLOOKUP($H272,'BẢNG GIÁ GỐC'!$A$5:$D$204,3,FALSE()),""))</f>
        <v/>
      </c>
      <c r="K272" s="9"/>
      <c r="L272" s="10" t="str">
        <f aca="false">IF($C272="","",N($I272)*N($K272))</f>
        <v/>
      </c>
      <c r="M272" s="8"/>
      <c r="N272" s="11" t="str">
        <f aca="false">IF($C272="","",IF($M272="VAT 5%",0.05,IF($M272="VAT 8%",0.08,IF($M272="VAT 10%",0.1,0))))</f>
        <v/>
      </c>
      <c r="O272" s="10" t="str">
        <f aca="false">IF($C272="","",$L272*$N272)</f>
        <v/>
      </c>
      <c r="P272" s="10" t="str">
        <f aca="false">IF($C272="","",$L272+$O272)</f>
        <v/>
      </c>
      <c r="Q272" s="9"/>
      <c r="R272" s="10" t="str">
        <f aca="false">IF($C272="","",MAX(0,$P272-N($Q272)))</f>
        <v/>
      </c>
      <c r="S272" s="19" t="str">
        <f aca="false">IF(OR($C272="",$P272=0),"",IF(N($Q272)&lt;=0,"Chưa thanh toán",IF(N($Q272)&lt;$P272,"Thanh toán một phần","Đã thanh toán")))</f>
        <v/>
      </c>
      <c r="T272" s="10" t="str">
        <f aca="false">IF(OR($C272="",$J272=""),"",N($I272)*$J272)</f>
        <v/>
      </c>
      <c r="U272" s="10" t="str">
        <f aca="false">IF(OR($C272="",$T272=""),"",$L272-$T272)</f>
        <v/>
      </c>
      <c r="V272" s="11" t="str">
        <f aca="false">IF(OR($U272="",$L272=0),"",$U272/$L272)</f>
        <v/>
      </c>
      <c r="W272" s="8"/>
      <c r="X272" s="19" t="str">
        <f aca="false">IF($C272="","",IF(AND($H272="",N($I272)=0,N($K272)=0),"Dòng chỉ lưu thông tin khách (chưa có đơn); ",IF($B272="","Thiếu ngày đặt; ","")&amp;IF($H272="","Thiếu tên sản phẩm; ",IF($J272="","Sản phẩm chưa có trong BẢNG GIÁ GỐC; ",""))&amp;IF(N($I272)&lt;=0,"Thiếu số lượng; ","")&amp;IF(N($K272)&lt;=0,"Thiếu giá bán; ","")&amp;IF(AND($N272&gt;0,$F272=""),"Khách lấy VAT thiếu mã số thuế; ","")&amp;IF(N($Q272)&gt;$P272,"Đã thu vượt tổng phải thu; ","")&amp;IF(AND($L272&gt;0,$U272&lt;0),"CẢNH BÁO: ĐƠN NÀY ĐANG LỖ; ","")))</f>
        <v/>
      </c>
      <c r="Y272" s="16" t="str">
        <f aca="false">IF(AND($C272&lt;&gt;"",$R272&gt;0),COUNTIFS($C$6:$C272,"&lt;&gt;",$R$6:$R272,"&gt;0"),"")</f>
        <v/>
      </c>
      <c r="Z272" s="16" t="str">
        <f aca="false">IF(AND($H272&lt;&gt;"",N($N272)&gt;0),COUNTIFS($H$6:$H272,"&lt;&gt;",$N$6:$N272,"&gt;0"),"")</f>
        <v/>
      </c>
      <c r="AA272" s="16" t="str">
        <f aca="false">IF(AND($H272&lt;&gt;"",N($N272)=0),COUNTIFS($H$6:$H272,"&lt;&gt;",$N$6:$N272,"&lt;=0"),"")</f>
        <v/>
      </c>
      <c r="AB272" s="16" t="str">
        <f aca="false">IF($C272="","",IF(COUNTIF($C$6:$C272,$C272)&gt;1,"",MAX($AB$5:AB271)+1))</f>
        <v/>
      </c>
      <c r="AC272" s="16" t="str">
        <f aca="false">IF($H272="","",IF(COUNTIF($H$6:$H272,$H272)&gt;1,"",MAX($AC$5:AC271)+1))</f>
        <v/>
      </c>
    </row>
    <row r="273" customFormat="false" ht="15" hidden="false" customHeight="false" outlineLevel="0" collapsed="false">
      <c r="A273" s="16" t="str">
        <f aca="false">IF($C273="","",COUNTA($C$6:$C273))</f>
        <v/>
      </c>
      <c r="B273" s="17"/>
      <c r="C273" s="8"/>
      <c r="D273" s="8"/>
      <c r="E273" s="8"/>
      <c r="F273" s="8"/>
      <c r="G273" s="8"/>
      <c r="H273" s="8"/>
      <c r="I273" s="9"/>
      <c r="J273" s="10" t="str">
        <f aca="false">IF($H273="","",IFERROR(VLOOKUP($H273,'BẢNG GIÁ GỐC'!$A$5:$D$204,3,FALSE()),""))</f>
        <v/>
      </c>
      <c r="K273" s="9"/>
      <c r="L273" s="10" t="str">
        <f aca="false">IF($C273="","",N($I273)*N($K273))</f>
        <v/>
      </c>
      <c r="M273" s="8"/>
      <c r="N273" s="11" t="str">
        <f aca="false">IF($C273="","",IF($M273="VAT 5%",0.05,IF($M273="VAT 8%",0.08,IF($M273="VAT 10%",0.1,0))))</f>
        <v/>
      </c>
      <c r="O273" s="10" t="str">
        <f aca="false">IF($C273="","",$L273*$N273)</f>
        <v/>
      </c>
      <c r="P273" s="10" t="str">
        <f aca="false">IF($C273="","",$L273+$O273)</f>
        <v/>
      </c>
      <c r="Q273" s="9"/>
      <c r="R273" s="10" t="str">
        <f aca="false">IF($C273="","",MAX(0,$P273-N($Q273)))</f>
        <v/>
      </c>
      <c r="S273" s="19" t="str">
        <f aca="false">IF(OR($C273="",$P273=0),"",IF(N($Q273)&lt;=0,"Chưa thanh toán",IF(N($Q273)&lt;$P273,"Thanh toán một phần","Đã thanh toán")))</f>
        <v/>
      </c>
      <c r="T273" s="10" t="str">
        <f aca="false">IF(OR($C273="",$J273=""),"",N($I273)*$J273)</f>
        <v/>
      </c>
      <c r="U273" s="10" t="str">
        <f aca="false">IF(OR($C273="",$T273=""),"",$L273-$T273)</f>
        <v/>
      </c>
      <c r="V273" s="11" t="str">
        <f aca="false">IF(OR($U273="",$L273=0),"",$U273/$L273)</f>
        <v/>
      </c>
      <c r="W273" s="8"/>
      <c r="X273" s="19" t="str">
        <f aca="false">IF($C273="","",IF(AND($H273="",N($I273)=0,N($K273)=0),"Dòng chỉ lưu thông tin khách (chưa có đơn); ",IF($B273="","Thiếu ngày đặt; ","")&amp;IF($H273="","Thiếu tên sản phẩm; ",IF($J273="","Sản phẩm chưa có trong BẢNG GIÁ GỐC; ",""))&amp;IF(N($I273)&lt;=0,"Thiếu số lượng; ","")&amp;IF(N($K273)&lt;=0,"Thiếu giá bán; ","")&amp;IF(AND($N273&gt;0,$F273=""),"Khách lấy VAT thiếu mã số thuế; ","")&amp;IF(N($Q273)&gt;$P273,"Đã thu vượt tổng phải thu; ","")&amp;IF(AND($L273&gt;0,$U273&lt;0),"CẢNH BÁO: ĐƠN NÀY ĐANG LỖ; ","")))</f>
        <v/>
      </c>
      <c r="Y273" s="16" t="str">
        <f aca="false">IF(AND($C273&lt;&gt;"",$R273&gt;0),COUNTIFS($C$6:$C273,"&lt;&gt;",$R$6:$R273,"&gt;0"),"")</f>
        <v/>
      </c>
      <c r="Z273" s="16" t="str">
        <f aca="false">IF(AND($H273&lt;&gt;"",N($N273)&gt;0),COUNTIFS($H$6:$H273,"&lt;&gt;",$N$6:$N273,"&gt;0"),"")</f>
        <v/>
      </c>
      <c r="AA273" s="16" t="str">
        <f aca="false">IF(AND($H273&lt;&gt;"",N($N273)=0),COUNTIFS($H$6:$H273,"&lt;&gt;",$N$6:$N273,"&lt;=0"),"")</f>
        <v/>
      </c>
      <c r="AB273" s="16" t="str">
        <f aca="false">IF($C273="","",IF(COUNTIF($C$6:$C273,$C273)&gt;1,"",MAX($AB$5:AB272)+1))</f>
        <v/>
      </c>
      <c r="AC273" s="16" t="str">
        <f aca="false">IF($H273="","",IF(COUNTIF($H$6:$H273,$H273)&gt;1,"",MAX($AC$5:AC272)+1))</f>
        <v/>
      </c>
    </row>
    <row r="274" customFormat="false" ht="15" hidden="false" customHeight="false" outlineLevel="0" collapsed="false">
      <c r="A274" s="16" t="str">
        <f aca="false">IF($C274="","",COUNTA($C$6:$C274))</f>
        <v/>
      </c>
      <c r="B274" s="17"/>
      <c r="C274" s="8"/>
      <c r="D274" s="8"/>
      <c r="E274" s="8"/>
      <c r="F274" s="8"/>
      <c r="G274" s="8"/>
      <c r="H274" s="8"/>
      <c r="I274" s="9"/>
      <c r="J274" s="10" t="str">
        <f aca="false">IF($H274="","",IFERROR(VLOOKUP($H274,'BẢNG GIÁ GỐC'!$A$5:$D$204,3,FALSE()),""))</f>
        <v/>
      </c>
      <c r="K274" s="9"/>
      <c r="L274" s="10" t="str">
        <f aca="false">IF($C274="","",N($I274)*N($K274))</f>
        <v/>
      </c>
      <c r="M274" s="8"/>
      <c r="N274" s="11" t="str">
        <f aca="false">IF($C274="","",IF($M274="VAT 5%",0.05,IF($M274="VAT 8%",0.08,IF($M274="VAT 10%",0.1,0))))</f>
        <v/>
      </c>
      <c r="O274" s="10" t="str">
        <f aca="false">IF($C274="","",$L274*$N274)</f>
        <v/>
      </c>
      <c r="P274" s="10" t="str">
        <f aca="false">IF($C274="","",$L274+$O274)</f>
        <v/>
      </c>
      <c r="Q274" s="9"/>
      <c r="R274" s="10" t="str">
        <f aca="false">IF($C274="","",MAX(0,$P274-N($Q274)))</f>
        <v/>
      </c>
      <c r="S274" s="19" t="str">
        <f aca="false">IF(OR($C274="",$P274=0),"",IF(N($Q274)&lt;=0,"Chưa thanh toán",IF(N($Q274)&lt;$P274,"Thanh toán một phần","Đã thanh toán")))</f>
        <v/>
      </c>
      <c r="T274" s="10" t="str">
        <f aca="false">IF(OR($C274="",$J274=""),"",N($I274)*$J274)</f>
        <v/>
      </c>
      <c r="U274" s="10" t="str">
        <f aca="false">IF(OR($C274="",$T274=""),"",$L274-$T274)</f>
        <v/>
      </c>
      <c r="V274" s="11" t="str">
        <f aca="false">IF(OR($U274="",$L274=0),"",$U274/$L274)</f>
        <v/>
      </c>
      <c r="W274" s="8"/>
      <c r="X274" s="19" t="str">
        <f aca="false">IF($C274="","",IF(AND($H274="",N($I274)=0,N($K274)=0),"Dòng chỉ lưu thông tin khách (chưa có đơn); ",IF($B274="","Thiếu ngày đặt; ","")&amp;IF($H274="","Thiếu tên sản phẩm; ",IF($J274="","Sản phẩm chưa có trong BẢNG GIÁ GỐC; ",""))&amp;IF(N($I274)&lt;=0,"Thiếu số lượng; ","")&amp;IF(N($K274)&lt;=0,"Thiếu giá bán; ","")&amp;IF(AND($N274&gt;0,$F274=""),"Khách lấy VAT thiếu mã số thuế; ","")&amp;IF(N($Q274)&gt;$P274,"Đã thu vượt tổng phải thu; ","")&amp;IF(AND($L274&gt;0,$U274&lt;0),"CẢNH BÁO: ĐƠN NÀY ĐANG LỖ; ","")))</f>
        <v/>
      </c>
      <c r="Y274" s="16" t="str">
        <f aca="false">IF(AND($C274&lt;&gt;"",$R274&gt;0),COUNTIFS($C$6:$C274,"&lt;&gt;",$R$6:$R274,"&gt;0"),"")</f>
        <v/>
      </c>
      <c r="Z274" s="16" t="str">
        <f aca="false">IF(AND($H274&lt;&gt;"",N($N274)&gt;0),COUNTIFS($H$6:$H274,"&lt;&gt;",$N$6:$N274,"&gt;0"),"")</f>
        <v/>
      </c>
      <c r="AA274" s="16" t="str">
        <f aca="false">IF(AND($H274&lt;&gt;"",N($N274)=0),COUNTIFS($H$6:$H274,"&lt;&gt;",$N$6:$N274,"&lt;=0"),"")</f>
        <v/>
      </c>
      <c r="AB274" s="16" t="str">
        <f aca="false">IF($C274="","",IF(COUNTIF($C$6:$C274,$C274)&gt;1,"",MAX($AB$5:AB273)+1))</f>
        <v/>
      </c>
      <c r="AC274" s="16" t="str">
        <f aca="false">IF($H274="","",IF(COUNTIF($H$6:$H274,$H274)&gt;1,"",MAX($AC$5:AC273)+1))</f>
        <v/>
      </c>
    </row>
    <row r="275" customFormat="false" ht="15" hidden="false" customHeight="false" outlineLevel="0" collapsed="false">
      <c r="A275" s="16" t="str">
        <f aca="false">IF($C275="","",COUNTA($C$6:$C275))</f>
        <v/>
      </c>
      <c r="B275" s="17"/>
      <c r="C275" s="8"/>
      <c r="D275" s="8"/>
      <c r="E275" s="8"/>
      <c r="F275" s="8"/>
      <c r="G275" s="8"/>
      <c r="H275" s="8"/>
      <c r="I275" s="9"/>
      <c r="J275" s="10" t="str">
        <f aca="false">IF($H275="","",IFERROR(VLOOKUP($H275,'BẢNG GIÁ GỐC'!$A$5:$D$204,3,FALSE()),""))</f>
        <v/>
      </c>
      <c r="K275" s="9"/>
      <c r="L275" s="10" t="str">
        <f aca="false">IF($C275="","",N($I275)*N($K275))</f>
        <v/>
      </c>
      <c r="M275" s="8"/>
      <c r="N275" s="11" t="str">
        <f aca="false">IF($C275="","",IF($M275="VAT 5%",0.05,IF($M275="VAT 8%",0.08,IF($M275="VAT 10%",0.1,0))))</f>
        <v/>
      </c>
      <c r="O275" s="10" t="str">
        <f aca="false">IF($C275="","",$L275*$N275)</f>
        <v/>
      </c>
      <c r="P275" s="10" t="str">
        <f aca="false">IF($C275="","",$L275+$O275)</f>
        <v/>
      </c>
      <c r="Q275" s="9"/>
      <c r="R275" s="10" t="str">
        <f aca="false">IF($C275="","",MAX(0,$P275-N($Q275)))</f>
        <v/>
      </c>
      <c r="S275" s="19" t="str">
        <f aca="false">IF(OR($C275="",$P275=0),"",IF(N($Q275)&lt;=0,"Chưa thanh toán",IF(N($Q275)&lt;$P275,"Thanh toán một phần","Đã thanh toán")))</f>
        <v/>
      </c>
      <c r="T275" s="10" t="str">
        <f aca="false">IF(OR($C275="",$J275=""),"",N($I275)*$J275)</f>
        <v/>
      </c>
      <c r="U275" s="10" t="str">
        <f aca="false">IF(OR($C275="",$T275=""),"",$L275-$T275)</f>
        <v/>
      </c>
      <c r="V275" s="11" t="str">
        <f aca="false">IF(OR($U275="",$L275=0),"",$U275/$L275)</f>
        <v/>
      </c>
      <c r="W275" s="8"/>
      <c r="X275" s="19" t="str">
        <f aca="false">IF($C275="","",IF(AND($H275="",N($I275)=0,N($K275)=0),"Dòng chỉ lưu thông tin khách (chưa có đơn); ",IF($B275="","Thiếu ngày đặt; ","")&amp;IF($H275="","Thiếu tên sản phẩm; ",IF($J275="","Sản phẩm chưa có trong BẢNG GIÁ GỐC; ",""))&amp;IF(N($I275)&lt;=0,"Thiếu số lượng; ","")&amp;IF(N($K275)&lt;=0,"Thiếu giá bán; ","")&amp;IF(AND($N275&gt;0,$F275=""),"Khách lấy VAT thiếu mã số thuế; ","")&amp;IF(N($Q275)&gt;$P275,"Đã thu vượt tổng phải thu; ","")&amp;IF(AND($L275&gt;0,$U275&lt;0),"CẢNH BÁO: ĐƠN NÀY ĐANG LỖ; ","")))</f>
        <v/>
      </c>
      <c r="Y275" s="16" t="str">
        <f aca="false">IF(AND($C275&lt;&gt;"",$R275&gt;0),COUNTIFS($C$6:$C275,"&lt;&gt;",$R$6:$R275,"&gt;0"),"")</f>
        <v/>
      </c>
      <c r="Z275" s="16" t="str">
        <f aca="false">IF(AND($H275&lt;&gt;"",N($N275)&gt;0),COUNTIFS($H$6:$H275,"&lt;&gt;",$N$6:$N275,"&gt;0"),"")</f>
        <v/>
      </c>
      <c r="AA275" s="16" t="str">
        <f aca="false">IF(AND($H275&lt;&gt;"",N($N275)=0),COUNTIFS($H$6:$H275,"&lt;&gt;",$N$6:$N275,"&lt;=0"),"")</f>
        <v/>
      </c>
      <c r="AB275" s="16" t="str">
        <f aca="false">IF($C275="","",IF(COUNTIF($C$6:$C275,$C275)&gt;1,"",MAX($AB$5:AB274)+1))</f>
        <v/>
      </c>
      <c r="AC275" s="16" t="str">
        <f aca="false">IF($H275="","",IF(COUNTIF($H$6:$H275,$H275)&gt;1,"",MAX($AC$5:AC274)+1))</f>
        <v/>
      </c>
    </row>
    <row r="276" customFormat="false" ht="15" hidden="false" customHeight="false" outlineLevel="0" collapsed="false">
      <c r="A276" s="16" t="str">
        <f aca="false">IF($C276="","",COUNTA($C$6:$C276))</f>
        <v/>
      </c>
      <c r="B276" s="17"/>
      <c r="C276" s="8"/>
      <c r="D276" s="8"/>
      <c r="E276" s="8"/>
      <c r="F276" s="8"/>
      <c r="G276" s="8"/>
      <c r="H276" s="8"/>
      <c r="I276" s="9"/>
      <c r="J276" s="10" t="str">
        <f aca="false">IF($H276="","",IFERROR(VLOOKUP($H276,'BẢNG GIÁ GỐC'!$A$5:$D$204,3,FALSE()),""))</f>
        <v/>
      </c>
      <c r="K276" s="9"/>
      <c r="L276" s="10" t="str">
        <f aca="false">IF($C276="","",N($I276)*N($K276))</f>
        <v/>
      </c>
      <c r="M276" s="8"/>
      <c r="N276" s="11" t="str">
        <f aca="false">IF($C276="","",IF($M276="VAT 5%",0.05,IF($M276="VAT 8%",0.08,IF($M276="VAT 10%",0.1,0))))</f>
        <v/>
      </c>
      <c r="O276" s="10" t="str">
        <f aca="false">IF($C276="","",$L276*$N276)</f>
        <v/>
      </c>
      <c r="P276" s="10" t="str">
        <f aca="false">IF($C276="","",$L276+$O276)</f>
        <v/>
      </c>
      <c r="Q276" s="9"/>
      <c r="R276" s="10" t="str">
        <f aca="false">IF($C276="","",MAX(0,$P276-N($Q276)))</f>
        <v/>
      </c>
      <c r="S276" s="19" t="str">
        <f aca="false">IF(OR($C276="",$P276=0),"",IF(N($Q276)&lt;=0,"Chưa thanh toán",IF(N($Q276)&lt;$P276,"Thanh toán một phần","Đã thanh toán")))</f>
        <v/>
      </c>
      <c r="T276" s="10" t="str">
        <f aca="false">IF(OR($C276="",$J276=""),"",N($I276)*$J276)</f>
        <v/>
      </c>
      <c r="U276" s="10" t="str">
        <f aca="false">IF(OR($C276="",$T276=""),"",$L276-$T276)</f>
        <v/>
      </c>
      <c r="V276" s="11" t="str">
        <f aca="false">IF(OR($U276="",$L276=0),"",$U276/$L276)</f>
        <v/>
      </c>
      <c r="W276" s="8"/>
      <c r="X276" s="19" t="str">
        <f aca="false">IF($C276="","",IF(AND($H276="",N($I276)=0,N($K276)=0),"Dòng chỉ lưu thông tin khách (chưa có đơn); ",IF($B276="","Thiếu ngày đặt; ","")&amp;IF($H276="","Thiếu tên sản phẩm; ",IF($J276="","Sản phẩm chưa có trong BẢNG GIÁ GỐC; ",""))&amp;IF(N($I276)&lt;=0,"Thiếu số lượng; ","")&amp;IF(N($K276)&lt;=0,"Thiếu giá bán; ","")&amp;IF(AND($N276&gt;0,$F276=""),"Khách lấy VAT thiếu mã số thuế; ","")&amp;IF(N($Q276)&gt;$P276,"Đã thu vượt tổng phải thu; ","")&amp;IF(AND($L276&gt;0,$U276&lt;0),"CẢNH BÁO: ĐƠN NÀY ĐANG LỖ; ","")))</f>
        <v/>
      </c>
      <c r="Y276" s="16" t="str">
        <f aca="false">IF(AND($C276&lt;&gt;"",$R276&gt;0),COUNTIFS($C$6:$C276,"&lt;&gt;",$R$6:$R276,"&gt;0"),"")</f>
        <v/>
      </c>
      <c r="Z276" s="16" t="str">
        <f aca="false">IF(AND($H276&lt;&gt;"",N($N276)&gt;0),COUNTIFS($H$6:$H276,"&lt;&gt;",$N$6:$N276,"&gt;0"),"")</f>
        <v/>
      </c>
      <c r="AA276" s="16" t="str">
        <f aca="false">IF(AND($H276&lt;&gt;"",N($N276)=0),COUNTIFS($H$6:$H276,"&lt;&gt;",$N$6:$N276,"&lt;=0"),"")</f>
        <v/>
      </c>
      <c r="AB276" s="16" t="str">
        <f aca="false">IF($C276="","",IF(COUNTIF($C$6:$C276,$C276)&gt;1,"",MAX($AB$5:AB275)+1))</f>
        <v/>
      </c>
      <c r="AC276" s="16" t="str">
        <f aca="false">IF($H276="","",IF(COUNTIF($H$6:$H276,$H276)&gt;1,"",MAX($AC$5:AC275)+1))</f>
        <v/>
      </c>
    </row>
    <row r="277" customFormat="false" ht="15" hidden="false" customHeight="false" outlineLevel="0" collapsed="false">
      <c r="A277" s="16" t="str">
        <f aca="false">IF($C277="","",COUNTA($C$6:$C277))</f>
        <v/>
      </c>
      <c r="B277" s="17"/>
      <c r="C277" s="8"/>
      <c r="D277" s="8"/>
      <c r="E277" s="8"/>
      <c r="F277" s="8"/>
      <c r="G277" s="8"/>
      <c r="H277" s="8"/>
      <c r="I277" s="9"/>
      <c r="J277" s="10" t="str">
        <f aca="false">IF($H277="","",IFERROR(VLOOKUP($H277,'BẢNG GIÁ GỐC'!$A$5:$D$204,3,FALSE()),""))</f>
        <v/>
      </c>
      <c r="K277" s="9"/>
      <c r="L277" s="10" t="str">
        <f aca="false">IF($C277="","",N($I277)*N($K277))</f>
        <v/>
      </c>
      <c r="M277" s="8"/>
      <c r="N277" s="11" t="str">
        <f aca="false">IF($C277="","",IF($M277="VAT 5%",0.05,IF($M277="VAT 8%",0.08,IF($M277="VAT 10%",0.1,0))))</f>
        <v/>
      </c>
      <c r="O277" s="10" t="str">
        <f aca="false">IF($C277="","",$L277*$N277)</f>
        <v/>
      </c>
      <c r="P277" s="10" t="str">
        <f aca="false">IF($C277="","",$L277+$O277)</f>
        <v/>
      </c>
      <c r="Q277" s="9"/>
      <c r="R277" s="10" t="str">
        <f aca="false">IF($C277="","",MAX(0,$P277-N($Q277)))</f>
        <v/>
      </c>
      <c r="S277" s="19" t="str">
        <f aca="false">IF(OR($C277="",$P277=0),"",IF(N($Q277)&lt;=0,"Chưa thanh toán",IF(N($Q277)&lt;$P277,"Thanh toán một phần","Đã thanh toán")))</f>
        <v/>
      </c>
      <c r="T277" s="10" t="str">
        <f aca="false">IF(OR($C277="",$J277=""),"",N($I277)*$J277)</f>
        <v/>
      </c>
      <c r="U277" s="10" t="str">
        <f aca="false">IF(OR($C277="",$T277=""),"",$L277-$T277)</f>
        <v/>
      </c>
      <c r="V277" s="11" t="str">
        <f aca="false">IF(OR($U277="",$L277=0),"",$U277/$L277)</f>
        <v/>
      </c>
      <c r="W277" s="8"/>
      <c r="X277" s="19" t="str">
        <f aca="false">IF($C277="","",IF(AND($H277="",N($I277)=0,N($K277)=0),"Dòng chỉ lưu thông tin khách (chưa có đơn); ",IF($B277="","Thiếu ngày đặt; ","")&amp;IF($H277="","Thiếu tên sản phẩm; ",IF($J277="","Sản phẩm chưa có trong BẢNG GIÁ GỐC; ",""))&amp;IF(N($I277)&lt;=0,"Thiếu số lượng; ","")&amp;IF(N($K277)&lt;=0,"Thiếu giá bán; ","")&amp;IF(AND($N277&gt;0,$F277=""),"Khách lấy VAT thiếu mã số thuế; ","")&amp;IF(N($Q277)&gt;$P277,"Đã thu vượt tổng phải thu; ","")&amp;IF(AND($L277&gt;0,$U277&lt;0),"CẢNH BÁO: ĐƠN NÀY ĐANG LỖ; ","")))</f>
        <v/>
      </c>
      <c r="Y277" s="16" t="str">
        <f aca="false">IF(AND($C277&lt;&gt;"",$R277&gt;0),COUNTIFS($C$6:$C277,"&lt;&gt;",$R$6:$R277,"&gt;0"),"")</f>
        <v/>
      </c>
      <c r="Z277" s="16" t="str">
        <f aca="false">IF(AND($H277&lt;&gt;"",N($N277)&gt;0),COUNTIFS($H$6:$H277,"&lt;&gt;",$N$6:$N277,"&gt;0"),"")</f>
        <v/>
      </c>
      <c r="AA277" s="16" t="str">
        <f aca="false">IF(AND($H277&lt;&gt;"",N($N277)=0),COUNTIFS($H$6:$H277,"&lt;&gt;",$N$6:$N277,"&lt;=0"),"")</f>
        <v/>
      </c>
      <c r="AB277" s="16" t="str">
        <f aca="false">IF($C277="","",IF(COUNTIF($C$6:$C277,$C277)&gt;1,"",MAX($AB$5:AB276)+1))</f>
        <v/>
      </c>
      <c r="AC277" s="16" t="str">
        <f aca="false">IF($H277="","",IF(COUNTIF($H$6:$H277,$H277)&gt;1,"",MAX($AC$5:AC276)+1))</f>
        <v/>
      </c>
    </row>
    <row r="278" customFormat="false" ht="15" hidden="false" customHeight="false" outlineLevel="0" collapsed="false">
      <c r="A278" s="16" t="str">
        <f aca="false">IF($C278="","",COUNTA($C$6:$C278))</f>
        <v/>
      </c>
      <c r="B278" s="17"/>
      <c r="C278" s="8"/>
      <c r="D278" s="8"/>
      <c r="E278" s="8"/>
      <c r="F278" s="8"/>
      <c r="G278" s="8"/>
      <c r="H278" s="8"/>
      <c r="I278" s="9"/>
      <c r="J278" s="10" t="str">
        <f aca="false">IF($H278="","",IFERROR(VLOOKUP($H278,'BẢNG GIÁ GỐC'!$A$5:$D$204,3,FALSE()),""))</f>
        <v/>
      </c>
      <c r="K278" s="9"/>
      <c r="L278" s="10" t="str">
        <f aca="false">IF($C278="","",N($I278)*N($K278))</f>
        <v/>
      </c>
      <c r="M278" s="8"/>
      <c r="N278" s="11" t="str">
        <f aca="false">IF($C278="","",IF($M278="VAT 5%",0.05,IF($M278="VAT 8%",0.08,IF($M278="VAT 10%",0.1,0))))</f>
        <v/>
      </c>
      <c r="O278" s="10" t="str">
        <f aca="false">IF($C278="","",$L278*$N278)</f>
        <v/>
      </c>
      <c r="P278" s="10" t="str">
        <f aca="false">IF($C278="","",$L278+$O278)</f>
        <v/>
      </c>
      <c r="Q278" s="9"/>
      <c r="R278" s="10" t="str">
        <f aca="false">IF($C278="","",MAX(0,$P278-N($Q278)))</f>
        <v/>
      </c>
      <c r="S278" s="19" t="str">
        <f aca="false">IF(OR($C278="",$P278=0),"",IF(N($Q278)&lt;=0,"Chưa thanh toán",IF(N($Q278)&lt;$P278,"Thanh toán một phần","Đã thanh toán")))</f>
        <v/>
      </c>
      <c r="T278" s="10" t="str">
        <f aca="false">IF(OR($C278="",$J278=""),"",N($I278)*$J278)</f>
        <v/>
      </c>
      <c r="U278" s="10" t="str">
        <f aca="false">IF(OR($C278="",$T278=""),"",$L278-$T278)</f>
        <v/>
      </c>
      <c r="V278" s="11" t="str">
        <f aca="false">IF(OR($U278="",$L278=0),"",$U278/$L278)</f>
        <v/>
      </c>
      <c r="W278" s="8"/>
      <c r="X278" s="19" t="str">
        <f aca="false">IF($C278="","",IF(AND($H278="",N($I278)=0,N($K278)=0),"Dòng chỉ lưu thông tin khách (chưa có đơn); ",IF($B278="","Thiếu ngày đặt; ","")&amp;IF($H278="","Thiếu tên sản phẩm; ",IF($J278="","Sản phẩm chưa có trong BẢNG GIÁ GỐC; ",""))&amp;IF(N($I278)&lt;=0,"Thiếu số lượng; ","")&amp;IF(N($K278)&lt;=0,"Thiếu giá bán; ","")&amp;IF(AND($N278&gt;0,$F278=""),"Khách lấy VAT thiếu mã số thuế; ","")&amp;IF(N($Q278)&gt;$P278,"Đã thu vượt tổng phải thu; ","")&amp;IF(AND($L278&gt;0,$U278&lt;0),"CẢNH BÁO: ĐƠN NÀY ĐANG LỖ; ","")))</f>
        <v/>
      </c>
      <c r="Y278" s="16" t="str">
        <f aca="false">IF(AND($C278&lt;&gt;"",$R278&gt;0),COUNTIFS($C$6:$C278,"&lt;&gt;",$R$6:$R278,"&gt;0"),"")</f>
        <v/>
      </c>
      <c r="Z278" s="16" t="str">
        <f aca="false">IF(AND($H278&lt;&gt;"",N($N278)&gt;0),COUNTIFS($H$6:$H278,"&lt;&gt;",$N$6:$N278,"&gt;0"),"")</f>
        <v/>
      </c>
      <c r="AA278" s="16" t="str">
        <f aca="false">IF(AND($H278&lt;&gt;"",N($N278)=0),COUNTIFS($H$6:$H278,"&lt;&gt;",$N$6:$N278,"&lt;=0"),"")</f>
        <v/>
      </c>
      <c r="AB278" s="16" t="str">
        <f aca="false">IF($C278="","",IF(COUNTIF($C$6:$C278,$C278)&gt;1,"",MAX($AB$5:AB277)+1))</f>
        <v/>
      </c>
      <c r="AC278" s="16" t="str">
        <f aca="false">IF($H278="","",IF(COUNTIF($H$6:$H278,$H278)&gt;1,"",MAX($AC$5:AC277)+1))</f>
        <v/>
      </c>
    </row>
    <row r="279" customFormat="false" ht="15" hidden="false" customHeight="false" outlineLevel="0" collapsed="false">
      <c r="A279" s="16" t="str">
        <f aca="false">IF($C279="","",COUNTA($C$6:$C279))</f>
        <v/>
      </c>
      <c r="B279" s="17"/>
      <c r="C279" s="8"/>
      <c r="D279" s="8"/>
      <c r="E279" s="8"/>
      <c r="F279" s="8"/>
      <c r="G279" s="8"/>
      <c r="H279" s="8"/>
      <c r="I279" s="9"/>
      <c r="J279" s="10" t="str">
        <f aca="false">IF($H279="","",IFERROR(VLOOKUP($H279,'BẢNG GIÁ GỐC'!$A$5:$D$204,3,FALSE()),""))</f>
        <v/>
      </c>
      <c r="K279" s="9"/>
      <c r="L279" s="10" t="str">
        <f aca="false">IF($C279="","",N($I279)*N($K279))</f>
        <v/>
      </c>
      <c r="M279" s="8"/>
      <c r="N279" s="11" t="str">
        <f aca="false">IF($C279="","",IF($M279="VAT 5%",0.05,IF($M279="VAT 8%",0.08,IF($M279="VAT 10%",0.1,0))))</f>
        <v/>
      </c>
      <c r="O279" s="10" t="str">
        <f aca="false">IF($C279="","",$L279*$N279)</f>
        <v/>
      </c>
      <c r="P279" s="10" t="str">
        <f aca="false">IF($C279="","",$L279+$O279)</f>
        <v/>
      </c>
      <c r="Q279" s="9"/>
      <c r="R279" s="10" t="str">
        <f aca="false">IF($C279="","",MAX(0,$P279-N($Q279)))</f>
        <v/>
      </c>
      <c r="S279" s="19" t="str">
        <f aca="false">IF(OR($C279="",$P279=0),"",IF(N($Q279)&lt;=0,"Chưa thanh toán",IF(N($Q279)&lt;$P279,"Thanh toán một phần","Đã thanh toán")))</f>
        <v/>
      </c>
      <c r="T279" s="10" t="str">
        <f aca="false">IF(OR($C279="",$J279=""),"",N($I279)*$J279)</f>
        <v/>
      </c>
      <c r="U279" s="10" t="str">
        <f aca="false">IF(OR($C279="",$T279=""),"",$L279-$T279)</f>
        <v/>
      </c>
      <c r="V279" s="11" t="str">
        <f aca="false">IF(OR($U279="",$L279=0),"",$U279/$L279)</f>
        <v/>
      </c>
      <c r="W279" s="8"/>
      <c r="X279" s="19" t="str">
        <f aca="false">IF($C279="","",IF(AND($H279="",N($I279)=0,N($K279)=0),"Dòng chỉ lưu thông tin khách (chưa có đơn); ",IF($B279="","Thiếu ngày đặt; ","")&amp;IF($H279="","Thiếu tên sản phẩm; ",IF($J279="","Sản phẩm chưa có trong BẢNG GIÁ GỐC; ",""))&amp;IF(N($I279)&lt;=0,"Thiếu số lượng; ","")&amp;IF(N($K279)&lt;=0,"Thiếu giá bán; ","")&amp;IF(AND($N279&gt;0,$F279=""),"Khách lấy VAT thiếu mã số thuế; ","")&amp;IF(N($Q279)&gt;$P279,"Đã thu vượt tổng phải thu; ","")&amp;IF(AND($L279&gt;0,$U279&lt;0),"CẢNH BÁO: ĐƠN NÀY ĐANG LỖ; ","")))</f>
        <v/>
      </c>
      <c r="Y279" s="16" t="str">
        <f aca="false">IF(AND($C279&lt;&gt;"",$R279&gt;0),COUNTIFS($C$6:$C279,"&lt;&gt;",$R$6:$R279,"&gt;0"),"")</f>
        <v/>
      </c>
      <c r="Z279" s="16" t="str">
        <f aca="false">IF(AND($H279&lt;&gt;"",N($N279)&gt;0),COUNTIFS($H$6:$H279,"&lt;&gt;",$N$6:$N279,"&gt;0"),"")</f>
        <v/>
      </c>
      <c r="AA279" s="16" t="str">
        <f aca="false">IF(AND($H279&lt;&gt;"",N($N279)=0),COUNTIFS($H$6:$H279,"&lt;&gt;",$N$6:$N279,"&lt;=0"),"")</f>
        <v/>
      </c>
      <c r="AB279" s="16" t="str">
        <f aca="false">IF($C279="","",IF(COUNTIF($C$6:$C279,$C279)&gt;1,"",MAX($AB$5:AB278)+1))</f>
        <v/>
      </c>
      <c r="AC279" s="16" t="str">
        <f aca="false">IF($H279="","",IF(COUNTIF($H$6:$H279,$H279)&gt;1,"",MAX($AC$5:AC278)+1))</f>
        <v/>
      </c>
    </row>
    <row r="280" customFormat="false" ht="15" hidden="false" customHeight="false" outlineLevel="0" collapsed="false">
      <c r="A280" s="16" t="str">
        <f aca="false">IF($C280="","",COUNTA($C$6:$C280))</f>
        <v/>
      </c>
      <c r="B280" s="17"/>
      <c r="C280" s="8"/>
      <c r="D280" s="8"/>
      <c r="E280" s="8"/>
      <c r="F280" s="8"/>
      <c r="G280" s="8"/>
      <c r="H280" s="8"/>
      <c r="I280" s="9"/>
      <c r="J280" s="10" t="str">
        <f aca="false">IF($H280="","",IFERROR(VLOOKUP($H280,'BẢNG GIÁ GỐC'!$A$5:$D$204,3,FALSE()),""))</f>
        <v/>
      </c>
      <c r="K280" s="9"/>
      <c r="L280" s="10" t="str">
        <f aca="false">IF($C280="","",N($I280)*N($K280))</f>
        <v/>
      </c>
      <c r="M280" s="8"/>
      <c r="N280" s="11" t="str">
        <f aca="false">IF($C280="","",IF($M280="VAT 5%",0.05,IF($M280="VAT 8%",0.08,IF($M280="VAT 10%",0.1,0))))</f>
        <v/>
      </c>
      <c r="O280" s="10" t="str">
        <f aca="false">IF($C280="","",$L280*$N280)</f>
        <v/>
      </c>
      <c r="P280" s="10" t="str">
        <f aca="false">IF($C280="","",$L280+$O280)</f>
        <v/>
      </c>
      <c r="Q280" s="9"/>
      <c r="R280" s="10" t="str">
        <f aca="false">IF($C280="","",MAX(0,$P280-N($Q280)))</f>
        <v/>
      </c>
      <c r="S280" s="19" t="str">
        <f aca="false">IF(OR($C280="",$P280=0),"",IF(N($Q280)&lt;=0,"Chưa thanh toán",IF(N($Q280)&lt;$P280,"Thanh toán một phần","Đã thanh toán")))</f>
        <v/>
      </c>
      <c r="T280" s="10" t="str">
        <f aca="false">IF(OR($C280="",$J280=""),"",N($I280)*$J280)</f>
        <v/>
      </c>
      <c r="U280" s="10" t="str">
        <f aca="false">IF(OR($C280="",$T280=""),"",$L280-$T280)</f>
        <v/>
      </c>
      <c r="V280" s="11" t="str">
        <f aca="false">IF(OR($U280="",$L280=0),"",$U280/$L280)</f>
        <v/>
      </c>
      <c r="W280" s="8"/>
      <c r="X280" s="19" t="str">
        <f aca="false">IF($C280="","",IF(AND($H280="",N($I280)=0,N($K280)=0),"Dòng chỉ lưu thông tin khách (chưa có đơn); ",IF($B280="","Thiếu ngày đặt; ","")&amp;IF($H280="","Thiếu tên sản phẩm; ",IF($J280="","Sản phẩm chưa có trong BẢNG GIÁ GỐC; ",""))&amp;IF(N($I280)&lt;=0,"Thiếu số lượng; ","")&amp;IF(N($K280)&lt;=0,"Thiếu giá bán; ","")&amp;IF(AND($N280&gt;0,$F280=""),"Khách lấy VAT thiếu mã số thuế; ","")&amp;IF(N($Q280)&gt;$P280,"Đã thu vượt tổng phải thu; ","")&amp;IF(AND($L280&gt;0,$U280&lt;0),"CẢNH BÁO: ĐƠN NÀY ĐANG LỖ; ","")))</f>
        <v/>
      </c>
      <c r="Y280" s="16" t="str">
        <f aca="false">IF(AND($C280&lt;&gt;"",$R280&gt;0),COUNTIFS($C$6:$C280,"&lt;&gt;",$R$6:$R280,"&gt;0"),"")</f>
        <v/>
      </c>
      <c r="Z280" s="16" t="str">
        <f aca="false">IF(AND($H280&lt;&gt;"",N($N280)&gt;0),COUNTIFS($H$6:$H280,"&lt;&gt;",$N$6:$N280,"&gt;0"),"")</f>
        <v/>
      </c>
      <c r="AA280" s="16" t="str">
        <f aca="false">IF(AND($H280&lt;&gt;"",N($N280)=0),COUNTIFS($H$6:$H280,"&lt;&gt;",$N$6:$N280,"&lt;=0"),"")</f>
        <v/>
      </c>
      <c r="AB280" s="16" t="str">
        <f aca="false">IF($C280="","",IF(COUNTIF($C$6:$C280,$C280)&gt;1,"",MAX($AB$5:AB279)+1))</f>
        <v/>
      </c>
      <c r="AC280" s="16" t="str">
        <f aca="false">IF($H280="","",IF(COUNTIF($H$6:$H280,$H280)&gt;1,"",MAX($AC$5:AC279)+1))</f>
        <v/>
      </c>
    </row>
    <row r="281" customFormat="false" ht="15" hidden="false" customHeight="false" outlineLevel="0" collapsed="false">
      <c r="A281" s="16" t="str">
        <f aca="false">IF($C281="","",COUNTA($C$6:$C281))</f>
        <v/>
      </c>
      <c r="B281" s="17"/>
      <c r="C281" s="8"/>
      <c r="D281" s="8"/>
      <c r="E281" s="8"/>
      <c r="F281" s="8"/>
      <c r="G281" s="8"/>
      <c r="H281" s="8"/>
      <c r="I281" s="9"/>
      <c r="J281" s="10" t="str">
        <f aca="false">IF($H281="","",IFERROR(VLOOKUP($H281,'BẢNG GIÁ GỐC'!$A$5:$D$204,3,FALSE()),""))</f>
        <v/>
      </c>
      <c r="K281" s="9"/>
      <c r="L281" s="10" t="str">
        <f aca="false">IF($C281="","",N($I281)*N($K281))</f>
        <v/>
      </c>
      <c r="M281" s="8"/>
      <c r="N281" s="11" t="str">
        <f aca="false">IF($C281="","",IF($M281="VAT 5%",0.05,IF($M281="VAT 8%",0.08,IF($M281="VAT 10%",0.1,0))))</f>
        <v/>
      </c>
      <c r="O281" s="10" t="str">
        <f aca="false">IF($C281="","",$L281*$N281)</f>
        <v/>
      </c>
      <c r="P281" s="10" t="str">
        <f aca="false">IF($C281="","",$L281+$O281)</f>
        <v/>
      </c>
      <c r="Q281" s="9"/>
      <c r="R281" s="10" t="str">
        <f aca="false">IF($C281="","",MAX(0,$P281-N($Q281)))</f>
        <v/>
      </c>
      <c r="S281" s="19" t="str">
        <f aca="false">IF(OR($C281="",$P281=0),"",IF(N($Q281)&lt;=0,"Chưa thanh toán",IF(N($Q281)&lt;$P281,"Thanh toán một phần","Đã thanh toán")))</f>
        <v/>
      </c>
      <c r="T281" s="10" t="str">
        <f aca="false">IF(OR($C281="",$J281=""),"",N($I281)*$J281)</f>
        <v/>
      </c>
      <c r="U281" s="10" t="str">
        <f aca="false">IF(OR($C281="",$T281=""),"",$L281-$T281)</f>
        <v/>
      </c>
      <c r="V281" s="11" t="str">
        <f aca="false">IF(OR($U281="",$L281=0),"",$U281/$L281)</f>
        <v/>
      </c>
      <c r="W281" s="8"/>
      <c r="X281" s="19" t="str">
        <f aca="false">IF($C281="","",IF(AND($H281="",N($I281)=0,N($K281)=0),"Dòng chỉ lưu thông tin khách (chưa có đơn); ",IF($B281="","Thiếu ngày đặt; ","")&amp;IF($H281="","Thiếu tên sản phẩm; ",IF($J281="","Sản phẩm chưa có trong BẢNG GIÁ GỐC; ",""))&amp;IF(N($I281)&lt;=0,"Thiếu số lượng; ","")&amp;IF(N($K281)&lt;=0,"Thiếu giá bán; ","")&amp;IF(AND($N281&gt;0,$F281=""),"Khách lấy VAT thiếu mã số thuế; ","")&amp;IF(N($Q281)&gt;$P281,"Đã thu vượt tổng phải thu; ","")&amp;IF(AND($L281&gt;0,$U281&lt;0),"CẢNH BÁO: ĐƠN NÀY ĐANG LỖ; ","")))</f>
        <v/>
      </c>
      <c r="Y281" s="16" t="str">
        <f aca="false">IF(AND($C281&lt;&gt;"",$R281&gt;0),COUNTIFS($C$6:$C281,"&lt;&gt;",$R$6:$R281,"&gt;0"),"")</f>
        <v/>
      </c>
      <c r="Z281" s="16" t="str">
        <f aca="false">IF(AND($H281&lt;&gt;"",N($N281)&gt;0),COUNTIFS($H$6:$H281,"&lt;&gt;",$N$6:$N281,"&gt;0"),"")</f>
        <v/>
      </c>
      <c r="AA281" s="16" t="str">
        <f aca="false">IF(AND($H281&lt;&gt;"",N($N281)=0),COUNTIFS($H$6:$H281,"&lt;&gt;",$N$6:$N281,"&lt;=0"),"")</f>
        <v/>
      </c>
      <c r="AB281" s="16" t="str">
        <f aca="false">IF($C281="","",IF(COUNTIF($C$6:$C281,$C281)&gt;1,"",MAX($AB$5:AB280)+1))</f>
        <v/>
      </c>
      <c r="AC281" s="16" t="str">
        <f aca="false">IF($H281="","",IF(COUNTIF($H$6:$H281,$H281)&gt;1,"",MAX($AC$5:AC280)+1))</f>
        <v/>
      </c>
    </row>
    <row r="282" customFormat="false" ht="15" hidden="false" customHeight="false" outlineLevel="0" collapsed="false">
      <c r="A282" s="16" t="str">
        <f aca="false">IF($C282="","",COUNTA($C$6:$C282))</f>
        <v/>
      </c>
      <c r="B282" s="17"/>
      <c r="C282" s="8"/>
      <c r="D282" s="8"/>
      <c r="E282" s="8"/>
      <c r="F282" s="8"/>
      <c r="G282" s="8"/>
      <c r="H282" s="8"/>
      <c r="I282" s="9"/>
      <c r="J282" s="10" t="str">
        <f aca="false">IF($H282="","",IFERROR(VLOOKUP($H282,'BẢNG GIÁ GỐC'!$A$5:$D$204,3,FALSE()),""))</f>
        <v/>
      </c>
      <c r="K282" s="9"/>
      <c r="L282" s="10" t="str">
        <f aca="false">IF($C282="","",N($I282)*N($K282))</f>
        <v/>
      </c>
      <c r="M282" s="8"/>
      <c r="N282" s="11" t="str">
        <f aca="false">IF($C282="","",IF($M282="VAT 5%",0.05,IF($M282="VAT 8%",0.08,IF($M282="VAT 10%",0.1,0))))</f>
        <v/>
      </c>
      <c r="O282" s="10" t="str">
        <f aca="false">IF($C282="","",$L282*$N282)</f>
        <v/>
      </c>
      <c r="P282" s="10" t="str">
        <f aca="false">IF($C282="","",$L282+$O282)</f>
        <v/>
      </c>
      <c r="Q282" s="9"/>
      <c r="R282" s="10" t="str">
        <f aca="false">IF($C282="","",MAX(0,$P282-N($Q282)))</f>
        <v/>
      </c>
      <c r="S282" s="19" t="str">
        <f aca="false">IF(OR($C282="",$P282=0),"",IF(N($Q282)&lt;=0,"Chưa thanh toán",IF(N($Q282)&lt;$P282,"Thanh toán một phần","Đã thanh toán")))</f>
        <v/>
      </c>
      <c r="T282" s="10" t="str">
        <f aca="false">IF(OR($C282="",$J282=""),"",N($I282)*$J282)</f>
        <v/>
      </c>
      <c r="U282" s="10" t="str">
        <f aca="false">IF(OR($C282="",$T282=""),"",$L282-$T282)</f>
        <v/>
      </c>
      <c r="V282" s="11" t="str">
        <f aca="false">IF(OR($U282="",$L282=0),"",$U282/$L282)</f>
        <v/>
      </c>
      <c r="W282" s="8"/>
      <c r="X282" s="19" t="str">
        <f aca="false">IF($C282="","",IF(AND($H282="",N($I282)=0,N($K282)=0),"Dòng chỉ lưu thông tin khách (chưa có đơn); ",IF($B282="","Thiếu ngày đặt; ","")&amp;IF($H282="","Thiếu tên sản phẩm; ",IF($J282="","Sản phẩm chưa có trong BẢNG GIÁ GỐC; ",""))&amp;IF(N($I282)&lt;=0,"Thiếu số lượng; ","")&amp;IF(N($K282)&lt;=0,"Thiếu giá bán; ","")&amp;IF(AND($N282&gt;0,$F282=""),"Khách lấy VAT thiếu mã số thuế; ","")&amp;IF(N($Q282)&gt;$P282,"Đã thu vượt tổng phải thu; ","")&amp;IF(AND($L282&gt;0,$U282&lt;0),"CẢNH BÁO: ĐƠN NÀY ĐANG LỖ; ","")))</f>
        <v/>
      </c>
      <c r="Y282" s="16" t="str">
        <f aca="false">IF(AND($C282&lt;&gt;"",$R282&gt;0),COUNTIFS($C$6:$C282,"&lt;&gt;",$R$6:$R282,"&gt;0"),"")</f>
        <v/>
      </c>
      <c r="Z282" s="16" t="str">
        <f aca="false">IF(AND($H282&lt;&gt;"",N($N282)&gt;0),COUNTIFS($H$6:$H282,"&lt;&gt;",$N$6:$N282,"&gt;0"),"")</f>
        <v/>
      </c>
      <c r="AA282" s="16" t="str">
        <f aca="false">IF(AND($H282&lt;&gt;"",N($N282)=0),COUNTIFS($H$6:$H282,"&lt;&gt;",$N$6:$N282,"&lt;=0"),"")</f>
        <v/>
      </c>
      <c r="AB282" s="16" t="str">
        <f aca="false">IF($C282="","",IF(COUNTIF($C$6:$C282,$C282)&gt;1,"",MAX($AB$5:AB281)+1))</f>
        <v/>
      </c>
      <c r="AC282" s="16" t="str">
        <f aca="false">IF($H282="","",IF(COUNTIF($H$6:$H282,$H282)&gt;1,"",MAX($AC$5:AC281)+1))</f>
        <v/>
      </c>
    </row>
    <row r="283" customFormat="false" ht="15" hidden="false" customHeight="false" outlineLevel="0" collapsed="false">
      <c r="A283" s="16" t="str">
        <f aca="false">IF($C283="","",COUNTA($C$6:$C283))</f>
        <v/>
      </c>
      <c r="B283" s="17"/>
      <c r="C283" s="8"/>
      <c r="D283" s="8"/>
      <c r="E283" s="8"/>
      <c r="F283" s="8"/>
      <c r="G283" s="8"/>
      <c r="H283" s="8"/>
      <c r="I283" s="9"/>
      <c r="J283" s="10" t="str">
        <f aca="false">IF($H283="","",IFERROR(VLOOKUP($H283,'BẢNG GIÁ GỐC'!$A$5:$D$204,3,FALSE()),""))</f>
        <v/>
      </c>
      <c r="K283" s="9"/>
      <c r="L283" s="10" t="str">
        <f aca="false">IF($C283="","",N($I283)*N($K283))</f>
        <v/>
      </c>
      <c r="M283" s="8"/>
      <c r="N283" s="11" t="str">
        <f aca="false">IF($C283="","",IF($M283="VAT 5%",0.05,IF($M283="VAT 8%",0.08,IF($M283="VAT 10%",0.1,0))))</f>
        <v/>
      </c>
      <c r="O283" s="10" t="str">
        <f aca="false">IF($C283="","",$L283*$N283)</f>
        <v/>
      </c>
      <c r="P283" s="10" t="str">
        <f aca="false">IF($C283="","",$L283+$O283)</f>
        <v/>
      </c>
      <c r="Q283" s="9"/>
      <c r="R283" s="10" t="str">
        <f aca="false">IF($C283="","",MAX(0,$P283-N($Q283)))</f>
        <v/>
      </c>
      <c r="S283" s="19" t="str">
        <f aca="false">IF(OR($C283="",$P283=0),"",IF(N($Q283)&lt;=0,"Chưa thanh toán",IF(N($Q283)&lt;$P283,"Thanh toán một phần","Đã thanh toán")))</f>
        <v/>
      </c>
      <c r="T283" s="10" t="str">
        <f aca="false">IF(OR($C283="",$J283=""),"",N($I283)*$J283)</f>
        <v/>
      </c>
      <c r="U283" s="10" t="str">
        <f aca="false">IF(OR($C283="",$T283=""),"",$L283-$T283)</f>
        <v/>
      </c>
      <c r="V283" s="11" t="str">
        <f aca="false">IF(OR($U283="",$L283=0),"",$U283/$L283)</f>
        <v/>
      </c>
      <c r="W283" s="8"/>
      <c r="X283" s="19" t="str">
        <f aca="false">IF($C283="","",IF(AND($H283="",N($I283)=0,N($K283)=0),"Dòng chỉ lưu thông tin khách (chưa có đơn); ",IF($B283="","Thiếu ngày đặt; ","")&amp;IF($H283="","Thiếu tên sản phẩm; ",IF($J283="","Sản phẩm chưa có trong BẢNG GIÁ GỐC; ",""))&amp;IF(N($I283)&lt;=0,"Thiếu số lượng; ","")&amp;IF(N($K283)&lt;=0,"Thiếu giá bán; ","")&amp;IF(AND($N283&gt;0,$F283=""),"Khách lấy VAT thiếu mã số thuế; ","")&amp;IF(N($Q283)&gt;$P283,"Đã thu vượt tổng phải thu; ","")&amp;IF(AND($L283&gt;0,$U283&lt;0),"CẢNH BÁO: ĐƠN NÀY ĐANG LỖ; ","")))</f>
        <v/>
      </c>
      <c r="Y283" s="16" t="str">
        <f aca="false">IF(AND($C283&lt;&gt;"",$R283&gt;0),COUNTIFS($C$6:$C283,"&lt;&gt;",$R$6:$R283,"&gt;0"),"")</f>
        <v/>
      </c>
      <c r="Z283" s="16" t="str">
        <f aca="false">IF(AND($H283&lt;&gt;"",N($N283)&gt;0),COUNTIFS($H$6:$H283,"&lt;&gt;",$N$6:$N283,"&gt;0"),"")</f>
        <v/>
      </c>
      <c r="AA283" s="16" t="str">
        <f aca="false">IF(AND($H283&lt;&gt;"",N($N283)=0),COUNTIFS($H$6:$H283,"&lt;&gt;",$N$6:$N283,"&lt;=0"),"")</f>
        <v/>
      </c>
      <c r="AB283" s="16" t="str">
        <f aca="false">IF($C283="","",IF(COUNTIF($C$6:$C283,$C283)&gt;1,"",MAX($AB$5:AB282)+1))</f>
        <v/>
      </c>
      <c r="AC283" s="16" t="str">
        <f aca="false">IF($H283="","",IF(COUNTIF($H$6:$H283,$H283)&gt;1,"",MAX($AC$5:AC282)+1))</f>
        <v/>
      </c>
    </row>
    <row r="284" customFormat="false" ht="15" hidden="false" customHeight="false" outlineLevel="0" collapsed="false">
      <c r="A284" s="16" t="str">
        <f aca="false">IF($C284="","",COUNTA($C$6:$C284))</f>
        <v/>
      </c>
      <c r="B284" s="17"/>
      <c r="C284" s="8"/>
      <c r="D284" s="8"/>
      <c r="E284" s="8"/>
      <c r="F284" s="8"/>
      <c r="G284" s="8"/>
      <c r="H284" s="8"/>
      <c r="I284" s="9"/>
      <c r="J284" s="10" t="str">
        <f aca="false">IF($H284="","",IFERROR(VLOOKUP($H284,'BẢNG GIÁ GỐC'!$A$5:$D$204,3,FALSE()),""))</f>
        <v/>
      </c>
      <c r="K284" s="9"/>
      <c r="L284" s="10" t="str">
        <f aca="false">IF($C284="","",N($I284)*N($K284))</f>
        <v/>
      </c>
      <c r="M284" s="8"/>
      <c r="N284" s="11" t="str">
        <f aca="false">IF($C284="","",IF($M284="VAT 5%",0.05,IF($M284="VAT 8%",0.08,IF($M284="VAT 10%",0.1,0))))</f>
        <v/>
      </c>
      <c r="O284" s="10" t="str">
        <f aca="false">IF($C284="","",$L284*$N284)</f>
        <v/>
      </c>
      <c r="P284" s="10" t="str">
        <f aca="false">IF($C284="","",$L284+$O284)</f>
        <v/>
      </c>
      <c r="Q284" s="9"/>
      <c r="R284" s="10" t="str">
        <f aca="false">IF($C284="","",MAX(0,$P284-N($Q284)))</f>
        <v/>
      </c>
      <c r="S284" s="19" t="str">
        <f aca="false">IF(OR($C284="",$P284=0),"",IF(N($Q284)&lt;=0,"Chưa thanh toán",IF(N($Q284)&lt;$P284,"Thanh toán một phần","Đã thanh toán")))</f>
        <v/>
      </c>
      <c r="T284" s="10" t="str">
        <f aca="false">IF(OR($C284="",$J284=""),"",N($I284)*$J284)</f>
        <v/>
      </c>
      <c r="U284" s="10" t="str">
        <f aca="false">IF(OR($C284="",$T284=""),"",$L284-$T284)</f>
        <v/>
      </c>
      <c r="V284" s="11" t="str">
        <f aca="false">IF(OR($U284="",$L284=0),"",$U284/$L284)</f>
        <v/>
      </c>
      <c r="W284" s="8"/>
      <c r="X284" s="19" t="str">
        <f aca="false">IF($C284="","",IF(AND($H284="",N($I284)=0,N($K284)=0),"Dòng chỉ lưu thông tin khách (chưa có đơn); ",IF($B284="","Thiếu ngày đặt; ","")&amp;IF($H284="","Thiếu tên sản phẩm; ",IF($J284="","Sản phẩm chưa có trong BẢNG GIÁ GỐC; ",""))&amp;IF(N($I284)&lt;=0,"Thiếu số lượng; ","")&amp;IF(N($K284)&lt;=0,"Thiếu giá bán; ","")&amp;IF(AND($N284&gt;0,$F284=""),"Khách lấy VAT thiếu mã số thuế; ","")&amp;IF(N($Q284)&gt;$P284,"Đã thu vượt tổng phải thu; ","")&amp;IF(AND($L284&gt;0,$U284&lt;0),"CẢNH BÁO: ĐƠN NÀY ĐANG LỖ; ","")))</f>
        <v/>
      </c>
      <c r="Y284" s="16" t="str">
        <f aca="false">IF(AND($C284&lt;&gt;"",$R284&gt;0),COUNTIFS($C$6:$C284,"&lt;&gt;",$R$6:$R284,"&gt;0"),"")</f>
        <v/>
      </c>
      <c r="Z284" s="16" t="str">
        <f aca="false">IF(AND($H284&lt;&gt;"",N($N284)&gt;0),COUNTIFS($H$6:$H284,"&lt;&gt;",$N$6:$N284,"&gt;0"),"")</f>
        <v/>
      </c>
      <c r="AA284" s="16" t="str">
        <f aca="false">IF(AND($H284&lt;&gt;"",N($N284)=0),COUNTIFS($H$6:$H284,"&lt;&gt;",$N$6:$N284,"&lt;=0"),"")</f>
        <v/>
      </c>
      <c r="AB284" s="16" t="str">
        <f aca="false">IF($C284="","",IF(COUNTIF($C$6:$C284,$C284)&gt;1,"",MAX($AB$5:AB283)+1))</f>
        <v/>
      </c>
      <c r="AC284" s="16" t="str">
        <f aca="false">IF($H284="","",IF(COUNTIF($H$6:$H284,$H284)&gt;1,"",MAX($AC$5:AC283)+1))</f>
        <v/>
      </c>
    </row>
    <row r="285" customFormat="false" ht="15" hidden="false" customHeight="false" outlineLevel="0" collapsed="false">
      <c r="A285" s="16" t="str">
        <f aca="false">IF($C285="","",COUNTA($C$6:$C285))</f>
        <v/>
      </c>
      <c r="B285" s="17"/>
      <c r="C285" s="8"/>
      <c r="D285" s="8"/>
      <c r="E285" s="8"/>
      <c r="F285" s="8"/>
      <c r="G285" s="8"/>
      <c r="H285" s="8"/>
      <c r="I285" s="9"/>
      <c r="J285" s="10" t="str">
        <f aca="false">IF($H285="","",IFERROR(VLOOKUP($H285,'BẢNG GIÁ GỐC'!$A$5:$D$204,3,FALSE()),""))</f>
        <v/>
      </c>
      <c r="K285" s="9"/>
      <c r="L285" s="10" t="str">
        <f aca="false">IF($C285="","",N($I285)*N($K285))</f>
        <v/>
      </c>
      <c r="M285" s="8"/>
      <c r="N285" s="11" t="str">
        <f aca="false">IF($C285="","",IF($M285="VAT 5%",0.05,IF($M285="VAT 8%",0.08,IF($M285="VAT 10%",0.1,0))))</f>
        <v/>
      </c>
      <c r="O285" s="10" t="str">
        <f aca="false">IF($C285="","",$L285*$N285)</f>
        <v/>
      </c>
      <c r="P285" s="10" t="str">
        <f aca="false">IF($C285="","",$L285+$O285)</f>
        <v/>
      </c>
      <c r="Q285" s="9"/>
      <c r="R285" s="10" t="str">
        <f aca="false">IF($C285="","",MAX(0,$P285-N($Q285)))</f>
        <v/>
      </c>
      <c r="S285" s="19" t="str">
        <f aca="false">IF(OR($C285="",$P285=0),"",IF(N($Q285)&lt;=0,"Chưa thanh toán",IF(N($Q285)&lt;$P285,"Thanh toán một phần","Đã thanh toán")))</f>
        <v/>
      </c>
      <c r="T285" s="10" t="str">
        <f aca="false">IF(OR($C285="",$J285=""),"",N($I285)*$J285)</f>
        <v/>
      </c>
      <c r="U285" s="10" t="str">
        <f aca="false">IF(OR($C285="",$T285=""),"",$L285-$T285)</f>
        <v/>
      </c>
      <c r="V285" s="11" t="str">
        <f aca="false">IF(OR($U285="",$L285=0),"",$U285/$L285)</f>
        <v/>
      </c>
      <c r="W285" s="8"/>
      <c r="X285" s="19" t="str">
        <f aca="false">IF($C285="","",IF(AND($H285="",N($I285)=0,N($K285)=0),"Dòng chỉ lưu thông tin khách (chưa có đơn); ",IF($B285="","Thiếu ngày đặt; ","")&amp;IF($H285="","Thiếu tên sản phẩm; ",IF($J285="","Sản phẩm chưa có trong BẢNG GIÁ GỐC; ",""))&amp;IF(N($I285)&lt;=0,"Thiếu số lượng; ","")&amp;IF(N($K285)&lt;=0,"Thiếu giá bán; ","")&amp;IF(AND($N285&gt;0,$F285=""),"Khách lấy VAT thiếu mã số thuế; ","")&amp;IF(N($Q285)&gt;$P285,"Đã thu vượt tổng phải thu; ","")&amp;IF(AND($L285&gt;0,$U285&lt;0),"CẢNH BÁO: ĐƠN NÀY ĐANG LỖ; ","")))</f>
        <v/>
      </c>
      <c r="Y285" s="16" t="str">
        <f aca="false">IF(AND($C285&lt;&gt;"",$R285&gt;0),COUNTIFS($C$6:$C285,"&lt;&gt;",$R$6:$R285,"&gt;0"),"")</f>
        <v/>
      </c>
      <c r="Z285" s="16" t="str">
        <f aca="false">IF(AND($H285&lt;&gt;"",N($N285)&gt;0),COUNTIFS($H$6:$H285,"&lt;&gt;",$N$6:$N285,"&gt;0"),"")</f>
        <v/>
      </c>
      <c r="AA285" s="16" t="str">
        <f aca="false">IF(AND($H285&lt;&gt;"",N($N285)=0),COUNTIFS($H$6:$H285,"&lt;&gt;",$N$6:$N285,"&lt;=0"),"")</f>
        <v/>
      </c>
      <c r="AB285" s="16" t="str">
        <f aca="false">IF($C285="","",IF(COUNTIF($C$6:$C285,$C285)&gt;1,"",MAX($AB$5:AB284)+1))</f>
        <v/>
      </c>
      <c r="AC285" s="16" t="str">
        <f aca="false">IF($H285="","",IF(COUNTIF($H$6:$H285,$H285)&gt;1,"",MAX($AC$5:AC284)+1))</f>
        <v/>
      </c>
    </row>
    <row r="286" customFormat="false" ht="15" hidden="false" customHeight="false" outlineLevel="0" collapsed="false">
      <c r="A286" s="16" t="str">
        <f aca="false">IF($C286="","",COUNTA($C$6:$C286))</f>
        <v/>
      </c>
      <c r="B286" s="17"/>
      <c r="C286" s="8"/>
      <c r="D286" s="8"/>
      <c r="E286" s="8"/>
      <c r="F286" s="8"/>
      <c r="G286" s="8"/>
      <c r="H286" s="8"/>
      <c r="I286" s="9"/>
      <c r="J286" s="10" t="str">
        <f aca="false">IF($H286="","",IFERROR(VLOOKUP($H286,'BẢNG GIÁ GỐC'!$A$5:$D$204,3,FALSE()),""))</f>
        <v/>
      </c>
      <c r="K286" s="9"/>
      <c r="L286" s="10" t="str">
        <f aca="false">IF($C286="","",N($I286)*N($K286))</f>
        <v/>
      </c>
      <c r="M286" s="8"/>
      <c r="N286" s="11" t="str">
        <f aca="false">IF($C286="","",IF($M286="VAT 5%",0.05,IF($M286="VAT 8%",0.08,IF($M286="VAT 10%",0.1,0))))</f>
        <v/>
      </c>
      <c r="O286" s="10" t="str">
        <f aca="false">IF($C286="","",$L286*$N286)</f>
        <v/>
      </c>
      <c r="P286" s="10" t="str">
        <f aca="false">IF($C286="","",$L286+$O286)</f>
        <v/>
      </c>
      <c r="Q286" s="9"/>
      <c r="R286" s="10" t="str">
        <f aca="false">IF($C286="","",MAX(0,$P286-N($Q286)))</f>
        <v/>
      </c>
      <c r="S286" s="19" t="str">
        <f aca="false">IF(OR($C286="",$P286=0),"",IF(N($Q286)&lt;=0,"Chưa thanh toán",IF(N($Q286)&lt;$P286,"Thanh toán một phần","Đã thanh toán")))</f>
        <v/>
      </c>
      <c r="T286" s="10" t="str">
        <f aca="false">IF(OR($C286="",$J286=""),"",N($I286)*$J286)</f>
        <v/>
      </c>
      <c r="U286" s="10" t="str">
        <f aca="false">IF(OR($C286="",$T286=""),"",$L286-$T286)</f>
        <v/>
      </c>
      <c r="V286" s="11" t="str">
        <f aca="false">IF(OR($U286="",$L286=0),"",$U286/$L286)</f>
        <v/>
      </c>
      <c r="W286" s="8"/>
      <c r="X286" s="19" t="str">
        <f aca="false">IF($C286="","",IF(AND($H286="",N($I286)=0,N($K286)=0),"Dòng chỉ lưu thông tin khách (chưa có đơn); ",IF($B286="","Thiếu ngày đặt; ","")&amp;IF($H286="","Thiếu tên sản phẩm; ",IF($J286="","Sản phẩm chưa có trong BẢNG GIÁ GỐC; ",""))&amp;IF(N($I286)&lt;=0,"Thiếu số lượng; ","")&amp;IF(N($K286)&lt;=0,"Thiếu giá bán; ","")&amp;IF(AND($N286&gt;0,$F286=""),"Khách lấy VAT thiếu mã số thuế; ","")&amp;IF(N($Q286)&gt;$P286,"Đã thu vượt tổng phải thu; ","")&amp;IF(AND($L286&gt;0,$U286&lt;0),"CẢNH BÁO: ĐƠN NÀY ĐANG LỖ; ","")))</f>
        <v/>
      </c>
      <c r="Y286" s="16" t="str">
        <f aca="false">IF(AND($C286&lt;&gt;"",$R286&gt;0),COUNTIFS($C$6:$C286,"&lt;&gt;",$R$6:$R286,"&gt;0"),"")</f>
        <v/>
      </c>
      <c r="Z286" s="16" t="str">
        <f aca="false">IF(AND($H286&lt;&gt;"",N($N286)&gt;0),COUNTIFS($H$6:$H286,"&lt;&gt;",$N$6:$N286,"&gt;0"),"")</f>
        <v/>
      </c>
      <c r="AA286" s="16" t="str">
        <f aca="false">IF(AND($H286&lt;&gt;"",N($N286)=0),COUNTIFS($H$6:$H286,"&lt;&gt;",$N$6:$N286,"&lt;=0"),"")</f>
        <v/>
      </c>
      <c r="AB286" s="16" t="str">
        <f aca="false">IF($C286="","",IF(COUNTIF($C$6:$C286,$C286)&gt;1,"",MAX($AB$5:AB285)+1))</f>
        <v/>
      </c>
      <c r="AC286" s="16" t="str">
        <f aca="false">IF($H286="","",IF(COUNTIF($H$6:$H286,$H286)&gt;1,"",MAX($AC$5:AC285)+1))</f>
        <v/>
      </c>
    </row>
    <row r="287" customFormat="false" ht="15" hidden="false" customHeight="false" outlineLevel="0" collapsed="false">
      <c r="A287" s="16" t="str">
        <f aca="false">IF($C287="","",COUNTA($C$6:$C287))</f>
        <v/>
      </c>
      <c r="B287" s="17"/>
      <c r="C287" s="8"/>
      <c r="D287" s="8"/>
      <c r="E287" s="8"/>
      <c r="F287" s="8"/>
      <c r="G287" s="8"/>
      <c r="H287" s="8"/>
      <c r="I287" s="9"/>
      <c r="J287" s="10" t="str">
        <f aca="false">IF($H287="","",IFERROR(VLOOKUP($H287,'BẢNG GIÁ GỐC'!$A$5:$D$204,3,FALSE()),""))</f>
        <v/>
      </c>
      <c r="K287" s="9"/>
      <c r="L287" s="10" t="str">
        <f aca="false">IF($C287="","",N($I287)*N($K287))</f>
        <v/>
      </c>
      <c r="M287" s="8"/>
      <c r="N287" s="11" t="str">
        <f aca="false">IF($C287="","",IF($M287="VAT 5%",0.05,IF($M287="VAT 8%",0.08,IF($M287="VAT 10%",0.1,0))))</f>
        <v/>
      </c>
      <c r="O287" s="10" t="str">
        <f aca="false">IF($C287="","",$L287*$N287)</f>
        <v/>
      </c>
      <c r="P287" s="10" t="str">
        <f aca="false">IF($C287="","",$L287+$O287)</f>
        <v/>
      </c>
      <c r="Q287" s="9"/>
      <c r="R287" s="10" t="str">
        <f aca="false">IF($C287="","",MAX(0,$P287-N($Q287)))</f>
        <v/>
      </c>
      <c r="S287" s="19" t="str">
        <f aca="false">IF(OR($C287="",$P287=0),"",IF(N($Q287)&lt;=0,"Chưa thanh toán",IF(N($Q287)&lt;$P287,"Thanh toán một phần","Đã thanh toán")))</f>
        <v/>
      </c>
      <c r="T287" s="10" t="str">
        <f aca="false">IF(OR($C287="",$J287=""),"",N($I287)*$J287)</f>
        <v/>
      </c>
      <c r="U287" s="10" t="str">
        <f aca="false">IF(OR($C287="",$T287=""),"",$L287-$T287)</f>
        <v/>
      </c>
      <c r="V287" s="11" t="str">
        <f aca="false">IF(OR($U287="",$L287=0),"",$U287/$L287)</f>
        <v/>
      </c>
      <c r="W287" s="8"/>
      <c r="X287" s="19" t="str">
        <f aca="false">IF($C287="","",IF(AND($H287="",N($I287)=0,N($K287)=0),"Dòng chỉ lưu thông tin khách (chưa có đơn); ",IF($B287="","Thiếu ngày đặt; ","")&amp;IF($H287="","Thiếu tên sản phẩm; ",IF($J287="","Sản phẩm chưa có trong BẢNG GIÁ GỐC; ",""))&amp;IF(N($I287)&lt;=0,"Thiếu số lượng; ","")&amp;IF(N($K287)&lt;=0,"Thiếu giá bán; ","")&amp;IF(AND($N287&gt;0,$F287=""),"Khách lấy VAT thiếu mã số thuế; ","")&amp;IF(N($Q287)&gt;$P287,"Đã thu vượt tổng phải thu; ","")&amp;IF(AND($L287&gt;0,$U287&lt;0),"CẢNH BÁO: ĐƠN NÀY ĐANG LỖ; ","")))</f>
        <v/>
      </c>
      <c r="Y287" s="16" t="str">
        <f aca="false">IF(AND($C287&lt;&gt;"",$R287&gt;0),COUNTIFS($C$6:$C287,"&lt;&gt;",$R$6:$R287,"&gt;0"),"")</f>
        <v/>
      </c>
      <c r="Z287" s="16" t="str">
        <f aca="false">IF(AND($H287&lt;&gt;"",N($N287)&gt;0),COUNTIFS($H$6:$H287,"&lt;&gt;",$N$6:$N287,"&gt;0"),"")</f>
        <v/>
      </c>
      <c r="AA287" s="16" t="str">
        <f aca="false">IF(AND($H287&lt;&gt;"",N($N287)=0),COUNTIFS($H$6:$H287,"&lt;&gt;",$N$6:$N287,"&lt;=0"),"")</f>
        <v/>
      </c>
      <c r="AB287" s="16" t="str">
        <f aca="false">IF($C287="","",IF(COUNTIF($C$6:$C287,$C287)&gt;1,"",MAX($AB$5:AB286)+1))</f>
        <v/>
      </c>
      <c r="AC287" s="16" t="str">
        <f aca="false">IF($H287="","",IF(COUNTIF($H$6:$H287,$H287)&gt;1,"",MAX($AC$5:AC286)+1))</f>
        <v/>
      </c>
    </row>
    <row r="288" customFormat="false" ht="15" hidden="false" customHeight="false" outlineLevel="0" collapsed="false">
      <c r="A288" s="16" t="str">
        <f aca="false">IF($C288="","",COUNTA($C$6:$C288))</f>
        <v/>
      </c>
      <c r="B288" s="17"/>
      <c r="C288" s="8"/>
      <c r="D288" s="8"/>
      <c r="E288" s="8"/>
      <c r="F288" s="8"/>
      <c r="G288" s="8"/>
      <c r="H288" s="8"/>
      <c r="I288" s="9"/>
      <c r="J288" s="10" t="str">
        <f aca="false">IF($H288="","",IFERROR(VLOOKUP($H288,'BẢNG GIÁ GỐC'!$A$5:$D$204,3,FALSE()),""))</f>
        <v/>
      </c>
      <c r="K288" s="9"/>
      <c r="L288" s="10" t="str">
        <f aca="false">IF($C288="","",N($I288)*N($K288))</f>
        <v/>
      </c>
      <c r="M288" s="8"/>
      <c r="N288" s="11" t="str">
        <f aca="false">IF($C288="","",IF($M288="VAT 5%",0.05,IF($M288="VAT 8%",0.08,IF($M288="VAT 10%",0.1,0))))</f>
        <v/>
      </c>
      <c r="O288" s="10" t="str">
        <f aca="false">IF($C288="","",$L288*$N288)</f>
        <v/>
      </c>
      <c r="P288" s="10" t="str">
        <f aca="false">IF($C288="","",$L288+$O288)</f>
        <v/>
      </c>
      <c r="Q288" s="9"/>
      <c r="R288" s="10" t="str">
        <f aca="false">IF($C288="","",MAX(0,$P288-N($Q288)))</f>
        <v/>
      </c>
      <c r="S288" s="19" t="str">
        <f aca="false">IF(OR($C288="",$P288=0),"",IF(N($Q288)&lt;=0,"Chưa thanh toán",IF(N($Q288)&lt;$P288,"Thanh toán một phần","Đã thanh toán")))</f>
        <v/>
      </c>
      <c r="T288" s="10" t="str">
        <f aca="false">IF(OR($C288="",$J288=""),"",N($I288)*$J288)</f>
        <v/>
      </c>
      <c r="U288" s="10" t="str">
        <f aca="false">IF(OR($C288="",$T288=""),"",$L288-$T288)</f>
        <v/>
      </c>
      <c r="V288" s="11" t="str">
        <f aca="false">IF(OR($U288="",$L288=0),"",$U288/$L288)</f>
        <v/>
      </c>
      <c r="W288" s="8"/>
      <c r="X288" s="19" t="str">
        <f aca="false">IF($C288="","",IF(AND($H288="",N($I288)=0,N($K288)=0),"Dòng chỉ lưu thông tin khách (chưa có đơn); ",IF($B288="","Thiếu ngày đặt; ","")&amp;IF($H288="","Thiếu tên sản phẩm; ",IF($J288="","Sản phẩm chưa có trong BẢNG GIÁ GỐC; ",""))&amp;IF(N($I288)&lt;=0,"Thiếu số lượng; ","")&amp;IF(N($K288)&lt;=0,"Thiếu giá bán; ","")&amp;IF(AND($N288&gt;0,$F288=""),"Khách lấy VAT thiếu mã số thuế; ","")&amp;IF(N($Q288)&gt;$P288,"Đã thu vượt tổng phải thu; ","")&amp;IF(AND($L288&gt;0,$U288&lt;0),"CẢNH BÁO: ĐƠN NÀY ĐANG LỖ; ","")))</f>
        <v/>
      </c>
      <c r="Y288" s="16" t="str">
        <f aca="false">IF(AND($C288&lt;&gt;"",$R288&gt;0),COUNTIFS($C$6:$C288,"&lt;&gt;",$R$6:$R288,"&gt;0"),"")</f>
        <v/>
      </c>
      <c r="Z288" s="16" t="str">
        <f aca="false">IF(AND($H288&lt;&gt;"",N($N288)&gt;0),COUNTIFS($H$6:$H288,"&lt;&gt;",$N$6:$N288,"&gt;0"),"")</f>
        <v/>
      </c>
      <c r="AA288" s="16" t="str">
        <f aca="false">IF(AND($H288&lt;&gt;"",N($N288)=0),COUNTIFS($H$6:$H288,"&lt;&gt;",$N$6:$N288,"&lt;=0"),"")</f>
        <v/>
      </c>
      <c r="AB288" s="16" t="str">
        <f aca="false">IF($C288="","",IF(COUNTIF($C$6:$C288,$C288)&gt;1,"",MAX($AB$5:AB287)+1))</f>
        <v/>
      </c>
      <c r="AC288" s="16" t="str">
        <f aca="false">IF($H288="","",IF(COUNTIF($H$6:$H288,$H288)&gt;1,"",MAX($AC$5:AC287)+1))</f>
        <v/>
      </c>
    </row>
    <row r="289" customFormat="false" ht="15" hidden="false" customHeight="false" outlineLevel="0" collapsed="false">
      <c r="A289" s="16" t="str">
        <f aca="false">IF($C289="","",COUNTA($C$6:$C289))</f>
        <v/>
      </c>
      <c r="B289" s="17"/>
      <c r="C289" s="8"/>
      <c r="D289" s="8"/>
      <c r="E289" s="8"/>
      <c r="F289" s="8"/>
      <c r="G289" s="8"/>
      <c r="H289" s="8"/>
      <c r="I289" s="9"/>
      <c r="J289" s="10" t="str">
        <f aca="false">IF($H289="","",IFERROR(VLOOKUP($H289,'BẢNG GIÁ GỐC'!$A$5:$D$204,3,FALSE()),""))</f>
        <v/>
      </c>
      <c r="K289" s="9"/>
      <c r="L289" s="10" t="str">
        <f aca="false">IF($C289="","",N($I289)*N($K289))</f>
        <v/>
      </c>
      <c r="M289" s="8"/>
      <c r="N289" s="11" t="str">
        <f aca="false">IF($C289="","",IF($M289="VAT 5%",0.05,IF($M289="VAT 8%",0.08,IF($M289="VAT 10%",0.1,0))))</f>
        <v/>
      </c>
      <c r="O289" s="10" t="str">
        <f aca="false">IF($C289="","",$L289*$N289)</f>
        <v/>
      </c>
      <c r="P289" s="10" t="str">
        <f aca="false">IF($C289="","",$L289+$O289)</f>
        <v/>
      </c>
      <c r="Q289" s="9"/>
      <c r="R289" s="10" t="str">
        <f aca="false">IF($C289="","",MAX(0,$P289-N($Q289)))</f>
        <v/>
      </c>
      <c r="S289" s="19" t="str">
        <f aca="false">IF(OR($C289="",$P289=0),"",IF(N($Q289)&lt;=0,"Chưa thanh toán",IF(N($Q289)&lt;$P289,"Thanh toán một phần","Đã thanh toán")))</f>
        <v/>
      </c>
      <c r="T289" s="10" t="str">
        <f aca="false">IF(OR($C289="",$J289=""),"",N($I289)*$J289)</f>
        <v/>
      </c>
      <c r="U289" s="10" t="str">
        <f aca="false">IF(OR($C289="",$T289=""),"",$L289-$T289)</f>
        <v/>
      </c>
      <c r="V289" s="11" t="str">
        <f aca="false">IF(OR($U289="",$L289=0),"",$U289/$L289)</f>
        <v/>
      </c>
      <c r="W289" s="8"/>
      <c r="X289" s="19" t="str">
        <f aca="false">IF($C289="","",IF(AND($H289="",N($I289)=0,N($K289)=0),"Dòng chỉ lưu thông tin khách (chưa có đơn); ",IF($B289="","Thiếu ngày đặt; ","")&amp;IF($H289="","Thiếu tên sản phẩm; ",IF($J289="","Sản phẩm chưa có trong BẢNG GIÁ GỐC; ",""))&amp;IF(N($I289)&lt;=0,"Thiếu số lượng; ","")&amp;IF(N($K289)&lt;=0,"Thiếu giá bán; ","")&amp;IF(AND($N289&gt;0,$F289=""),"Khách lấy VAT thiếu mã số thuế; ","")&amp;IF(N($Q289)&gt;$P289,"Đã thu vượt tổng phải thu; ","")&amp;IF(AND($L289&gt;0,$U289&lt;0),"CẢNH BÁO: ĐƠN NÀY ĐANG LỖ; ","")))</f>
        <v/>
      </c>
      <c r="Y289" s="16" t="str">
        <f aca="false">IF(AND($C289&lt;&gt;"",$R289&gt;0),COUNTIFS($C$6:$C289,"&lt;&gt;",$R$6:$R289,"&gt;0"),"")</f>
        <v/>
      </c>
      <c r="Z289" s="16" t="str">
        <f aca="false">IF(AND($H289&lt;&gt;"",N($N289)&gt;0),COUNTIFS($H$6:$H289,"&lt;&gt;",$N$6:$N289,"&gt;0"),"")</f>
        <v/>
      </c>
      <c r="AA289" s="16" t="str">
        <f aca="false">IF(AND($H289&lt;&gt;"",N($N289)=0),COUNTIFS($H$6:$H289,"&lt;&gt;",$N$6:$N289,"&lt;=0"),"")</f>
        <v/>
      </c>
      <c r="AB289" s="16" t="str">
        <f aca="false">IF($C289="","",IF(COUNTIF($C$6:$C289,$C289)&gt;1,"",MAX($AB$5:AB288)+1))</f>
        <v/>
      </c>
      <c r="AC289" s="16" t="str">
        <f aca="false">IF($H289="","",IF(COUNTIF($H$6:$H289,$H289)&gt;1,"",MAX($AC$5:AC288)+1))</f>
        <v/>
      </c>
    </row>
    <row r="290" customFormat="false" ht="15" hidden="false" customHeight="false" outlineLevel="0" collapsed="false">
      <c r="A290" s="16" t="str">
        <f aca="false">IF($C290="","",COUNTA($C$6:$C290))</f>
        <v/>
      </c>
      <c r="B290" s="17"/>
      <c r="C290" s="8"/>
      <c r="D290" s="8"/>
      <c r="E290" s="8"/>
      <c r="F290" s="8"/>
      <c r="G290" s="8"/>
      <c r="H290" s="8"/>
      <c r="I290" s="9"/>
      <c r="J290" s="10" t="str">
        <f aca="false">IF($H290="","",IFERROR(VLOOKUP($H290,'BẢNG GIÁ GỐC'!$A$5:$D$204,3,FALSE()),""))</f>
        <v/>
      </c>
      <c r="K290" s="9"/>
      <c r="L290" s="10" t="str">
        <f aca="false">IF($C290="","",N($I290)*N($K290))</f>
        <v/>
      </c>
      <c r="M290" s="8"/>
      <c r="N290" s="11" t="str">
        <f aca="false">IF($C290="","",IF($M290="VAT 5%",0.05,IF($M290="VAT 8%",0.08,IF($M290="VAT 10%",0.1,0))))</f>
        <v/>
      </c>
      <c r="O290" s="10" t="str">
        <f aca="false">IF($C290="","",$L290*$N290)</f>
        <v/>
      </c>
      <c r="P290" s="10" t="str">
        <f aca="false">IF($C290="","",$L290+$O290)</f>
        <v/>
      </c>
      <c r="Q290" s="9"/>
      <c r="R290" s="10" t="str">
        <f aca="false">IF($C290="","",MAX(0,$P290-N($Q290)))</f>
        <v/>
      </c>
      <c r="S290" s="19" t="str">
        <f aca="false">IF(OR($C290="",$P290=0),"",IF(N($Q290)&lt;=0,"Chưa thanh toán",IF(N($Q290)&lt;$P290,"Thanh toán một phần","Đã thanh toán")))</f>
        <v/>
      </c>
      <c r="T290" s="10" t="str">
        <f aca="false">IF(OR($C290="",$J290=""),"",N($I290)*$J290)</f>
        <v/>
      </c>
      <c r="U290" s="10" t="str">
        <f aca="false">IF(OR($C290="",$T290=""),"",$L290-$T290)</f>
        <v/>
      </c>
      <c r="V290" s="11" t="str">
        <f aca="false">IF(OR($U290="",$L290=0),"",$U290/$L290)</f>
        <v/>
      </c>
      <c r="W290" s="8"/>
      <c r="X290" s="19" t="str">
        <f aca="false">IF($C290="","",IF(AND($H290="",N($I290)=0,N($K290)=0),"Dòng chỉ lưu thông tin khách (chưa có đơn); ",IF($B290="","Thiếu ngày đặt; ","")&amp;IF($H290="","Thiếu tên sản phẩm; ",IF($J290="","Sản phẩm chưa có trong BẢNG GIÁ GỐC; ",""))&amp;IF(N($I290)&lt;=0,"Thiếu số lượng; ","")&amp;IF(N($K290)&lt;=0,"Thiếu giá bán; ","")&amp;IF(AND($N290&gt;0,$F290=""),"Khách lấy VAT thiếu mã số thuế; ","")&amp;IF(N($Q290)&gt;$P290,"Đã thu vượt tổng phải thu; ","")&amp;IF(AND($L290&gt;0,$U290&lt;0),"CẢNH BÁO: ĐƠN NÀY ĐANG LỖ; ","")))</f>
        <v/>
      </c>
      <c r="Y290" s="16" t="str">
        <f aca="false">IF(AND($C290&lt;&gt;"",$R290&gt;0),COUNTIFS($C$6:$C290,"&lt;&gt;",$R$6:$R290,"&gt;0"),"")</f>
        <v/>
      </c>
      <c r="Z290" s="16" t="str">
        <f aca="false">IF(AND($H290&lt;&gt;"",N($N290)&gt;0),COUNTIFS($H$6:$H290,"&lt;&gt;",$N$6:$N290,"&gt;0"),"")</f>
        <v/>
      </c>
      <c r="AA290" s="16" t="str">
        <f aca="false">IF(AND($H290&lt;&gt;"",N($N290)=0),COUNTIFS($H$6:$H290,"&lt;&gt;",$N$6:$N290,"&lt;=0"),"")</f>
        <v/>
      </c>
      <c r="AB290" s="16" t="str">
        <f aca="false">IF($C290="","",IF(COUNTIF($C$6:$C290,$C290)&gt;1,"",MAX($AB$5:AB289)+1))</f>
        <v/>
      </c>
      <c r="AC290" s="16" t="str">
        <f aca="false">IF($H290="","",IF(COUNTIF($H$6:$H290,$H290)&gt;1,"",MAX($AC$5:AC289)+1))</f>
        <v/>
      </c>
    </row>
    <row r="291" customFormat="false" ht="15" hidden="false" customHeight="false" outlineLevel="0" collapsed="false">
      <c r="A291" s="16" t="str">
        <f aca="false">IF($C291="","",COUNTA($C$6:$C291))</f>
        <v/>
      </c>
      <c r="B291" s="17"/>
      <c r="C291" s="8"/>
      <c r="D291" s="8"/>
      <c r="E291" s="8"/>
      <c r="F291" s="8"/>
      <c r="G291" s="8"/>
      <c r="H291" s="8"/>
      <c r="I291" s="9"/>
      <c r="J291" s="10" t="str">
        <f aca="false">IF($H291="","",IFERROR(VLOOKUP($H291,'BẢNG GIÁ GỐC'!$A$5:$D$204,3,FALSE()),""))</f>
        <v/>
      </c>
      <c r="K291" s="9"/>
      <c r="L291" s="10" t="str">
        <f aca="false">IF($C291="","",N($I291)*N($K291))</f>
        <v/>
      </c>
      <c r="M291" s="8"/>
      <c r="N291" s="11" t="str">
        <f aca="false">IF($C291="","",IF($M291="VAT 5%",0.05,IF($M291="VAT 8%",0.08,IF($M291="VAT 10%",0.1,0))))</f>
        <v/>
      </c>
      <c r="O291" s="10" t="str">
        <f aca="false">IF($C291="","",$L291*$N291)</f>
        <v/>
      </c>
      <c r="P291" s="10" t="str">
        <f aca="false">IF($C291="","",$L291+$O291)</f>
        <v/>
      </c>
      <c r="Q291" s="9"/>
      <c r="R291" s="10" t="str">
        <f aca="false">IF($C291="","",MAX(0,$P291-N($Q291)))</f>
        <v/>
      </c>
      <c r="S291" s="19" t="str">
        <f aca="false">IF(OR($C291="",$P291=0),"",IF(N($Q291)&lt;=0,"Chưa thanh toán",IF(N($Q291)&lt;$P291,"Thanh toán một phần","Đã thanh toán")))</f>
        <v/>
      </c>
      <c r="T291" s="10" t="str">
        <f aca="false">IF(OR($C291="",$J291=""),"",N($I291)*$J291)</f>
        <v/>
      </c>
      <c r="U291" s="10" t="str">
        <f aca="false">IF(OR($C291="",$T291=""),"",$L291-$T291)</f>
        <v/>
      </c>
      <c r="V291" s="11" t="str">
        <f aca="false">IF(OR($U291="",$L291=0),"",$U291/$L291)</f>
        <v/>
      </c>
      <c r="W291" s="8"/>
      <c r="X291" s="19" t="str">
        <f aca="false">IF($C291="","",IF(AND($H291="",N($I291)=0,N($K291)=0),"Dòng chỉ lưu thông tin khách (chưa có đơn); ",IF($B291="","Thiếu ngày đặt; ","")&amp;IF($H291="","Thiếu tên sản phẩm; ",IF($J291="","Sản phẩm chưa có trong BẢNG GIÁ GỐC; ",""))&amp;IF(N($I291)&lt;=0,"Thiếu số lượng; ","")&amp;IF(N($K291)&lt;=0,"Thiếu giá bán; ","")&amp;IF(AND($N291&gt;0,$F291=""),"Khách lấy VAT thiếu mã số thuế; ","")&amp;IF(N($Q291)&gt;$P291,"Đã thu vượt tổng phải thu; ","")&amp;IF(AND($L291&gt;0,$U291&lt;0),"CẢNH BÁO: ĐƠN NÀY ĐANG LỖ; ","")))</f>
        <v/>
      </c>
      <c r="Y291" s="16" t="str">
        <f aca="false">IF(AND($C291&lt;&gt;"",$R291&gt;0),COUNTIFS($C$6:$C291,"&lt;&gt;",$R$6:$R291,"&gt;0"),"")</f>
        <v/>
      </c>
      <c r="Z291" s="16" t="str">
        <f aca="false">IF(AND($H291&lt;&gt;"",N($N291)&gt;0),COUNTIFS($H$6:$H291,"&lt;&gt;",$N$6:$N291,"&gt;0"),"")</f>
        <v/>
      </c>
      <c r="AA291" s="16" t="str">
        <f aca="false">IF(AND($H291&lt;&gt;"",N($N291)=0),COUNTIFS($H$6:$H291,"&lt;&gt;",$N$6:$N291,"&lt;=0"),"")</f>
        <v/>
      </c>
      <c r="AB291" s="16" t="str">
        <f aca="false">IF($C291="","",IF(COUNTIF($C$6:$C291,$C291)&gt;1,"",MAX($AB$5:AB290)+1))</f>
        <v/>
      </c>
      <c r="AC291" s="16" t="str">
        <f aca="false">IF($H291="","",IF(COUNTIF($H$6:$H291,$H291)&gt;1,"",MAX($AC$5:AC290)+1))</f>
        <v/>
      </c>
    </row>
    <row r="292" customFormat="false" ht="15" hidden="false" customHeight="false" outlineLevel="0" collapsed="false">
      <c r="A292" s="16" t="str">
        <f aca="false">IF($C292="","",COUNTA($C$6:$C292))</f>
        <v/>
      </c>
      <c r="B292" s="17"/>
      <c r="C292" s="8"/>
      <c r="D292" s="8"/>
      <c r="E292" s="8"/>
      <c r="F292" s="8"/>
      <c r="G292" s="8"/>
      <c r="H292" s="8"/>
      <c r="I292" s="9"/>
      <c r="J292" s="10" t="str">
        <f aca="false">IF($H292="","",IFERROR(VLOOKUP($H292,'BẢNG GIÁ GỐC'!$A$5:$D$204,3,FALSE()),""))</f>
        <v/>
      </c>
      <c r="K292" s="9"/>
      <c r="L292" s="10" t="str">
        <f aca="false">IF($C292="","",N($I292)*N($K292))</f>
        <v/>
      </c>
      <c r="M292" s="8"/>
      <c r="N292" s="11" t="str">
        <f aca="false">IF($C292="","",IF($M292="VAT 5%",0.05,IF($M292="VAT 8%",0.08,IF($M292="VAT 10%",0.1,0))))</f>
        <v/>
      </c>
      <c r="O292" s="10" t="str">
        <f aca="false">IF($C292="","",$L292*$N292)</f>
        <v/>
      </c>
      <c r="P292" s="10" t="str">
        <f aca="false">IF($C292="","",$L292+$O292)</f>
        <v/>
      </c>
      <c r="Q292" s="9"/>
      <c r="R292" s="10" t="str">
        <f aca="false">IF($C292="","",MAX(0,$P292-N($Q292)))</f>
        <v/>
      </c>
      <c r="S292" s="19" t="str">
        <f aca="false">IF(OR($C292="",$P292=0),"",IF(N($Q292)&lt;=0,"Chưa thanh toán",IF(N($Q292)&lt;$P292,"Thanh toán một phần","Đã thanh toán")))</f>
        <v/>
      </c>
      <c r="T292" s="10" t="str">
        <f aca="false">IF(OR($C292="",$J292=""),"",N($I292)*$J292)</f>
        <v/>
      </c>
      <c r="U292" s="10" t="str">
        <f aca="false">IF(OR($C292="",$T292=""),"",$L292-$T292)</f>
        <v/>
      </c>
      <c r="V292" s="11" t="str">
        <f aca="false">IF(OR($U292="",$L292=0),"",$U292/$L292)</f>
        <v/>
      </c>
      <c r="W292" s="8"/>
      <c r="X292" s="19" t="str">
        <f aca="false">IF($C292="","",IF(AND($H292="",N($I292)=0,N($K292)=0),"Dòng chỉ lưu thông tin khách (chưa có đơn); ",IF($B292="","Thiếu ngày đặt; ","")&amp;IF($H292="","Thiếu tên sản phẩm; ",IF($J292="","Sản phẩm chưa có trong BẢNG GIÁ GỐC; ",""))&amp;IF(N($I292)&lt;=0,"Thiếu số lượng; ","")&amp;IF(N($K292)&lt;=0,"Thiếu giá bán; ","")&amp;IF(AND($N292&gt;0,$F292=""),"Khách lấy VAT thiếu mã số thuế; ","")&amp;IF(N($Q292)&gt;$P292,"Đã thu vượt tổng phải thu; ","")&amp;IF(AND($L292&gt;0,$U292&lt;0),"CẢNH BÁO: ĐƠN NÀY ĐANG LỖ; ","")))</f>
        <v/>
      </c>
      <c r="Y292" s="16" t="str">
        <f aca="false">IF(AND($C292&lt;&gt;"",$R292&gt;0),COUNTIFS($C$6:$C292,"&lt;&gt;",$R$6:$R292,"&gt;0"),"")</f>
        <v/>
      </c>
      <c r="Z292" s="16" t="str">
        <f aca="false">IF(AND($H292&lt;&gt;"",N($N292)&gt;0),COUNTIFS($H$6:$H292,"&lt;&gt;",$N$6:$N292,"&gt;0"),"")</f>
        <v/>
      </c>
      <c r="AA292" s="16" t="str">
        <f aca="false">IF(AND($H292&lt;&gt;"",N($N292)=0),COUNTIFS($H$6:$H292,"&lt;&gt;",$N$6:$N292,"&lt;=0"),"")</f>
        <v/>
      </c>
      <c r="AB292" s="16" t="str">
        <f aca="false">IF($C292="","",IF(COUNTIF($C$6:$C292,$C292)&gt;1,"",MAX($AB$5:AB291)+1))</f>
        <v/>
      </c>
      <c r="AC292" s="16" t="str">
        <f aca="false">IF($H292="","",IF(COUNTIF($H$6:$H292,$H292)&gt;1,"",MAX($AC$5:AC291)+1))</f>
        <v/>
      </c>
    </row>
    <row r="293" customFormat="false" ht="15" hidden="false" customHeight="false" outlineLevel="0" collapsed="false">
      <c r="A293" s="16" t="str">
        <f aca="false">IF($C293="","",COUNTA($C$6:$C293))</f>
        <v/>
      </c>
      <c r="B293" s="17"/>
      <c r="C293" s="8"/>
      <c r="D293" s="8"/>
      <c r="E293" s="8"/>
      <c r="F293" s="8"/>
      <c r="G293" s="8"/>
      <c r="H293" s="8"/>
      <c r="I293" s="9"/>
      <c r="J293" s="10" t="str">
        <f aca="false">IF($H293="","",IFERROR(VLOOKUP($H293,'BẢNG GIÁ GỐC'!$A$5:$D$204,3,FALSE()),""))</f>
        <v/>
      </c>
      <c r="K293" s="9"/>
      <c r="L293" s="10" t="str">
        <f aca="false">IF($C293="","",N($I293)*N($K293))</f>
        <v/>
      </c>
      <c r="M293" s="8"/>
      <c r="N293" s="11" t="str">
        <f aca="false">IF($C293="","",IF($M293="VAT 5%",0.05,IF($M293="VAT 8%",0.08,IF($M293="VAT 10%",0.1,0))))</f>
        <v/>
      </c>
      <c r="O293" s="10" t="str">
        <f aca="false">IF($C293="","",$L293*$N293)</f>
        <v/>
      </c>
      <c r="P293" s="10" t="str">
        <f aca="false">IF($C293="","",$L293+$O293)</f>
        <v/>
      </c>
      <c r="Q293" s="9"/>
      <c r="R293" s="10" t="str">
        <f aca="false">IF($C293="","",MAX(0,$P293-N($Q293)))</f>
        <v/>
      </c>
      <c r="S293" s="19" t="str">
        <f aca="false">IF(OR($C293="",$P293=0),"",IF(N($Q293)&lt;=0,"Chưa thanh toán",IF(N($Q293)&lt;$P293,"Thanh toán một phần","Đã thanh toán")))</f>
        <v/>
      </c>
      <c r="T293" s="10" t="str">
        <f aca="false">IF(OR($C293="",$J293=""),"",N($I293)*$J293)</f>
        <v/>
      </c>
      <c r="U293" s="10" t="str">
        <f aca="false">IF(OR($C293="",$T293=""),"",$L293-$T293)</f>
        <v/>
      </c>
      <c r="V293" s="11" t="str">
        <f aca="false">IF(OR($U293="",$L293=0),"",$U293/$L293)</f>
        <v/>
      </c>
      <c r="W293" s="8"/>
      <c r="X293" s="19" t="str">
        <f aca="false">IF($C293="","",IF(AND($H293="",N($I293)=0,N($K293)=0),"Dòng chỉ lưu thông tin khách (chưa có đơn); ",IF($B293="","Thiếu ngày đặt; ","")&amp;IF($H293="","Thiếu tên sản phẩm; ",IF($J293="","Sản phẩm chưa có trong BẢNG GIÁ GỐC; ",""))&amp;IF(N($I293)&lt;=0,"Thiếu số lượng; ","")&amp;IF(N($K293)&lt;=0,"Thiếu giá bán; ","")&amp;IF(AND($N293&gt;0,$F293=""),"Khách lấy VAT thiếu mã số thuế; ","")&amp;IF(N($Q293)&gt;$P293,"Đã thu vượt tổng phải thu; ","")&amp;IF(AND($L293&gt;0,$U293&lt;0),"CẢNH BÁO: ĐƠN NÀY ĐANG LỖ; ","")))</f>
        <v/>
      </c>
      <c r="Y293" s="16" t="str">
        <f aca="false">IF(AND($C293&lt;&gt;"",$R293&gt;0),COUNTIFS($C$6:$C293,"&lt;&gt;",$R$6:$R293,"&gt;0"),"")</f>
        <v/>
      </c>
      <c r="Z293" s="16" t="str">
        <f aca="false">IF(AND($H293&lt;&gt;"",N($N293)&gt;0),COUNTIFS($H$6:$H293,"&lt;&gt;",$N$6:$N293,"&gt;0"),"")</f>
        <v/>
      </c>
      <c r="AA293" s="16" t="str">
        <f aca="false">IF(AND($H293&lt;&gt;"",N($N293)=0),COUNTIFS($H$6:$H293,"&lt;&gt;",$N$6:$N293,"&lt;=0"),"")</f>
        <v/>
      </c>
      <c r="AB293" s="16" t="str">
        <f aca="false">IF($C293="","",IF(COUNTIF($C$6:$C293,$C293)&gt;1,"",MAX($AB$5:AB292)+1))</f>
        <v/>
      </c>
      <c r="AC293" s="16" t="str">
        <f aca="false">IF($H293="","",IF(COUNTIF($H$6:$H293,$H293)&gt;1,"",MAX($AC$5:AC292)+1))</f>
        <v/>
      </c>
    </row>
    <row r="294" customFormat="false" ht="15" hidden="false" customHeight="false" outlineLevel="0" collapsed="false">
      <c r="A294" s="16" t="str">
        <f aca="false">IF($C294="","",COUNTA($C$6:$C294))</f>
        <v/>
      </c>
      <c r="B294" s="17"/>
      <c r="C294" s="8"/>
      <c r="D294" s="8"/>
      <c r="E294" s="8"/>
      <c r="F294" s="8"/>
      <c r="G294" s="8"/>
      <c r="H294" s="8"/>
      <c r="I294" s="9"/>
      <c r="J294" s="10" t="str">
        <f aca="false">IF($H294="","",IFERROR(VLOOKUP($H294,'BẢNG GIÁ GỐC'!$A$5:$D$204,3,FALSE()),""))</f>
        <v/>
      </c>
      <c r="K294" s="9"/>
      <c r="L294" s="10" t="str">
        <f aca="false">IF($C294="","",N($I294)*N($K294))</f>
        <v/>
      </c>
      <c r="M294" s="8"/>
      <c r="N294" s="11" t="str">
        <f aca="false">IF($C294="","",IF($M294="VAT 5%",0.05,IF($M294="VAT 8%",0.08,IF($M294="VAT 10%",0.1,0))))</f>
        <v/>
      </c>
      <c r="O294" s="10" t="str">
        <f aca="false">IF($C294="","",$L294*$N294)</f>
        <v/>
      </c>
      <c r="P294" s="10" t="str">
        <f aca="false">IF($C294="","",$L294+$O294)</f>
        <v/>
      </c>
      <c r="Q294" s="9"/>
      <c r="R294" s="10" t="str">
        <f aca="false">IF($C294="","",MAX(0,$P294-N($Q294)))</f>
        <v/>
      </c>
      <c r="S294" s="19" t="str">
        <f aca="false">IF(OR($C294="",$P294=0),"",IF(N($Q294)&lt;=0,"Chưa thanh toán",IF(N($Q294)&lt;$P294,"Thanh toán một phần","Đã thanh toán")))</f>
        <v/>
      </c>
      <c r="T294" s="10" t="str">
        <f aca="false">IF(OR($C294="",$J294=""),"",N($I294)*$J294)</f>
        <v/>
      </c>
      <c r="U294" s="10" t="str">
        <f aca="false">IF(OR($C294="",$T294=""),"",$L294-$T294)</f>
        <v/>
      </c>
      <c r="V294" s="11" t="str">
        <f aca="false">IF(OR($U294="",$L294=0),"",$U294/$L294)</f>
        <v/>
      </c>
      <c r="W294" s="8"/>
      <c r="X294" s="19" t="str">
        <f aca="false">IF($C294="","",IF(AND($H294="",N($I294)=0,N($K294)=0),"Dòng chỉ lưu thông tin khách (chưa có đơn); ",IF($B294="","Thiếu ngày đặt; ","")&amp;IF($H294="","Thiếu tên sản phẩm; ",IF($J294="","Sản phẩm chưa có trong BẢNG GIÁ GỐC; ",""))&amp;IF(N($I294)&lt;=0,"Thiếu số lượng; ","")&amp;IF(N($K294)&lt;=0,"Thiếu giá bán; ","")&amp;IF(AND($N294&gt;0,$F294=""),"Khách lấy VAT thiếu mã số thuế; ","")&amp;IF(N($Q294)&gt;$P294,"Đã thu vượt tổng phải thu; ","")&amp;IF(AND($L294&gt;0,$U294&lt;0),"CẢNH BÁO: ĐƠN NÀY ĐANG LỖ; ","")))</f>
        <v/>
      </c>
      <c r="Y294" s="16" t="str">
        <f aca="false">IF(AND($C294&lt;&gt;"",$R294&gt;0),COUNTIFS($C$6:$C294,"&lt;&gt;",$R$6:$R294,"&gt;0"),"")</f>
        <v/>
      </c>
      <c r="Z294" s="16" t="str">
        <f aca="false">IF(AND($H294&lt;&gt;"",N($N294)&gt;0),COUNTIFS($H$6:$H294,"&lt;&gt;",$N$6:$N294,"&gt;0"),"")</f>
        <v/>
      </c>
      <c r="AA294" s="16" t="str">
        <f aca="false">IF(AND($H294&lt;&gt;"",N($N294)=0),COUNTIFS($H$6:$H294,"&lt;&gt;",$N$6:$N294,"&lt;=0"),"")</f>
        <v/>
      </c>
      <c r="AB294" s="16" t="str">
        <f aca="false">IF($C294="","",IF(COUNTIF($C$6:$C294,$C294)&gt;1,"",MAX($AB$5:AB293)+1))</f>
        <v/>
      </c>
      <c r="AC294" s="16" t="str">
        <f aca="false">IF($H294="","",IF(COUNTIF($H$6:$H294,$H294)&gt;1,"",MAX($AC$5:AC293)+1))</f>
        <v/>
      </c>
    </row>
    <row r="295" customFormat="false" ht="15" hidden="false" customHeight="false" outlineLevel="0" collapsed="false">
      <c r="A295" s="16" t="str">
        <f aca="false">IF($C295="","",COUNTA($C$6:$C295))</f>
        <v/>
      </c>
      <c r="B295" s="17"/>
      <c r="C295" s="8"/>
      <c r="D295" s="8"/>
      <c r="E295" s="8"/>
      <c r="F295" s="8"/>
      <c r="G295" s="8"/>
      <c r="H295" s="8"/>
      <c r="I295" s="9"/>
      <c r="J295" s="10" t="str">
        <f aca="false">IF($H295="","",IFERROR(VLOOKUP($H295,'BẢNG GIÁ GỐC'!$A$5:$D$204,3,FALSE()),""))</f>
        <v/>
      </c>
      <c r="K295" s="9"/>
      <c r="L295" s="10" t="str">
        <f aca="false">IF($C295="","",N($I295)*N($K295))</f>
        <v/>
      </c>
      <c r="M295" s="8"/>
      <c r="N295" s="11" t="str">
        <f aca="false">IF($C295="","",IF($M295="VAT 5%",0.05,IF($M295="VAT 8%",0.08,IF($M295="VAT 10%",0.1,0))))</f>
        <v/>
      </c>
      <c r="O295" s="10" t="str">
        <f aca="false">IF($C295="","",$L295*$N295)</f>
        <v/>
      </c>
      <c r="P295" s="10" t="str">
        <f aca="false">IF($C295="","",$L295+$O295)</f>
        <v/>
      </c>
      <c r="Q295" s="9"/>
      <c r="R295" s="10" t="str">
        <f aca="false">IF($C295="","",MAX(0,$P295-N($Q295)))</f>
        <v/>
      </c>
      <c r="S295" s="19" t="str">
        <f aca="false">IF(OR($C295="",$P295=0),"",IF(N($Q295)&lt;=0,"Chưa thanh toán",IF(N($Q295)&lt;$P295,"Thanh toán một phần","Đã thanh toán")))</f>
        <v/>
      </c>
      <c r="T295" s="10" t="str">
        <f aca="false">IF(OR($C295="",$J295=""),"",N($I295)*$J295)</f>
        <v/>
      </c>
      <c r="U295" s="10" t="str">
        <f aca="false">IF(OR($C295="",$T295=""),"",$L295-$T295)</f>
        <v/>
      </c>
      <c r="V295" s="11" t="str">
        <f aca="false">IF(OR($U295="",$L295=0),"",$U295/$L295)</f>
        <v/>
      </c>
      <c r="W295" s="8"/>
      <c r="X295" s="19" t="str">
        <f aca="false">IF($C295="","",IF(AND($H295="",N($I295)=0,N($K295)=0),"Dòng chỉ lưu thông tin khách (chưa có đơn); ",IF($B295="","Thiếu ngày đặt; ","")&amp;IF($H295="","Thiếu tên sản phẩm; ",IF($J295="","Sản phẩm chưa có trong BẢNG GIÁ GỐC; ",""))&amp;IF(N($I295)&lt;=0,"Thiếu số lượng; ","")&amp;IF(N($K295)&lt;=0,"Thiếu giá bán; ","")&amp;IF(AND($N295&gt;0,$F295=""),"Khách lấy VAT thiếu mã số thuế; ","")&amp;IF(N($Q295)&gt;$P295,"Đã thu vượt tổng phải thu; ","")&amp;IF(AND($L295&gt;0,$U295&lt;0),"CẢNH BÁO: ĐƠN NÀY ĐANG LỖ; ","")))</f>
        <v/>
      </c>
      <c r="Y295" s="16" t="str">
        <f aca="false">IF(AND($C295&lt;&gt;"",$R295&gt;0),COUNTIFS($C$6:$C295,"&lt;&gt;",$R$6:$R295,"&gt;0"),"")</f>
        <v/>
      </c>
      <c r="Z295" s="16" t="str">
        <f aca="false">IF(AND($H295&lt;&gt;"",N($N295)&gt;0),COUNTIFS($H$6:$H295,"&lt;&gt;",$N$6:$N295,"&gt;0"),"")</f>
        <v/>
      </c>
      <c r="AA295" s="16" t="str">
        <f aca="false">IF(AND($H295&lt;&gt;"",N($N295)=0),COUNTIFS($H$6:$H295,"&lt;&gt;",$N$6:$N295,"&lt;=0"),"")</f>
        <v/>
      </c>
      <c r="AB295" s="16" t="str">
        <f aca="false">IF($C295="","",IF(COUNTIF($C$6:$C295,$C295)&gt;1,"",MAX($AB$5:AB294)+1))</f>
        <v/>
      </c>
      <c r="AC295" s="16" t="str">
        <f aca="false">IF($H295="","",IF(COUNTIF($H$6:$H295,$H295)&gt;1,"",MAX($AC$5:AC294)+1))</f>
        <v/>
      </c>
    </row>
    <row r="296" customFormat="false" ht="15" hidden="false" customHeight="false" outlineLevel="0" collapsed="false">
      <c r="A296" s="16" t="str">
        <f aca="false">IF($C296="","",COUNTA($C$6:$C296))</f>
        <v/>
      </c>
      <c r="B296" s="17"/>
      <c r="C296" s="8"/>
      <c r="D296" s="8"/>
      <c r="E296" s="8"/>
      <c r="F296" s="8"/>
      <c r="G296" s="8"/>
      <c r="H296" s="8"/>
      <c r="I296" s="9"/>
      <c r="J296" s="10" t="str">
        <f aca="false">IF($H296="","",IFERROR(VLOOKUP($H296,'BẢNG GIÁ GỐC'!$A$5:$D$204,3,FALSE()),""))</f>
        <v/>
      </c>
      <c r="K296" s="9"/>
      <c r="L296" s="10" t="str">
        <f aca="false">IF($C296="","",N($I296)*N($K296))</f>
        <v/>
      </c>
      <c r="M296" s="8"/>
      <c r="N296" s="11" t="str">
        <f aca="false">IF($C296="","",IF($M296="VAT 5%",0.05,IF($M296="VAT 8%",0.08,IF($M296="VAT 10%",0.1,0))))</f>
        <v/>
      </c>
      <c r="O296" s="10" t="str">
        <f aca="false">IF($C296="","",$L296*$N296)</f>
        <v/>
      </c>
      <c r="P296" s="10" t="str">
        <f aca="false">IF($C296="","",$L296+$O296)</f>
        <v/>
      </c>
      <c r="Q296" s="9"/>
      <c r="R296" s="10" t="str">
        <f aca="false">IF($C296="","",MAX(0,$P296-N($Q296)))</f>
        <v/>
      </c>
      <c r="S296" s="19" t="str">
        <f aca="false">IF(OR($C296="",$P296=0),"",IF(N($Q296)&lt;=0,"Chưa thanh toán",IF(N($Q296)&lt;$P296,"Thanh toán một phần","Đã thanh toán")))</f>
        <v/>
      </c>
      <c r="T296" s="10" t="str">
        <f aca="false">IF(OR($C296="",$J296=""),"",N($I296)*$J296)</f>
        <v/>
      </c>
      <c r="U296" s="10" t="str">
        <f aca="false">IF(OR($C296="",$T296=""),"",$L296-$T296)</f>
        <v/>
      </c>
      <c r="V296" s="11" t="str">
        <f aca="false">IF(OR($U296="",$L296=0),"",$U296/$L296)</f>
        <v/>
      </c>
      <c r="W296" s="8"/>
      <c r="X296" s="19" t="str">
        <f aca="false">IF($C296="","",IF(AND($H296="",N($I296)=0,N($K296)=0),"Dòng chỉ lưu thông tin khách (chưa có đơn); ",IF($B296="","Thiếu ngày đặt; ","")&amp;IF($H296="","Thiếu tên sản phẩm; ",IF($J296="","Sản phẩm chưa có trong BẢNG GIÁ GỐC; ",""))&amp;IF(N($I296)&lt;=0,"Thiếu số lượng; ","")&amp;IF(N($K296)&lt;=0,"Thiếu giá bán; ","")&amp;IF(AND($N296&gt;0,$F296=""),"Khách lấy VAT thiếu mã số thuế; ","")&amp;IF(N($Q296)&gt;$P296,"Đã thu vượt tổng phải thu; ","")&amp;IF(AND($L296&gt;0,$U296&lt;0),"CẢNH BÁO: ĐƠN NÀY ĐANG LỖ; ","")))</f>
        <v/>
      </c>
      <c r="Y296" s="16" t="str">
        <f aca="false">IF(AND($C296&lt;&gt;"",$R296&gt;0),COUNTIFS($C$6:$C296,"&lt;&gt;",$R$6:$R296,"&gt;0"),"")</f>
        <v/>
      </c>
      <c r="Z296" s="16" t="str">
        <f aca="false">IF(AND($H296&lt;&gt;"",N($N296)&gt;0),COUNTIFS($H$6:$H296,"&lt;&gt;",$N$6:$N296,"&gt;0"),"")</f>
        <v/>
      </c>
      <c r="AA296" s="16" t="str">
        <f aca="false">IF(AND($H296&lt;&gt;"",N($N296)=0),COUNTIFS($H$6:$H296,"&lt;&gt;",$N$6:$N296,"&lt;=0"),"")</f>
        <v/>
      </c>
      <c r="AB296" s="16" t="str">
        <f aca="false">IF($C296="","",IF(COUNTIF($C$6:$C296,$C296)&gt;1,"",MAX($AB$5:AB295)+1))</f>
        <v/>
      </c>
      <c r="AC296" s="16" t="str">
        <f aca="false">IF($H296="","",IF(COUNTIF($H$6:$H296,$H296)&gt;1,"",MAX($AC$5:AC295)+1))</f>
        <v/>
      </c>
    </row>
    <row r="297" customFormat="false" ht="15" hidden="false" customHeight="false" outlineLevel="0" collapsed="false">
      <c r="A297" s="16" t="str">
        <f aca="false">IF($C297="","",COUNTA($C$6:$C297))</f>
        <v/>
      </c>
      <c r="B297" s="17"/>
      <c r="C297" s="8"/>
      <c r="D297" s="8"/>
      <c r="E297" s="8"/>
      <c r="F297" s="8"/>
      <c r="G297" s="8"/>
      <c r="H297" s="8"/>
      <c r="I297" s="9"/>
      <c r="J297" s="10" t="str">
        <f aca="false">IF($H297="","",IFERROR(VLOOKUP($H297,'BẢNG GIÁ GỐC'!$A$5:$D$204,3,FALSE()),""))</f>
        <v/>
      </c>
      <c r="K297" s="9"/>
      <c r="L297" s="10" t="str">
        <f aca="false">IF($C297="","",N($I297)*N($K297))</f>
        <v/>
      </c>
      <c r="M297" s="8"/>
      <c r="N297" s="11" t="str">
        <f aca="false">IF($C297="","",IF($M297="VAT 5%",0.05,IF($M297="VAT 8%",0.08,IF($M297="VAT 10%",0.1,0))))</f>
        <v/>
      </c>
      <c r="O297" s="10" t="str">
        <f aca="false">IF($C297="","",$L297*$N297)</f>
        <v/>
      </c>
      <c r="P297" s="10" t="str">
        <f aca="false">IF($C297="","",$L297+$O297)</f>
        <v/>
      </c>
      <c r="Q297" s="9"/>
      <c r="R297" s="10" t="str">
        <f aca="false">IF($C297="","",MAX(0,$P297-N($Q297)))</f>
        <v/>
      </c>
      <c r="S297" s="19" t="str">
        <f aca="false">IF(OR($C297="",$P297=0),"",IF(N($Q297)&lt;=0,"Chưa thanh toán",IF(N($Q297)&lt;$P297,"Thanh toán một phần","Đã thanh toán")))</f>
        <v/>
      </c>
      <c r="T297" s="10" t="str">
        <f aca="false">IF(OR($C297="",$J297=""),"",N($I297)*$J297)</f>
        <v/>
      </c>
      <c r="U297" s="10" t="str">
        <f aca="false">IF(OR($C297="",$T297=""),"",$L297-$T297)</f>
        <v/>
      </c>
      <c r="V297" s="11" t="str">
        <f aca="false">IF(OR($U297="",$L297=0),"",$U297/$L297)</f>
        <v/>
      </c>
      <c r="W297" s="8"/>
      <c r="X297" s="19" t="str">
        <f aca="false">IF($C297="","",IF(AND($H297="",N($I297)=0,N($K297)=0),"Dòng chỉ lưu thông tin khách (chưa có đơn); ",IF($B297="","Thiếu ngày đặt; ","")&amp;IF($H297="","Thiếu tên sản phẩm; ",IF($J297="","Sản phẩm chưa có trong BẢNG GIÁ GỐC; ",""))&amp;IF(N($I297)&lt;=0,"Thiếu số lượng; ","")&amp;IF(N($K297)&lt;=0,"Thiếu giá bán; ","")&amp;IF(AND($N297&gt;0,$F297=""),"Khách lấy VAT thiếu mã số thuế; ","")&amp;IF(N($Q297)&gt;$P297,"Đã thu vượt tổng phải thu; ","")&amp;IF(AND($L297&gt;0,$U297&lt;0),"CẢNH BÁO: ĐƠN NÀY ĐANG LỖ; ","")))</f>
        <v/>
      </c>
      <c r="Y297" s="16" t="str">
        <f aca="false">IF(AND($C297&lt;&gt;"",$R297&gt;0),COUNTIFS($C$6:$C297,"&lt;&gt;",$R$6:$R297,"&gt;0"),"")</f>
        <v/>
      </c>
      <c r="Z297" s="16" t="str">
        <f aca="false">IF(AND($H297&lt;&gt;"",N($N297)&gt;0),COUNTIFS($H$6:$H297,"&lt;&gt;",$N$6:$N297,"&gt;0"),"")</f>
        <v/>
      </c>
      <c r="AA297" s="16" t="str">
        <f aca="false">IF(AND($H297&lt;&gt;"",N($N297)=0),COUNTIFS($H$6:$H297,"&lt;&gt;",$N$6:$N297,"&lt;=0"),"")</f>
        <v/>
      </c>
      <c r="AB297" s="16" t="str">
        <f aca="false">IF($C297="","",IF(COUNTIF($C$6:$C297,$C297)&gt;1,"",MAX($AB$5:AB296)+1))</f>
        <v/>
      </c>
      <c r="AC297" s="16" t="str">
        <f aca="false">IF($H297="","",IF(COUNTIF($H$6:$H297,$H297)&gt;1,"",MAX($AC$5:AC296)+1))</f>
        <v/>
      </c>
    </row>
    <row r="298" customFormat="false" ht="15" hidden="false" customHeight="false" outlineLevel="0" collapsed="false">
      <c r="A298" s="16" t="str">
        <f aca="false">IF($C298="","",COUNTA($C$6:$C298))</f>
        <v/>
      </c>
      <c r="B298" s="17"/>
      <c r="C298" s="8"/>
      <c r="D298" s="8"/>
      <c r="E298" s="8"/>
      <c r="F298" s="8"/>
      <c r="G298" s="8"/>
      <c r="H298" s="8"/>
      <c r="I298" s="9"/>
      <c r="J298" s="10" t="str">
        <f aca="false">IF($H298="","",IFERROR(VLOOKUP($H298,'BẢNG GIÁ GỐC'!$A$5:$D$204,3,FALSE()),""))</f>
        <v/>
      </c>
      <c r="K298" s="9"/>
      <c r="L298" s="10" t="str">
        <f aca="false">IF($C298="","",N($I298)*N($K298))</f>
        <v/>
      </c>
      <c r="M298" s="8"/>
      <c r="N298" s="11" t="str">
        <f aca="false">IF($C298="","",IF($M298="VAT 5%",0.05,IF($M298="VAT 8%",0.08,IF($M298="VAT 10%",0.1,0))))</f>
        <v/>
      </c>
      <c r="O298" s="10" t="str">
        <f aca="false">IF($C298="","",$L298*$N298)</f>
        <v/>
      </c>
      <c r="P298" s="10" t="str">
        <f aca="false">IF($C298="","",$L298+$O298)</f>
        <v/>
      </c>
      <c r="Q298" s="9"/>
      <c r="R298" s="10" t="str">
        <f aca="false">IF($C298="","",MAX(0,$P298-N($Q298)))</f>
        <v/>
      </c>
      <c r="S298" s="19" t="str">
        <f aca="false">IF(OR($C298="",$P298=0),"",IF(N($Q298)&lt;=0,"Chưa thanh toán",IF(N($Q298)&lt;$P298,"Thanh toán một phần","Đã thanh toán")))</f>
        <v/>
      </c>
      <c r="T298" s="10" t="str">
        <f aca="false">IF(OR($C298="",$J298=""),"",N($I298)*$J298)</f>
        <v/>
      </c>
      <c r="U298" s="10" t="str">
        <f aca="false">IF(OR($C298="",$T298=""),"",$L298-$T298)</f>
        <v/>
      </c>
      <c r="V298" s="11" t="str">
        <f aca="false">IF(OR($U298="",$L298=0),"",$U298/$L298)</f>
        <v/>
      </c>
      <c r="W298" s="8"/>
      <c r="X298" s="19" t="str">
        <f aca="false">IF($C298="","",IF(AND($H298="",N($I298)=0,N($K298)=0),"Dòng chỉ lưu thông tin khách (chưa có đơn); ",IF($B298="","Thiếu ngày đặt; ","")&amp;IF($H298="","Thiếu tên sản phẩm; ",IF($J298="","Sản phẩm chưa có trong BẢNG GIÁ GỐC; ",""))&amp;IF(N($I298)&lt;=0,"Thiếu số lượng; ","")&amp;IF(N($K298)&lt;=0,"Thiếu giá bán; ","")&amp;IF(AND($N298&gt;0,$F298=""),"Khách lấy VAT thiếu mã số thuế; ","")&amp;IF(N($Q298)&gt;$P298,"Đã thu vượt tổng phải thu; ","")&amp;IF(AND($L298&gt;0,$U298&lt;0),"CẢNH BÁO: ĐƠN NÀY ĐANG LỖ; ","")))</f>
        <v/>
      </c>
      <c r="Y298" s="16" t="str">
        <f aca="false">IF(AND($C298&lt;&gt;"",$R298&gt;0),COUNTIFS($C$6:$C298,"&lt;&gt;",$R$6:$R298,"&gt;0"),"")</f>
        <v/>
      </c>
      <c r="Z298" s="16" t="str">
        <f aca="false">IF(AND($H298&lt;&gt;"",N($N298)&gt;0),COUNTIFS($H$6:$H298,"&lt;&gt;",$N$6:$N298,"&gt;0"),"")</f>
        <v/>
      </c>
      <c r="AA298" s="16" t="str">
        <f aca="false">IF(AND($H298&lt;&gt;"",N($N298)=0),COUNTIFS($H$6:$H298,"&lt;&gt;",$N$6:$N298,"&lt;=0"),"")</f>
        <v/>
      </c>
      <c r="AB298" s="16" t="str">
        <f aca="false">IF($C298="","",IF(COUNTIF($C$6:$C298,$C298)&gt;1,"",MAX($AB$5:AB297)+1))</f>
        <v/>
      </c>
      <c r="AC298" s="16" t="str">
        <f aca="false">IF($H298="","",IF(COUNTIF($H$6:$H298,$H298)&gt;1,"",MAX($AC$5:AC297)+1))</f>
        <v/>
      </c>
    </row>
    <row r="299" customFormat="false" ht="15" hidden="false" customHeight="false" outlineLevel="0" collapsed="false">
      <c r="A299" s="16" t="str">
        <f aca="false">IF($C299="","",COUNTA($C$6:$C299))</f>
        <v/>
      </c>
      <c r="B299" s="17"/>
      <c r="C299" s="8"/>
      <c r="D299" s="8"/>
      <c r="E299" s="8"/>
      <c r="F299" s="8"/>
      <c r="G299" s="8"/>
      <c r="H299" s="8"/>
      <c r="I299" s="9"/>
      <c r="J299" s="10" t="str">
        <f aca="false">IF($H299="","",IFERROR(VLOOKUP($H299,'BẢNG GIÁ GỐC'!$A$5:$D$204,3,FALSE()),""))</f>
        <v/>
      </c>
      <c r="K299" s="9"/>
      <c r="L299" s="10" t="str">
        <f aca="false">IF($C299="","",N($I299)*N($K299))</f>
        <v/>
      </c>
      <c r="M299" s="8"/>
      <c r="N299" s="11" t="str">
        <f aca="false">IF($C299="","",IF($M299="VAT 5%",0.05,IF($M299="VAT 8%",0.08,IF($M299="VAT 10%",0.1,0))))</f>
        <v/>
      </c>
      <c r="O299" s="10" t="str">
        <f aca="false">IF($C299="","",$L299*$N299)</f>
        <v/>
      </c>
      <c r="P299" s="10" t="str">
        <f aca="false">IF($C299="","",$L299+$O299)</f>
        <v/>
      </c>
      <c r="Q299" s="9"/>
      <c r="R299" s="10" t="str">
        <f aca="false">IF($C299="","",MAX(0,$P299-N($Q299)))</f>
        <v/>
      </c>
      <c r="S299" s="19" t="str">
        <f aca="false">IF(OR($C299="",$P299=0),"",IF(N($Q299)&lt;=0,"Chưa thanh toán",IF(N($Q299)&lt;$P299,"Thanh toán một phần","Đã thanh toán")))</f>
        <v/>
      </c>
      <c r="T299" s="10" t="str">
        <f aca="false">IF(OR($C299="",$J299=""),"",N($I299)*$J299)</f>
        <v/>
      </c>
      <c r="U299" s="10" t="str">
        <f aca="false">IF(OR($C299="",$T299=""),"",$L299-$T299)</f>
        <v/>
      </c>
      <c r="V299" s="11" t="str">
        <f aca="false">IF(OR($U299="",$L299=0),"",$U299/$L299)</f>
        <v/>
      </c>
      <c r="W299" s="8"/>
      <c r="X299" s="19" t="str">
        <f aca="false">IF($C299="","",IF(AND($H299="",N($I299)=0,N($K299)=0),"Dòng chỉ lưu thông tin khách (chưa có đơn); ",IF($B299="","Thiếu ngày đặt; ","")&amp;IF($H299="","Thiếu tên sản phẩm; ",IF($J299="","Sản phẩm chưa có trong BẢNG GIÁ GỐC; ",""))&amp;IF(N($I299)&lt;=0,"Thiếu số lượng; ","")&amp;IF(N($K299)&lt;=0,"Thiếu giá bán; ","")&amp;IF(AND($N299&gt;0,$F299=""),"Khách lấy VAT thiếu mã số thuế; ","")&amp;IF(N($Q299)&gt;$P299,"Đã thu vượt tổng phải thu; ","")&amp;IF(AND($L299&gt;0,$U299&lt;0),"CẢNH BÁO: ĐƠN NÀY ĐANG LỖ; ","")))</f>
        <v/>
      </c>
      <c r="Y299" s="16" t="str">
        <f aca="false">IF(AND($C299&lt;&gt;"",$R299&gt;0),COUNTIFS($C$6:$C299,"&lt;&gt;",$R$6:$R299,"&gt;0"),"")</f>
        <v/>
      </c>
      <c r="Z299" s="16" t="str">
        <f aca="false">IF(AND($H299&lt;&gt;"",N($N299)&gt;0),COUNTIFS($H$6:$H299,"&lt;&gt;",$N$6:$N299,"&gt;0"),"")</f>
        <v/>
      </c>
      <c r="AA299" s="16" t="str">
        <f aca="false">IF(AND($H299&lt;&gt;"",N($N299)=0),COUNTIFS($H$6:$H299,"&lt;&gt;",$N$6:$N299,"&lt;=0"),"")</f>
        <v/>
      </c>
      <c r="AB299" s="16" t="str">
        <f aca="false">IF($C299="","",IF(COUNTIF($C$6:$C299,$C299)&gt;1,"",MAX($AB$5:AB298)+1))</f>
        <v/>
      </c>
      <c r="AC299" s="16" t="str">
        <f aca="false">IF($H299="","",IF(COUNTIF($H$6:$H299,$H299)&gt;1,"",MAX($AC$5:AC298)+1))</f>
        <v/>
      </c>
    </row>
    <row r="300" customFormat="false" ht="15" hidden="false" customHeight="false" outlineLevel="0" collapsed="false">
      <c r="A300" s="16" t="str">
        <f aca="false">IF($C300="","",COUNTA($C$6:$C300))</f>
        <v/>
      </c>
      <c r="B300" s="17"/>
      <c r="C300" s="8"/>
      <c r="D300" s="8"/>
      <c r="E300" s="8"/>
      <c r="F300" s="8"/>
      <c r="G300" s="8"/>
      <c r="H300" s="8"/>
      <c r="I300" s="9"/>
      <c r="J300" s="10" t="str">
        <f aca="false">IF($H300="","",IFERROR(VLOOKUP($H300,'BẢNG GIÁ GỐC'!$A$5:$D$204,3,FALSE()),""))</f>
        <v/>
      </c>
      <c r="K300" s="9"/>
      <c r="L300" s="10" t="str">
        <f aca="false">IF($C300="","",N($I300)*N($K300))</f>
        <v/>
      </c>
      <c r="M300" s="8"/>
      <c r="N300" s="11" t="str">
        <f aca="false">IF($C300="","",IF($M300="VAT 5%",0.05,IF($M300="VAT 8%",0.08,IF($M300="VAT 10%",0.1,0))))</f>
        <v/>
      </c>
      <c r="O300" s="10" t="str">
        <f aca="false">IF($C300="","",$L300*$N300)</f>
        <v/>
      </c>
      <c r="P300" s="10" t="str">
        <f aca="false">IF($C300="","",$L300+$O300)</f>
        <v/>
      </c>
      <c r="Q300" s="9"/>
      <c r="R300" s="10" t="str">
        <f aca="false">IF($C300="","",MAX(0,$P300-N($Q300)))</f>
        <v/>
      </c>
      <c r="S300" s="19" t="str">
        <f aca="false">IF(OR($C300="",$P300=0),"",IF(N($Q300)&lt;=0,"Chưa thanh toán",IF(N($Q300)&lt;$P300,"Thanh toán một phần","Đã thanh toán")))</f>
        <v/>
      </c>
      <c r="T300" s="10" t="str">
        <f aca="false">IF(OR($C300="",$J300=""),"",N($I300)*$J300)</f>
        <v/>
      </c>
      <c r="U300" s="10" t="str">
        <f aca="false">IF(OR($C300="",$T300=""),"",$L300-$T300)</f>
        <v/>
      </c>
      <c r="V300" s="11" t="str">
        <f aca="false">IF(OR($U300="",$L300=0),"",$U300/$L300)</f>
        <v/>
      </c>
      <c r="W300" s="8"/>
      <c r="X300" s="19" t="str">
        <f aca="false">IF($C300="","",IF(AND($H300="",N($I300)=0,N($K300)=0),"Dòng chỉ lưu thông tin khách (chưa có đơn); ",IF($B300="","Thiếu ngày đặt; ","")&amp;IF($H300="","Thiếu tên sản phẩm; ",IF($J300="","Sản phẩm chưa có trong BẢNG GIÁ GỐC; ",""))&amp;IF(N($I300)&lt;=0,"Thiếu số lượng; ","")&amp;IF(N($K300)&lt;=0,"Thiếu giá bán; ","")&amp;IF(AND($N300&gt;0,$F300=""),"Khách lấy VAT thiếu mã số thuế; ","")&amp;IF(N($Q300)&gt;$P300,"Đã thu vượt tổng phải thu; ","")&amp;IF(AND($L300&gt;0,$U300&lt;0),"CẢNH BÁO: ĐƠN NÀY ĐANG LỖ; ","")))</f>
        <v/>
      </c>
      <c r="Y300" s="16" t="str">
        <f aca="false">IF(AND($C300&lt;&gt;"",$R300&gt;0),COUNTIFS($C$6:$C300,"&lt;&gt;",$R$6:$R300,"&gt;0"),"")</f>
        <v/>
      </c>
      <c r="Z300" s="16" t="str">
        <f aca="false">IF(AND($H300&lt;&gt;"",N($N300)&gt;0),COUNTIFS($H$6:$H300,"&lt;&gt;",$N$6:$N300,"&gt;0"),"")</f>
        <v/>
      </c>
      <c r="AA300" s="16" t="str">
        <f aca="false">IF(AND($H300&lt;&gt;"",N($N300)=0),COUNTIFS($H$6:$H300,"&lt;&gt;",$N$6:$N300,"&lt;=0"),"")</f>
        <v/>
      </c>
      <c r="AB300" s="16" t="str">
        <f aca="false">IF($C300="","",IF(COUNTIF($C$6:$C300,$C300)&gt;1,"",MAX($AB$5:AB299)+1))</f>
        <v/>
      </c>
      <c r="AC300" s="16" t="str">
        <f aca="false">IF($H300="","",IF(COUNTIF($H$6:$H300,$H300)&gt;1,"",MAX($AC$5:AC299)+1))</f>
        <v/>
      </c>
    </row>
    <row r="301" customFormat="false" ht="15" hidden="false" customHeight="false" outlineLevel="0" collapsed="false">
      <c r="A301" s="16" t="str">
        <f aca="false">IF($C301="","",COUNTA($C$6:$C301))</f>
        <v/>
      </c>
      <c r="B301" s="17"/>
      <c r="C301" s="8"/>
      <c r="D301" s="8"/>
      <c r="E301" s="8"/>
      <c r="F301" s="8"/>
      <c r="G301" s="8"/>
      <c r="H301" s="8"/>
      <c r="I301" s="9"/>
      <c r="J301" s="10" t="str">
        <f aca="false">IF($H301="","",IFERROR(VLOOKUP($H301,'BẢNG GIÁ GỐC'!$A$5:$D$204,3,FALSE()),""))</f>
        <v/>
      </c>
      <c r="K301" s="9"/>
      <c r="L301" s="10" t="str">
        <f aca="false">IF($C301="","",N($I301)*N($K301))</f>
        <v/>
      </c>
      <c r="M301" s="8"/>
      <c r="N301" s="11" t="str">
        <f aca="false">IF($C301="","",IF($M301="VAT 5%",0.05,IF($M301="VAT 8%",0.08,IF($M301="VAT 10%",0.1,0))))</f>
        <v/>
      </c>
      <c r="O301" s="10" t="str">
        <f aca="false">IF($C301="","",$L301*$N301)</f>
        <v/>
      </c>
      <c r="P301" s="10" t="str">
        <f aca="false">IF($C301="","",$L301+$O301)</f>
        <v/>
      </c>
      <c r="Q301" s="9"/>
      <c r="R301" s="10" t="str">
        <f aca="false">IF($C301="","",MAX(0,$P301-N($Q301)))</f>
        <v/>
      </c>
      <c r="S301" s="19" t="str">
        <f aca="false">IF(OR($C301="",$P301=0),"",IF(N($Q301)&lt;=0,"Chưa thanh toán",IF(N($Q301)&lt;$P301,"Thanh toán một phần","Đã thanh toán")))</f>
        <v/>
      </c>
      <c r="T301" s="10" t="str">
        <f aca="false">IF(OR($C301="",$J301=""),"",N($I301)*$J301)</f>
        <v/>
      </c>
      <c r="U301" s="10" t="str">
        <f aca="false">IF(OR($C301="",$T301=""),"",$L301-$T301)</f>
        <v/>
      </c>
      <c r="V301" s="11" t="str">
        <f aca="false">IF(OR($U301="",$L301=0),"",$U301/$L301)</f>
        <v/>
      </c>
      <c r="W301" s="8"/>
      <c r="X301" s="19" t="str">
        <f aca="false">IF($C301="","",IF(AND($H301="",N($I301)=0,N($K301)=0),"Dòng chỉ lưu thông tin khách (chưa có đơn); ",IF($B301="","Thiếu ngày đặt; ","")&amp;IF($H301="","Thiếu tên sản phẩm; ",IF($J301="","Sản phẩm chưa có trong BẢNG GIÁ GỐC; ",""))&amp;IF(N($I301)&lt;=0,"Thiếu số lượng; ","")&amp;IF(N($K301)&lt;=0,"Thiếu giá bán; ","")&amp;IF(AND($N301&gt;0,$F301=""),"Khách lấy VAT thiếu mã số thuế; ","")&amp;IF(N($Q301)&gt;$P301,"Đã thu vượt tổng phải thu; ","")&amp;IF(AND($L301&gt;0,$U301&lt;0),"CẢNH BÁO: ĐƠN NÀY ĐANG LỖ; ","")))</f>
        <v/>
      </c>
      <c r="Y301" s="16" t="str">
        <f aca="false">IF(AND($C301&lt;&gt;"",$R301&gt;0),COUNTIFS($C$6:$C301,"&lt;&gt;",$R$6:$R301,"&gt;0"),"")</f>
        <v/>
      </c>
      <c r="Z301" s="16" t="str">
        <f aca="false">IF(AND($H301&lt;&gt;"",N($N301)&gt;0),COUNTIFS($H$6:$H301,"&lt;&gt;",$N$6:$N301,"&gt;0"),"")</f>
        <v/>
      </c>
      <c r="AA301" s="16" t="str">
        <f aca="false">IF(AND($H301&lt;&gt;"",N($N301)=0),COUNTIFS($H$6:$H301,"&lt;&gt;",$N$6:$N301,"&lt;=0"),"")</f>
        <v/>
      </c>
      <c r="AB301" s="16" t="str">
        <f aca="false">IF($C301="","",IF(COUNTIF($C$6:$C301,$C301)&gt;1,"",MAX($AB$5:AB300)+1))</f>
        <v/>
      </c>
      <c r="AC301" s="16" t="str">
        <f aca="false">IF($H301="","",IF(COUNTIF($H$6:$H301,$H301)&gt;1,"",MAX($AC$5:AC300)+1))</f>
        <v/>
      </c>
    </row>
    <row r="302" customFormat="false" ht="15" hidden="false" customHeight="false" outlineLevel="0" collapsed="false">
      <c r="A302" s="16" t="str">
        <f aca="false">IF($C302="","",COUNTA($C$6:$C302))</f>
        <v/>
      </c>
      <c r="B302" s="17"/>
      <c r="C302" s="8"/>
      <c r="D302" s="8"/>
      <c r="E302" s="8"/>
      <c r="F302" s="8"/>
      <c r="G302" s="8"/>
      <c r="H302" s="8"/>
      <c r="I302" s="9"/>
      <c r="J302" s="10" t="str">
        <f aca="false">IF($H302="","",IFERROR(VLOOKUP($H302,'BẢNG GIÁ GỐC'!$A$5:$D$204,3,FALSE()),""))</f>
        <v/>
      </c>
      <c r="K302" s="9"/>
      <c r="L302" s="10" t="str">
        <f aca="false">IF($C302="","",N($I302)*N($K302))</f>
        <v/>
      </c>
      <c r="M302" s="8"/>
      <c r="N302" s="11" t="str">
        <f aca="false">IF($C302="","",IF($M302="VAT 5%",0.05,IF($M302="VAT 8%",0.08,IF($M302="VAT 10%",0.1,0))))</f>
        <v/>
      </c>
      <c r="O302" s="10" t="str">
        <f aca="false">IF($C302="","",$L302*$N302)</f>
        <v/>
      </c>
      <c r="P302" s="10" t="str">
        <f aca="false">IF($C302="","",$L302+$O302)</f>
        <v/>
      </c>
      <c r="Q302" s="9"/>
      <c r="R302" s="10" t="str">
        <f aca="false">IF($C302="","",MAX(0,$P302-N($Q302)))</f>
        <v/>
      </c>
      <c r="S302" s="19" t="str">
        <f aca="false">IF(OR($C302="",$P302=0),"",IF(N($Q302)&lt;=0,"Chưa thanh toán",IF(N($Q302)&lt;$P302,"Thanh toán một phần","Đã thanh toán")))</f>
        <v/>
      </c>
      <c r="T302" s="10" t="str">
        <f aca="false">IF(OR($C302="",$J302=""),"",N($I302)*$J302)</f>
        <v/>
      </c>
      <c r="U302" s="10" t="str">
        <f aca="false">IF(OR($C302="",$T302=""),"",$L302-$T302)</f>
        <v/>
      </c>
      <c r="V302" s="11" t="str">
        <f aca="false">IF(OR($U302="",$L302=0),"",$U302/$L302)</f>
        <v/>
      </c>
      <c r="W302" s="8"/>
      <c r="X302" s="19" t="str">
        <f aca="false">IF($C302="","",IF(AND($H302="",N($I302)=0,N($K302)=0),"Dòng chỉ lưu thông tin khách (chưa có đơn); ",IF($B302="","Thiếu ngày đặt; ","")&amp;IF($H302="","Thiếu tên sản phẩm; ",IF($J302="","Sản phẩm chưa có trong BẢNG GIÁ GỐC; ",""))&amp;IF(N($I302)&lt;=0,"Thiếu số lượng; ","")&amp;IF(N($K302)&lt;=0,"Thiếu giá bán; ","")&amp;IF(AND($N302&gt;0,$F302=""),"Khách lấy VAT thiếu mã số thuế; ","")&amp;IF(N($Q302)&gt;$P302,"Đã thu vượt tổng phải thu; ","")&amp;IF(AND($L302&gt;0,$U302&lt;0),"CẢNH BÁO: ĐƠN NÀY ĐANG LỖ; ","")))</f>
        <v/>
      </c>
      <c r="Y302" s="16" t="str">
        <f aca="false">IF(AND($C302&lt;&gt;"",$R302&gt;0),COUNTIFS($C$6:$C302,"&lt;&gt;",$R$6:$R302,"&gt;0"),"")</f>
        <v/>
      </c>
      <c r="Z302" s="16" t="str">
        <f aca="false">IF(AND($H302&lt;&gt;"",N($N302)&gt;0),COUNTIFS($H$6:$H302,"&lt;&gt;",$N$6:$N302,"&gt;0"),"")</f>
        <v/>
      </c>
      <c r="AA302" s="16" t="str">
        <f aca="false">IF(AND($H302&lt;&gt;"",N($N302)=0),COUNTIFS($H$6:$H302,"&lt;&gt;",$N$6:$N302,"&lt;=0"),"")</f>
        <v/>
      </c>
      <c r="AB302" s="16" t="str">
        <f aca="false">IF($C302="","",IF(COUNTIF($C$6:$C302,$C302)&gt;1,"",MAX($AB$5:AB301)+1))</f>
        <v/>
      </c>
      <c r="AC302" s="16" t="str">
        <f aca="false">IF($H302="","",IF(COUNTIF($H$6:$H302,$H302)&gt;1,"",MAX($AC$5:AC301)+1))</f>
        <v/>
      </c>
    </row>
    <row r="303" customFormat="false" ht="15" hidden="false" customHeight="false" outlineLevel="0" collapsed="false">
      <c r="A303" s="16" t="str">
        <f aca="false">IF($C303="","",COUNTA($C$6:$C303))</f>
        <v/>
      </c>
      <c r="B303" s="17"/>
      <c r="C303" s="8"/>
      <c r="D303" s="8"/>
      <c r="E303" s="8"/>
      <c r="F303" s="8"/>
      <c r="G303" s="8"/>
      <c r="H303" s="8"/>
      <c r="I303" s="9"/>
      <c r="J303" s="10" t="str">
        <f aca="false">IF($H303="","",IFERROR(VLOOKUP($H303,'BẢNG GIÁ GỐC'!$A$5:$D$204,3,FALSE()),""))</f>
        <v/>
      </c>
      <c r="K303" s="9"/>
      <c r="L303" s="10" t="str">
        <f aca="false">IF($C303="","",N($I303)*N($K303))</f>
        <v/>
      </c>
      <c r="M303" s="8"/>
      <c r="N303" s="11" t="str">
        <f aca="false">IF($C303="","",IF($M303="VAT 5%",0.05,IF($M303="VAT 8%",0.08,IF($M303="VAT 10%",0.1,0))))</f>
        <v/>
      </c>
      <c r="O303" s="10" t="str">
        <f aca="false">IF($C303="","",$L303*$N303)</f>
        <v/>
      </c>
      <c r="P303" s="10" t="str">
        <f aca="false">IF($C303="","",$L303+$O303)</f>
        <v/>
      </c>
      <c r="Q303" s="9"/>
      <c r="R303" s="10" t="str">
        <f aca="false">IF($C303="","",MAX(0,$P303-N($Q303)))</f>
        <v/>
      </c>
      <c r="S303" s="19" t="str">
        <f aca="false">IF(OR($C303="",$P303=0),"",IF(N($Q303)&lt;=0,"Chưa thanh toán",IF(N($Q303)&lt;$P303,"Thanh toán một phần","Đã thanh toán")))</f>
        <v/>
      </c>
      <c r="T303" s="10" t="str">
        <f aca="false">IF(OR($C303="",$J303=""),"",N($I303)*$J303)</f>
        <v/>
      </c>
      <c r="U303" s="10" t="str">
        <f aca="false">IF(OR($C303="",$T303=""),"",$L303-$T303)</f>
        <v/>
      </c>
      <c r="V303" s="11" t="str">
        <f aca="false">IF(OR($U303="",$L303=0),"",$U303/$L303)</f>
        <v/>
      </c>
      <c r="W303" s="8"/>
      <c r="X303" s="19" t="str">
        <f aca="false">IF($C303="","",IF(AND($H303="",N($I303)=0,N($K303)=0),"Dòng chỉ lưu thông tin khách (chưa có đơn); ",IF($B303="","Thiếu ngày đặt; ","")&amp;IF($H303="","Thiếu tên sản phẩm; ",IF($J303="","Sản phẩm chưa có trong BẢNG GIÁ GỐC; ",""))&amp;IF(N($I303)&lt;=0,"Thiếu số lượng; ","")&amp;IF(N($K303)&lt;=0,"Thiếu giá bán; ","")&amp;IF(AND($N303&gt;0,$F303=""),"Khách lấy VAT thiếu mã số thuế; ","")&amp;IF(N($Q303)&gt;$P303,"Đã thu vượt tổng phải thu; ","")&amp;IF(AND($L303&gt;0,$U303&lt;0),"CẢNH BÁO: ĐƠN NÀY ĐANG LỖ; ","")))</f>
        <v/>
      </c>
      <c r="Y303" s="16" t="str">
        <f aca="false">IF(AND($C303&lt;&gt;"",$R303&gt;0),COUNTIFS($C$6:$C303,"&lt;&gt;",$R$6:$R303,"&gt;0"),"")</f>
        <v/>
      </c>
      <c r="Z303" s="16" t="str">
        <f aca="false">IF(AND($H303&lt;&gt;"",N($N303)&gt;0),COUNTIFS($H$6:$H303,"&lt;&gt;",$N$6:$N303,"&gt;0"),"")</f>
        <v/>
      </c>
      <c r="AA303" s="16" t="str">
        <f aca="false">IF(AND($H303&lt;&gt;"",N($N303)=0),COUNTIFS($H$6:$H303,"&lt;&gt;",$N$6:$N303,"&lt;=0"),"")</f>
        <v/>
      </c>
      <c r="AB303" s="16" t="str">
        <f aca="false">IF($C303="","",IF(COUNTIF($C$6:$C303,$C303)&gt;1,"",MAX($AB$5:AB302)+1))</f>
        <v/>
      </c>
      <c r="AC303" s="16" t="str">
        <f aca="false">IF($H303="","",IF(COUNTIF($H$6:$H303,$H303)&gt;1,"",MAX($AC$5:AC302)+1))</f>
        <v/>
      </c>
    </row>
    <row r="304" customFormat="false" ht="15" hidden="false" customHeight="false" outlineLevel="0" collapsed="false">
      <c r="A304" s="16" t="str">
        <f aca="false">IF($C304="","",COUNTA($C$6:$C304))</f>
        <v/>
      </c>
      <c r="B304" s="17"/>
      <c r="C304" s="8"/>
      <c r="D304" s="8"/>
      <c r="E304" s="8"/>
      <c r="F304" s="8"/>
      <c r="G304" s="8"/>
      <c r="H304" s="8"/>
      <c r="I304" s="9"/>
      <c r="J304" s="10" t="str">
        <f aca="false">IF($H304="","",IFERROR(VLOOKUP($H304,'BẢNG GIÁ GỐC'!$A$5:$D$204,3,FALSE()),""))</f>
        <v/>
      </c>
      <c r="K304" s="9"/>
      <c r="L304" s="10" t="str">
        <f aca="false">IF($C304="","",N($I304)*N($K304))</f>
        <v/>
      </c>
      <c r="M304" s="8"/>
      <c r="N304" s="11" t="str">
        <f aca="false">IF($C304="","",IF($M304="VAT 5%",0.05,IF($M304="VAT 8%",0.08,IF($M304="VAT 10%",0.1,0))))</f>
        <v/>
      </c>
      <c r="O304" s="10" t="str">
        <f aca="false">IF($C304="","",$L304*$N304)</f>
        <v/>
      </c>
      <c r="P304" s="10" t="str">
        <f aca="false">IF($C304="","",$L304+$O304)</f>
        <v/>
      </c>
      <c r="Q304" s="9"/>
      <c r="R304" s="10" t="str">
        <f aca="false">IF($C304="","",MAX(0,$P304-N($Q304)))</f>
        <v/>
      </c>
      <c r="S304" s="19" t="str">
        <f aca="false">IF(OR($C304="",$P304=0),"",IF(N($Q304)&lt;=0,"Chưa thanh toán",IF(N($Q304)&lt;$P304,"Thanh toán một phần","Đã thanh toán")))</f>
        <v/>
      </c>
      <c r="T304" s="10" t="str">
        <f aca="false">IF(OR($C304="",$J304=""),"",N($I304)*$J304)</f>
        <v/>
      </c>
      <c r="U304" s="10" t="str">
        <f aca="false">IF(OR($C304="",$T304=""),"",$L304-$T304)</f>
        <v/>
      </c>
      <c r="V304" s="11" t="str">
        <f aca="false">IF(OR($U304="",$L304=0),"",$U304/$L304)</f>
        <v/>
      </c>
      <c r="W304" s="8"/>
      <c r="X304" s="19" t="str">
        <f aca="false">IF($C304="","",IF(AND($H304="",N($I304)=0,N($K304)=0),"Dòng chỉ lưu thông tin khách (chưa có đơn); ",IF($B304="","Thiếu ngày đặt; ","")&amp;IF($H304="","Thiếu tên sản phẩm; ",IF($J304="","Sản phẩm chưa có trong BẢNG GIÁ GỐC; ",""))&amp;IF(N($I304)&lt;=0,"Thiếu số lượng; ","")&amp;IF(N($K304)&lt;=0,"Thiếu giá bán; ","")&amp;IF(AND($N304&gt;0,$F304=""),"Khách lấy VAT thiếu mã số thuế; ","")&amp;IF(N($Q304)&gt;$P304,"Đã thu vượt tổng phải thu; ","")&amp;IF(AND($L304&gt;0,$U304&lt;0),"CẢNH BÁO: ĐƠN NÀY ĐANG LỖ; ","")))</f>
        <v/>
      </c>
      <c r="Y304" s="16" t="str">
        <f aca="false">IF(AND($C304&lt;&gt;"",$R304&gt;0),COUNTIFS($C$6:$C304,"&lt;&gt;",$R$6:$R304,"&gt;0"),"")</f>
        <v/>
      </c>
      <c r="Z304" s="16" t="str">
        <f aca="false">IF(AND($H304&lt;&gt;"",N($N304)&gt;0),COUNTIFS($H$6:$H304,"&lt;&gt;",$N$6:$N304,"&gt;0"),"")</f>
        <v/>
      </c>
      <c r="AA304" s="16" t="str">
        <f aca="false">IF(AND($H304&lt;&gt;"",N($N304)=0),COUNTIFS($H$6:$H304,"&lt;&gt;",$N$6:$N304,"&lt;=0"),"")</f>
        <v/>
      </c>
      <c r="AB304" s="16" t="str">
        <f aca="false">IF($C304="","",IF(COUNTIF($C$6:$C304,$C304)&gt;1,"",MAX($AB$5:AB303)+1))</f>
        <v/>
      </c>
      <c r="AC304" s="16" t="str">
        <f aca="false">IF($H304="","",IF(COUNTIF($H$6:$H304,$H304)&gt;1,"",MAX($AC$5:AC303)+1))</f>
        <v/>
      </c>
    </row>
    <row r="305" customFormat="false" ht="15" hidden="false" customHeight="false" outlineLevel="0" collapsed="false">
      <c r="A305" s="16" t="str">
        <f aca="false">IF($C305="","",COUNTA($C$6:$C305))</f>
        <v/>
      </c>
      <c r="B305" s="17"/>
      <c r="C305" s="8"/>
      <c r="D305" s="8"/>
      <c r="E305" s="8"/>
      <c r="F305" s="8"/>
      <c r="G305" s="8"/>
      <c r="H305" s="8"/>
      <c r="I305" s="9"/>
      <c r="J305" s="10" t="str">
        <f aca="false">IF($H305="","",IFERROR(VLOOKUP($H305,'BẢNG GIÁ GỐC'!$A$5:$D$204,3,FALSE()),""))</f>
        <v/>
      </c>
      <c r="K305" s="9"/>
      <c r="L305" s="10" t="str">
        <f aca="false">IF($C305="","",N($I305)*N($K305))</f>
        <v/>
      </c>
      <c r="M305" s="8"/>
      <c r="N305" s="11" t="str">
        <f aca="false">IF($C305="","",IF($M305="VAT 5%",0.05,IF($M305="VAT 8%",0.08,IF($M305="VAT 10%",0.1,0))))</f>
        <v/>
      </c>
      <c r="O305" s="10" t="str">
        <f aca="false">IF($C305="","",$L305*$N305)</f>
        <v/>
      </c>
      <c r="P305" s="10" t="str">
        <f aca="false">IF($C305="","",$L305+$O305)</f>
        <v/>
      </c>
      <c r="Q305" s="9"/>
      <c r="R305" s="10" t="str">
        <f aca="false">IF($C305="","",MAX(0,$P305-N($Q305)))</f>
        <v/>
      </c>
      <c r="S305" s="19" t="str">
        <f aca="false">IF(OR($C305="",$P305=0),"",IF(N($Q305)&lt;=0,"Chưa thanh toán",IF(N($Q305)&lt;$P305,"Thanh toán một phần","Đã thanh toán")))</f>
        <v/>
      </c>
      <c r="T305" s="10" t="str">
        <f aca="false">IF(OR($C305="",$J305=""),"",N($I305)*$J305)</f>
        <v/>
      </c>
      <c r="U305" s="10" t="str">
        <f aca="false">IF(OR($C305="",$T305=""),"",$L305-$T305)</f>
        <v/>
      </c>
      <c r="V305" s="11" t="str">
        <f aca="false">IF(OR($U305="",$L305=0),"",$U305/$L305)</f>
        <v/>
      </c>
      <c r="W305" s="8"/>
      <c r="X305" s="19" t="str">
        <f aca="false">IF($C305="","",IF(AND($H305="",N($I305)=0,N($K305)=0),"Dòng chỉ lưu thông tin khách (chưa có đơn); ",IF($B305="","Thiếu ngày đặt; ","")&amp;IF($H305="","Thiếu tên sản phẩm; ",IF($J305="","Sản phẩm chưa có trong BẢNG GIÁ GỐC; ",""))&amp;IF(N($I305)&lt;=0,"Thiếu số lượng; ","")&amp;IF(N($K305)&lt;=0,"Thiếu giá bán; ","")&amp;IF(AND($N305&gt;0,$F305=""),"Khách lấy VAT thiếu mã số thuế; ","")&amp;IF(N($Q305)&gt;$P305,"Đã thu vượt tổng phải thu; ","")&amp;IF(AND($L305&gt;0,$U305&lt;0),"CẢNH BÁO: ĐƠN NÀY ĐANG LỖ; ","")))</f>
        <v/>
      </c>
      <c r="Y305" s="16" t="str">
        <f aca="false">IF(AND($C305&lt;&gt;"",$R305&gt;0),COUNTIFS($C$6:$C305,"&lt;&gt;",$R$6:$R305,"&gt;0"),"")</f>
        <v/>
      </c>
      <c r="Z305" s="16" t="str">
        <f aca="false">IF(AND($H305&lt;&gt;"",N($N305)&gt;0),COUNTIFS($H$6:$H305,"&lt;&gt;",$N$6:$N305,"&gt;0"),"")</f>
        <v/>
      </c>
      <c r="AA305" s="16" t="str">
        <f aca="false">IF(AND($H305&lt;&gt;"",N($N305)=0),COUNTIFS($H$6:$H305,"&lt;&gt;",$N$6:$N305,"&lt;=0"),"")</f>
        <v/>
      </c>
      <c r="AB305" s="16" t="str">
        <f aca="false">IF($C305="","",IF(COUNTIF($C$6:$C305,$C305)&gt;1,"",MAX($AB$5:AB304)+1))</f>
        <v/>
      </c>
      <c r="AC305" s="16" t="str">
        <f aca="false">IF($H305="","",IF(COUNTIF($H$6:$H305,$H305)&gt;1,"",MAX($AC$5:AC304)+1))</f>
        <v/>
      </c>
    </row>
    <row r="306" customFormat="false" ht="15" hidden="false" customHeight="false" outlineLevel="0" collapsed="false">
      <c r="A306" s="16" t="str">
        <f aca="false">IF($C306="","",COUNTA($C$6:$C306))</f>
        <v/>
      </c>
      <c r="B306" s="17"/>
      <c r="C306" s="8"/>
      <c r="D306" s="8"/>
      <c r="E306" s="8"/>
      <c r="F306" s="8"/>
      <c r="G306" s="8"/>
      <c r="H306" s="8"/>
      <c r="I306" s="9"/>
      <c r="J306" s="10" t="str">
        <f aca="false">IF($H306="","",IFERROR(VLOOKUP($H306,'BẢNG GIÁ GỐC'!$A$5:$D$204,3,FALSE()),""))</f>
        <v/>
      </c>
      <c r="K306" s="9"/>
      <c r="L306" s="10" t="str">
        <f aca="false">IF($C306="","",N($I306)*N($K306))</f>
        <v/>
      </c>
      <c r="M306" s="8"/>
      <c r="N306" s="11" t="str">
        <f aca="false">IF($C306="","",IF($M306="VAT 5%",0.05,IF($M306="VAT 8%",0.08,IF($M306="VAT 10%",0.1,0))))</f>
        <v/>
      </c>
      <c r="O306" s="10" t="str">
        <f aca="false">IF($C306="","",$L306*$N306)</f>
        <v/>
      </c>
      <c r="P306" s="10" t="str">
        <f aca="false">IF($C306="","",$L306+$O306)</f>
        <v/>
      </c>
      <c r="Q306" s="9"/>
      <c r="R306" s="10" t="str">
        <f aca="false">IF($C306="","",MAX(0,$P306-N($Q306)))</f>
        <v/>
      </c>
      <c r="S306" s="19" t="str">
        <f aca="false">IF(OR($C306="",$P306=0),"",IF(N($Q306)&lt;=0,"Chưa thanh toán",IF(N($Q306)&lt;$P306,"Thanh toán một phần","Đã thanh toán")))</f>
        <v/>
      </c>
      <c r="T306" s="10" t="str">
        <f aca="false">IF(OR($C306="",$J306=""),"",N($I306)*$J306)</f>
        <v/>
      </c>
      <c r="U306" s="10" t="str">
        <f aca="false">IF(OR($C306="",$T306=""),"",$L306-$T306)</f>
        <v/>
      </c>
      <c r="V306" s="11" t="str">
        <f aca="false">IF(OR($U306="",$L306=0),"",$U306/$L306)</f>
        <v/>
      </c>
      <c r="W306" s="8"/>
      <c r="X306" s="19" t="str">
        <f aca="false">IF($C306="","",IF(AND($H306="",N($I306)=0,N($K306)=0),"Dòng chỉ lưu thông tin khách (chưa có đơn); ",IF($B306="","Thiếu ngày đặt; ","")&amp;IF($H306="","Thiếu tên sản phẩm; ",IF($J306="","Sản phẩm chưa có trong BẢNG GIÁ GỐC; ",""))&amp;IF(N($I306)&lt;=0,"Thiếu số lượng; ","")&amp;IF(N($K306)&lt;=0,"Thiếu giá bán; ","")&amp;IF(AND($N306&gt;0,$F306=""),"Khách lấy VAT thiếu mã số thuế; ","")&amp;IF(N($Q306)&gt;$P306,"Đã thu vượt tổng phải thu; ","")&amp;IF(AND($L306&gt;0,$U306&lt;0),"CẢNH BÁO: ĐƠN NÀY ĐANG LỖ; ","")))</f>
        <v/>
      </c>
      <c r="Y306" s="16" t="str">
        <f aca="false">IF(AND($C306&lt;&gt;"",$R306&gt;0),COUNTIFS($C$6:$C306,"&lt;&gt;",$R$6:$R306,"&gt;0"),"")</f>
        <v/>
      </c>
      <c r="Z306" s="16" t="str">
        <f aca="false">IF(AND($H306&lt;&gt;"",N($N306)&gt;0),COUNTIFS($H$6:$H306,"&lt;&gt;",$N$6:$N306,"&gt;0"),"")</f>
        <v/>
      </c>
      <c r="AA306" s="16" t="str">
        <f aca="false">IF(AND($H306&lt;&gt;"",N($N306)=0),COUNTIFS($H$6:$H306,"&lt;&gt;",$N$6:$N306,"&lt;=0"),"")</f>
        <v/>
      </c>
      <c r="AB306" s="16" t="str">
        <f aca="false">IF($C306="","",IF(COUNTIF($C$6:$C306,$C306)&gt;1,"",MAX($AB$5:AB305)+1))</f>
        <v/>
      </c>
      <c r="AC306" s="16" t="str">
        <f aca="false">IF($H306="","",IF(COUNTIF($H$6:$H306,$H306)&gt;1,"",MAX($AC$5:AC305)+1))</f>
        <v/>
      </c>
    </row>
    <row r="307" customFormat="false" ht="15" hidden="false" customHeight="false" outlineLevel="0" collapsed="false">
      <c r="A307" s="16" t="str">
        <f aca="false">IF($C307="","",COUNTA($C$6:$C307))</f>
        <v/>
      </c>
      <c r="B307" s="17"/>
      <c r="C307" s="8"/>
      <c r="D307" s="8"/>
      <c r="E307" s="8"/>
      <c r="F307" s="8"/>
      <c r="G307" s="8"/>
      <c r="H307" s="8"/>
      <c r="I307" s="9"/>
      <c r="J307" s="10" t="str">
        <f aca="false">IF($H307="","",IFERROR(VLOOKUP($H307,'BẢNG GIÁ GỐC'!$A$5:$D$204,3,FALSE()),""))</f>
        <v/>
      </c>
      <c r="K307" s="9"/>
      <c r="L307" s="10" t="str">
        <f aca="false">IF($C307="","",N($I307)*N($K307))</f>
        <v/>
      </c>
      <c r="M307" s="8"/>
      <c r="N307" s="11" t="str">
        <f aca="false">IF($C307="","",IF($M307="VAT 5%",0.05,IF($M307="VAT 8%",0.08,IF($M307="VAT 10%",0.1,0))))</f>
        <v/>
      </c>
      <c r="O307" s="10" t="str">
        <f aca="false">IF($C307="","",$L307*$N307)</f>
        <v/>
      </c>
      <c r="P307" s="10" t="str">
        <f aca="false">IF($C307="","",$L307+$O307)</f>
        <v/>
      </c>
      <c r="Q307" s="9"/>
      <c r="R307" s="10" t="str">
        <f aca="false">IF($C307="","",MAX(0,$P307-N($Q307)))</f>
        <v/>
      </c>
      <c r="S307" s="19" t="str">
        <f aca="false">IF(OR($C307="",$P307=0),"",IF(N($Q307)&lt;=0,"Chưa thanh toán",IF(N($Q307)&lt;$P307,"Thanh toán một phần","Đã thanh toán")))</f>
        <v/>
      </c>
      <c r="T307" s="10" t="str">
        <f aca="false">IF(OR($C307="",$J307=""),"",N($I307)*$J307)</f>
        <v/>
      </c>
      <c r="U307" s="10" t="str">
        <f aca="false">IF(OR($C307="",$T307=""),"",$L307-$T307)</f>
        <v/>
      </c>
      <c r="V307" s="11" t="str">
        <f aca="false">IF(OR($U307="",$L307=0),"",$U307/$L307)</f>
        <v/>
      </c>
      <c r="W307" s="8"/>
      <c r="X307" s="19" t="str">
        <f aca="false">IF($C307="","",IF(AND($H307="",N($I307)=0,N($K307)=0),"Dòng chỉ lưu thông tin khách (chưa có đơn); ",IF($B307="","Thiếu ngày đặt; ","")&amp;IF($H307="","Thiếu tên sản phẩm; ",IF($J307="","Sản phẩm chưa có trong BẢNG GIÁ GỐC; ",""))&amp;IF(N($I307)&lt;=0,"Thiếu số lượng; ","")&amp;IF(N($K307)&lt;=0,"Thiếu giá bán; ","")&amp;IF(AND($N307&gt;0,$F307=""),"Khách lấy VAT thiếu mã số thuế; ","")&amp;IF(N($Q307)&gt;$P307,"Đã thu vượt tổng phải thu; ","")&amp;IF(AND($L307&gt;0,$U307&lt;0),"CẢNH BÁO: ĐƠN NÀY ĐANG LỖ; ","")))</f>
        <v/>
      </c>
      <c r="Y307" s="16" t="str">
        <f aca="false">IF(AND($C307&lt;&gt;"",$R307&gt;0),COUNTIFS($C$6:$C307,"&lt;&gt;",$R$6:$R307,"&gt;0"),"")</f>
        <v/>
      </c>
      <c r="Z307" s="16" t="str">
        <f aca="false">IF(AND($H307&lt;&gt;"",N($N307)&gt;0),COUNTIFS($H$6:$H307,"&lt;&gt;",$N$6:$N307,"&gt;0"),"")</f>
        <v/>
      </c>
      <c r="AA307" s="16" t="str">
        <f aca="false">IF(AND($H307&lt;&gt;"",N($N307)=0),COUNTIFS($H$6:$H307,"&lt;&gt;",$N$6:$N307,"&lt;=0"),"")</f>
        <v/>
      </c>
      <c r="AB307" s="16" t="str">
        <f aca="false">IF($C307="","",IF(COUNTIF($C$6:$C307,$C307)&gt;1,"",MAX($AB$5:AB306)+1))</f>
        <v/>
      </c>
      <c r="AC307" s="16" t="str">
        <f aca="false">IF($H307="","",IF(COUNTIF($H$6:$H307,$H307)&gt;1,"",MAX($AC$5:AC306)+1))</f>
        <v/>
      </c>
    </row>
    <row r="308" customFormat="false" ht="15" hidden="false" customHeight="false" outlineLevel="0" collapsed="false">
      <c r="A308" s="16" t="str">
        <f aca="false">IF($C308="","",COUNTA($C$6:$C308))</f>
        <v/>
      </c>
      <c r="B308" s="17"/>
      <c r="C308" s="8"/>
      <c r="D308" s="8"/>
      <c r="E308" s="8"/>
      <c r="F308" s="8"/>
      <c r="G308" s="8"/>
      <c r="H308" s="8"/>
      <c r="I308" s="9"/>
      <c r="J308" s="10" t="str">
        <f aca="false">IF($H308="","",IFERROR(VLOOKUP($H308,'BẢNG GIÁ GỐC'!$A$5:$D$204,3,FALSE()),""))</f>
        <v/>
      </c>
      <c r="K308" s="9"/>
      <c r="L308" s="10" t="str">
        <f aca="false">IF($C308="","",N($I308)*N($K308))</f>
        <v/>
      </c>
      <c r="M308" s="8"/>
      <c r="N308" s="11" t="str">
        <f aca="false">IF($C308="","",IF($M308="VAT 5%",0.05,IF($M308="VAT 8%",0.08,IF($M308="VAT 10%",0.1,0))))</f>
        <v/>
      </c>
      <c r="O308" s="10" t="str">
        <f aca="false">IF($C308="","",$L308*$N308)</f>
        <v/>
      </c>
      <c r="P308" s="10" t="str">
        <f aca="false">IF($C308="","",$L308+$O308)</f>
        <v/>
      </c>
      <c r="Q308" s="9"/>
      <c r="R308" s="10" t="str">
        <f aca="false">IF($C308="","",MAX(0,$P308-N($Q308)))</f>
        <v/>
      </c>
      <c r="S308" s="19" t="str">
        <f aca="false">IF(OR($C308="",$P308=0),"",IF(N($Q308)&lt;=0,"Chưa thanh toán",IF(N($Q308)&lt;$P308,"Thanh toán một phần","Đã thanh toán")))</f>
        <v/>
      </c>
      <c r="T308" s="10" t="str">
        <f aca="false">IF(OR($C308="",$J308=""),"",N($I308)*$J308)</f>
        <v/>
      </c>
      <c r="U308" s="10" t="str">
        <f aca="false">IF(OR($C308="",$T308=""),"",$L308-$T308)</f>
        <v/>
      </c>
      <c r="V308" s="11" t="str">
        <f aca="false">IF(OR($U308="",$L308=0),"",$U308/$L308)</f>
        <v/>
      </c>
      <c r="W308" s="8"/>
      <c r="X308" s="19" t="str">
        <f aca="false">IF($C308="","",IF(AND($H308="",N($I308)=0,N($K308)=0),"Dòng chỉ lưu thông tin khách (chưa có đơn); ",IF($B308="","Thiếu ngày đặt; ","")&amp;IF($H308="","Thiếu tên sản phẩm; ",IF($J308="","Sản phẩm chưa có trong BẢNG GIÁ GỐC; ",""))&amp;IF(N($I308)&lt;=0,"Thiếu số lượng; ","")&amp;IF(N($K308)&lt;=0,"Thiếu giá bán; ","")&amp;IF(AND($N308&gt;0,$F308=""),"Khách lấy VAT thiếu mã số thuế; ","")&amp;IF(N($Q308)&gt;$P308,"Đã thu vượt tổng phải thu; ","")&amp;IF(AND($L308&gt;0,$U308&lt;0),"CẢNH BÁO: ĐƠN NÀY ĐANG LỖ; ","")))</f>
        <v/>
      </c>
      <c r="Y308" s="16" t="str">
        <f aca="false">IF(AND($C308&lt;&gt;"",$R308&gt;0),COUNTIFS($C$6:$C308,"&lt;&gt;",$R$6:$R308,"&gt;0"),"")</f>
        <v/>
      </c>
      <c r="Z308" s="16" t="str">
        <f aca="false">IF(AND($H308&lt;&gt;"",N($N308)&gt;0),COUNTIFS($H$6:$H308,"&lt;&gt;",$N$6:$N308,"&gt;0"),"")</f>
        <v/>
      </c>
      <c r="AA308" s="16" t="str">
        <f aca="false">IF(AND($H308&lt;&gt;"",N($N308)=0),COUNTIFS($H$6:$H308,"&lt;&gt;",$N$6:$N308,"&lt;=0"),"")</f>
        <v/>
      </c>
      <c r="AB308" s="16" t="str">
        <f aca="false">IF($C308="","",IF(COUNTIF($C$6:$C308,$C308)&gt;1,"",MAX($AB$5:AB307)+1))</f>
        <v/>
      </c>
      <c r="AC308" s="16" t="str">
        <f aca="false">IF($H308="","",IF(COUNTIF($H$6:$H308,$H308)&gt;1,"",MAX($AC$5:AC307)+1))</f>
        <v/>
      </c>
    </row>
    <row r="309" customFormat="false" ht="15" hidden="false" customHeight="false" outlineLevel="0" collapsed="false">
      <c r="A309" s="16" t="str">
        <f aca="false">IF($C309="","",COUNTA($C$6:$C309))</f>
        <v/>
      </c>
      <c r="B309" s="17"/>
      <c r="C309" s="8"/>
      <c r="D309" s="8"/>
      <c r="E309" s="8"/>
      <c r="F309" s="8"/>
      <c r="G309" s="8"/>
      <c r="H309" s="8"/>
      <c r="I309" s="9"/>
      <c r="J309" s="10" t="str">
        <f aca="false">IF($H309="","",IFERROR(VLOOKUP($H309,'BẢNG GIÁ GỐC'!$A$5:$D$204,3,FALSE()),""))</f>
        <v/>
      </c>
      <c r="K309" s="9"/>
      <c r="L309" s="10" t="str">
        <f aca="false">IF($C309="","",N($I309)*N($K309))</f>
        <v/>
      </c>
      <c r="M309" s="8"/>
      <c r="N309" s="11" t="str">
        <f aca="false">IF($C309="","",IF($M309="VAT 5%",0.05,IF($M309="VAT 8%",0.08,IF($M309="VAT 10%",0.1,0))))</f>
        <v/>
      </c>
      <c r="O309" s="10" t="str">
        <f aca="false">IF($C309="","",$L309*$N309)</f>
        <v/>
      </c>
      <c r="P309" s="10" t="str">
        <f aca="false">IF($C309="","",$L309+$O309)</f>
        <v/>
      </c>
      <c r="Q309" s="9"/>
      <c r="R309" s="10" t="str">
        <f aca="false">IF($C309="","",MAX(0,$P309-N($Q309)))</f>
        <v/>
      </c>
      <c r="S309" s="19" t="str">
        <f aca="false">IF(OR($C309="",$P309=0),"",IF(N($Q309)&lt;=0,"Chưa thanh toán",IF(N($Q309)&lt;$P309,"Thanh toán một phần","Đã thanh toán")))</f>
        <v/>
      </c>
      <c r="T309" s="10" t="str">
        <f aca="false">IF(OR($C309="",$J309=""),"",N($I309)*$J309)</f>
        <v/>
      </c>
      <c r="U309" s="10" t="str">
        <f aca="false">IF(OR($C309="",$T309=""),"",$L309-$T309)</f>
        <v/>
      </c>
      <c r="V309" s="11" t="str">
        <f aca="false">IF(OR($U309="",$L309=0),"",$U309/$L309)</f>
        <v/>
      </c>
      <c r="W309" s="8"/>
      <c r="X309" s="19" t="str">
        <f aca="false">IF($C309="","",IF(AND($H309="",N($I309)=0,N($K309)=0),"Dòng chỉ lưu thông tin khách (chưa có đơn); ",IF($B309="","Thiếu ngày đặt; ","")&amp;IF($H309="","Thiếu tên sản phẩm; ",IF($J309="","Sản phẩm chưa có trong BẢNG GIÁ GỐC; ",""))&amp;IF(N($I309)&lt;=0,"Thiếu số lượng; ","")&amp;IF(N($K309)&lt;=0,"Thiếu giá bán; ","")&amp;IF(AND($N309&gt;0,$F309=""),"Khách lấy VAT thiếu mã số thuế; ","")&amp;IF(N($Q309)&gt;$P309,"Đã thu vượt tổng phải thu; ","")&amp;IF(AND($L309&gt;0,$U309&lt;0),"CẢNH BÁO: ĐƠN NÀY ĐANG LỖ; ","")))</f>
        <v/>
      </c>
      <c r="Y309" s="16" t="str">
        <f aca="false">IF(AND($C309&lt;&gt;"",$R309&gt;0),COUNTIFS($C$6:$C309,"&lt;&gt;",$R$6:$R309,"&gt;0"),"")</f>
        <v/>
      </c>
      <c r="Z309" s="16" t="str">
        <f aca="false">IF(AND($H309&lt;&gt;"",N($N309)&gt;0),COUNTIFS($H$6:$H309,"&lt;&gt;",$N$6:$N309,"&gt;0"),"")</f>
        <v/>
      </c>
      <c r="AA309" s="16" t="str">
        <f aca="false">IF(AND($H309&lt;&gt;"",N($N309)=0),COUNTIFS($H$6:$H309,"&lt;&gt;",$N$6:$N309,"&lt;=0"),"")</f>
        <v/>
      </c>
      <c r="AB309" s="16" t="str">
        <f aca="false">IF($C309="","",IF(COUNTIF($C$6:$C309,$C309)&gt;1,"",MAX($AB$5:AB308)+1))</f>
        <v/>
      </c>
      <c r="AC309" s="16" t="str">
        <f aca="false">IF($H309="","",IF(COUNTIF($H$6:$H309,$H309)&gt;1,"",MAX($AC$5:AC308)+1))</f>
        <v/>
      </c>
    </row>
    <row r="310" customFormat="false" ht="15" hidden="false" customHeight="false" outlineLevel="0" collapsed="false">
      <c r="A310" s="16" t="str">
        <f aca="false">IF($C310="","",COUNTA($C$6:$C310))</f>
        <v/>
      </c>
      <c r="B310" s="17"/>
      <c r="C310" s="8"/>
      <c r="D310" s="8"/>
      <c r="E310" s="8"/>
      <c r="F310" s="8"/>
      <c r="G310" s="8"/>
      <c r="H310" s="8"/>
      <c r="I310" s="9"/>
      <c r="J310" s="10" t="str">
        <f aca="false">IF($H310="","",IFERROR(VLOOKUP($H310,'BẢNG GIÁ GỐC'!$A$5:$D$204,3,FALSE()),""))</f>
        <v/>
      </c>
      <c r="K310" s="9"/>
      <c r="L310" s="10" t="str">
        <f aca="false">IF($C310="","",N($I310)*N($K310))</f>
        <v/>
      </c>
      <c r="M310" s="8"/>
      <c r="N310" s="11" t="str">
        <f aca="false">IF($C310="","",IF($M310="VAT 5%",0.05,IF($M310="VAT 8%",0.08,IF($M310="VAT 10%",0.1,0))))</f>
        <v/>
      </c>
      <c r="O310" s="10" t="str">
        <f aca="false">IF($C310="","",$L310*$N310)</f>
        <v/>
      </c>
      <c r="P310" s="10" t="str">
        <f aca="false">IF($C310="","",$L310+$O310)</f>
        <v/>
      </c>
      <c r="Q310" s="9"/>
      <c r="R310" s="10" t="str">
        <f aca="false">IF($C310="","",MAX(0,$P310-N($Q310)))</f>
        <v/>
      </c>
      <c r="S310" s="19" t="str">
        <f aca="false">IF(OR($C310="",$P310=0),"",IF(N($Q310)&lt;=0,"Chưa thanh toán",IF(N($Q310)&lt;$P310,"Thanh toán một phần","Đã thanh toán")))</f>
        <v/>
      </c>
      <c r="T310" s="10" t="str">
        <f aca="false">IF(OR($C310="",$J310=""),"",N($I310)*$J310)</f>
        <v/>
      </c>
      <c r="U310" s="10" t="str">
        <f aca="false">IF(OR($C310="",$T310=""),"",$L310-$T310)</f>
        <v/>
      </c>
      <c r="V310" s="11" t="str">
        <f aca="false">IF(OR($U310="",$L310=0),"",$U310/$L310)</f>
        <v/>
      </c>
      <c r="W310" s="8"/>
      <c r="X310" s="19" t="str">
        <f aca="false">IF($C310="","",IF(AND($H310="",N($I310)=0,N($K310)=0),"Dòng chỉ lưu thông tin khách (chưa có đơn); ",IF($B310="","Thiếu ngày đặt; ","")&amp;IF($H310="","Thiếu tên sản phẩm; ",IF($J310="","Sản phẩm chưa có trong BẢNG GIÁ GỐC; ",""))&amp;IF(N($I310)&lt;=0,"Thiếu số lượng; ","")&amp;IF(N($K310)&lt;=0,"Thiếu giá bán; ","")&amp;IF(AND($N310&gt;0,$F310=""),"Khách lấy VAT thiếu mã số thuế; ","")&amp;IF(N($Q310)&gt;$P310,"Đã thu vượt tổng phải thu; ","")&amp;IF(AND($L310&gt;0,$U310&lt;0),"CẢNH BÁO: ĐƠN NÀY ĐANG LỖ; ","")))</f>
        <v/>
      </c>
      <c r="Y310" s="16" t="str">
        <f aca="false">IF(AND($C310&lt;&gt;"",$R310&gt;0),COUNTIFS($C$6:$C310,"&lt;&gt;",$R$6:$R310,"&gt;0"),"")</f>
        <v/>
      </c>
      <c r="Z310" s="16" t="str">
        <f aca="false">IF(AND($H310&lt;&gt;"",N($N310)&gt;0),COUNTIFS($H$6:$H310,"&lt;&gt;",$N$6:$N310,"&gt;0"),"")</f>
        <v/>
      </c>
      <c r="AA310" s="16" t="str">
        <f aca="false">IF(AND($H310&lt;&gt;"",N($N310)=0),COUNTIFS($H$6:$H310,"&lt;&gt;",$N$6:$N310,"&lt;=0"),"")</f>
        <v/>
      </c>
      <c r="AB310" s="16" t="str">
        <f aca="false">IF($C310="","",IF(COUNTIF($C$6:$C310,$C310)&gt;1,"",MAX($AB$5:AB309)+1))</f>
        <v/>
      </c>
      <c r="AC310" s="16" t="str">
        <f aca="false">IF($H310="","",IF(COUNTIF($H$6:$H310,$H310)&gt;1,"",MAX($AC$5:AC309)+1))</f>
        <v/>
      </c>
    </row>
    <row r="311" customFormat="false" ht="15" hidden="false" customHeight="false" outlineLevel="0" collapsed="false">
      <c r="A311" s="16" t="str">
        <f aca="false">IF($C311="","",COUNTA($C$6:$C311))</f>
        <v/>
      </c>
      <c r="B311" s="17"/>
      <c r="C311" s="8"/>
      <c r="D311" s="8"/>
      <c r="E311" s="8"/>
      <c r="F311" s="8"/>
      <c r="G311" s="8"/>
      <c r="H311" s="8"/>
      <c r="I311" s="9"/>
      <c r="J311" s="10" t="str">
        <f aca="false">IF($H311="","",IFERROR(VLOOKUP($H311,'BẢNG GIÁ GỐC'!$A$5:$D$204,3,FALSE()),""))</f>
        <v/>
      </c>
      <c r="K311" s="9"/>
      <c r="L311" s="10" t="str">
        <f aca="false">IF($C311="","",N($I311)*N($K311))</f>
        <v/>
      </c>
      <c r="M311" s="8"/>
      <c r="N311" s="11" t="str">
        <f aca="false">IF($C311="","",IF($M311="VAT 5%",0.05,IF($M311="VAT 8%",0.08,IF($M311="VAT 10%",0.1,0))))</f>
        <v/>
      </c>
      <c r="O311" s="10" t="str">
        <f aca="false">IF($C311="","",$L311*$N311)</f>
        <v/>
      </c>
      <c r="P311" s="10" t="str">
        <f aca="false">IF($C311="","",$L311+$O311)</f>
        <v/>
      </c>
      <c r="Q311" s="9"/>
      <c r="R311" s="10" t="str">
        <f aca="false">IF($C311="","",MAX(0,$P311-N($Q311)))</f>
        <v/>
      </c>
      <c r="S311" s="19" t="str">
        <f aca="false">IF(OR($C311="",$P311=0),"",IF(N($Q311)&lt;=0,"Chưa thanh toán",IF(N($Q311)&lt;$P311,"Thanh toán một phần","Đã thanh toán")))</f>
        <v/>
      </c>
      <c r="T311" s="10" t="str">
        <f aca="false">IF(OR($C311="",$J311=""),"",N($I311)*$J311)</f>
        <v/>
      </c>
      <c r="U311" s="10" t="str">
        <f aca="false">IF(OR($C311="",$T311=""),"",$L311-$T311)</f>
        <v/>
      </c>
      <c r="V311" s="11" t="str">
        <f aca="false">IF(OR($U311="",$L311=0),"",$U311/$L311)</f>
        <v/>
      </c>
      <c r="W311" s="8"/>
      <c r="X311" s="19" t="str">
        <f aca="false">IF($C311="","",IF(AND($H311="",N($I311)=0,N($K311)=0),"Dòng chỉ lưu thông tin khách (chưa có đơn); ",IF($B311="","Thiếu ngày đặt; ","")&amp;IF($H311="","Thiếu tên sản phẩm; ",IF($J311="","Sản phẩm chưa có trong BẢNG GIÁ GỐC; ",""))&amp;IF(N($I311)&lt;=0,"Thiếu số lượng; ","")&amp;IF(N($K311)&lt;=0,"Thiếu giá bán; ","")&amp;IF(AND($N311&gt;0,$F311=""),"Khách lấy VAT thiếu mã số thuế; ","")&amp;IF(N($Q311)&gt;$P311,"Đã thu vượt tổng phải thu; ","")&amp;IF(AND($L311&gt;0,$U311&lt;0),"CẢNH BÁO: ĐƠN NÀY ĐANG LỖ; ","")))</f>
        <v/>
      </c>
      <c r="Y311" s="16" t="str">
        <f aca="false">IF(AND($C311&lt;&gt;"",$R311&gt;0),COUNTIFS($C$6:$C311,"&lt;&gt;",$R$6:$R311,"&gt;0"),"")</f>
        <v/>
      </c>
      <c r="Z311" s="16" t="str">
        <f aca="false">IF(AND($H311&lt;&gt;"",N($N311)&gt;0),COUNTIFS($H$6:$H311,"&lt;&gt;",$N$6:$N311,"&gt;0"),"")</f>
        <v/>
      </c>
      <c r="AA311" s="16" t="str">
        <f aca="false">IF(AND($H311&lt;&gt;"",N($N311)=0),COUNTIFS($H$6:$H311,"&lt;&gt;",$N$6:$N311,"&lt;=0"),"")</f>
        <v/>
      </c>
      <c r="AB311" s="16" t="str">
        <f aca="false">IF($C311="","",IF(COUNTIF($C$6:$C311,$C311)&gt;1,"",MAX($AB$5:AB310)+1))</f>
        <v/>
      </c>
      <c r="AC311" s="16" t="str">
        <f aca="false">IF($H311="","",IF(COUNTIF($H$6:$H311,$H311)&gt;1,"",MAX($AC$5:AC310)+1))</f>
        <v/>
      </c>
    </row>
    <row r="312" customFormat="false" ht="15" hidden="false" customHeight="false" outlineLevel="0" collapsed="false">
      <c r="A312" s="16" t="str">
        <f aca="false">IF($C312="","",COUNTA($C$6:$C312))</f>
        <v/>
      </c>
      <c r="B312" s="17"/>
      <c r="C312" s="8"/>
      <c r="D312" s="8"/>
      <c r="E312" s="8"/>
      <c r="F312" s="8"/>
      <c r="G312" s="8"/>
      <c r="H312" s="8"/>
      <c r="I312" s="9"/>
      <c r="J312" s="10" t="str">
        <f aca="false">IF($H312="","",IFERROR(VLOOKUP($H312,'BẢNG GIÁ GỐC'!$A$5:$D$204,3,FALSE()),""))</f>
        <v/>
      </c>
      <c r="K312" s="9"/>
      <c r="L312" s="10" t="str">
        <f aca="false">IF($C312="","",N($I312)*N($K312))</f>
        <v/>
      </c>
      <c r="M312" s="8"/>
      <c r="N312" s="11" t="str">
        <f aca="false">IF($C312="","",IF($M312="VAT 5%",0.05,IF($M312="VAT 8%",0.08,IF($M312="VAT 10%",0.1,0))))</f>
        <v/>
      </c>
      <c r="O312" s="10" t="str">
        <f aca="false">IF($C312="","",$L312*$N312)</f>
        <v/>
      </c>
      <c r="P312" s="10" t="str">
        <f aca="false">IF($C312="","",$L312+$O312)</f>
        <v/>
      </c>
      <c r="Q312" s="9"/>
      <c r="R312" s="10" t="str">
        <f aca="false">IF($C312="","",MAX(0,$P312-N($Q312)))</f>
        <v/>
      </c>
      <c r="S312" s="19" t="str">
        <f aca="false">IF(OR($C312="",$P312=0),"",IF(N($Q312)&lt;=0,"Chưa thanh toán",IF(N($Q312)&lt;$P312,"Thanh toán một phần","Đã thanh toán")))</f>
        <v/>
      </c>
      <c r="T312" s="10" t="str">
        <f aca="false">IF(OR($C312="",$J312=""),"",N($I312)*$J312)</f>
        <v/>
      </c>
      <c r="U312" s="10" t="str">
        <f aca="false">IF(OR($C312="",$T312=""),"",$L312-$T312)</f>
        <v/>
      </c>
      <c r="V312" s="11" t="str">
        <f aca="false">IF(OR($U312="",$L312=0),"",$U312/$L312)</f>
        <v/>
      </c>
      <c r="W312" s="8"/>
      <c r="X312" s="19" t="str">
        <f aca="false">IF($C312="","",IF(AND($H312="",N($I312)=0,N($K312)=0),"Dòng chỉ lưu thông tin khách (chưa có đơn); ",IF($B312="","Thiếu ngày đặt; ","")&amp;IF($H312="","Thiếu tên sản phẩm; ",IF($J312="","Sản phẩm chưa có trong BẢNG GIÁ GỐC; ",""))&amp;IF(N($I312)&lt;=0,"Thiếu số lượng; ","")&amp;IF(N($K312)&lt;=0,"Thiếu giá bán; ","")&amp;IF(AND($N312&gt;0,$F312=""),"Khách lấy VAT thiếu mã số thuế; ","")&amp;IF(N($Q312)&gt;$P312,"Đã thu vượt tổng phải thu; ","")&amp;IF(AND($L312&gt;0,$U312&lt;0),"CẢNH BÁO: ĐƠN NÀY ĐANG LỖ; ","")))</f>
        <v/>
      </c>
      <c r="Y312" s="16" t="str">
        <f aca="false">IF(AND($C312&lt;&gt;"",$R312&gt;0),COUNTIFS($C$6:$C312,"&lt;&gt;",$R$6:$R312,"&gt;0"),"")</f>
        <v/>
      </c>
      <c r="Z312" s="16" t="str">
        <f aca="false">IF(AND($H312&lt;&gt;"",N($N312)&gt;0),COUNTIFS($H$6:$H312,"&lt;&gt;",$N$6:$N312,"&gt;0"),"")</f>
        <v/>
      </c>
      <c r="AA312" s="16" t="str">
        <f aca="false">IF(AND($H312&lt;&gt;"",N($N312)=0),COUNTIFS($H$6:$H312,"&lt;&gt;",$N$6:$N312,"&lt;=0"),"")</f>
        <v/>
      </c>
      <c r="AB312" s="16" t="str">
        <f aca="false">IF($C312="","",IF(COUNTIF($C$6:$C312,$C312)&gt;1,"",MAX($AB$5:AB311)+1))</f>
        <v/>
      </c>
      <c r="AC312" s="16" t="str">
        <f aca="false">IF($H312="","",IF(COUNTIF($H$6:$H312,$H312)&gt;1,"",MAX($AC$5:AC311)+1))</f>
        <v/>
      </c>
    </row>
    <row r="313" customFormat="false" ht="15" hidden="false" customHeight="false" outlineLevel="0" collapsed="false">
      <c r="A313" s="16" t="str">
        <f aca="false">IF($C313="","",COUNTA($C$6:$C313))</f>
        <v/>
      </c>
      <c r="B313" s="17"/>
      <c r="C313" s="8"/>
      <c r="D313" s="8"/>
      <c r="E313" s="8"/>
      <c r="F313" s="8"/>
      <c r="G313" s="8"/>
      <c r="H313" s="8"/>
      <c r="I313" s="9"/>
      <c r="J313" s="10" t="str">
        <f aca="false">IF($H313="","",IFERROR(VLOOKUP($H313,'BẢNG GIÁ GỐC'!$A$5:$D$204,3,FALSE()),""))</f>
        <v/>
      </c>
      <c r="K313" s="9"/>
      <c r="L313" s="10" t="str">
        <f aca="false">IF($C313="","",N($I313)*N($K313))</f>
        <v/>
      </c>
      <c r="M313" s="8"/>
      <c r="N313" s="11" t="str">
        <f aca="false">IF($C313="","",IF($M313="VAT 5%",0.05,IF($M313="VAT 8%",0.08,IF($M313="VAT 10%",0.1,0))))</f>
        <v/>
      </c>
      <c r="O313" s="10" t="str">
        <f aca="false">IF($C313="","",$L313*$N313)</f>
        <v/>
      </c>
      <c r="P313" s="10" t="str">
        <f aca="false">IF($C313="","",$L313+$O313)</f>
        <v/>
      </c>
      <c r="Q313" s="9"/>
      <c r="R313" s="10" t="str">
        <f aca="false">IF($C313="","",MAX(0,$P313-N($Q313)))</f>
        <v/>
      </c>
      <c r="S313" s="19" t="str">
        <f aca="false">IF(OR($C313="",$P313=0),"",IF(N($Q313)&lt;=0,"Chưa thanh toán",IF(N($Q313)&lt;$P313,"Thanh toán một phần","Đã thanh toán")))</f>
        <v/>
      </c>
      <c r="T313" s="10" t="str">
        <f aca="false">IF(OR($C313="",$J313=""),"",N($I313)*$J313)</f>
        <v/>
      </c>
      <c r="U313" s="10" t="str">
        <f aca="false">IF(OR($C313="",$T313=""),"",$L313-$T313)</f>
        <v/>
      </c>
      <c r="V313" s="11" t="str">
        <f aca="false">IF(OR($U313="",$L313=0),"",$U313/$L313)</f>
        <v/>
      </c>
      <c r="W313" s="8"/>
      <c r="X313" s="19" t="str">
        <f aca="false">IF($C313="","",IF(AND($H313="",N($I313)=0,N($K313)=0),"Dòng chỉ lưu thông tin khách (chưa có đơn); ",IF($B313="","Thiếu ngày đặt; ","")&amp;IF($H313="","Thiếu tên sản phẩm; ",IF($J313="","Sản phẩm chưa có trong BẢNG GIÁ GỐC; ",""))&amp;IF(N($I313)&lt;=0,"Thiếu số lượng; ","")&amp;IF(N($K313)&lt;=0,"Thiếu giá bán; ","")&amp;IF(AND($N313&gt;0,$F313=""),"Khách lấy VAT thiếu mã số thuế; ","")&amp;IF(N($Q313)&gt;$P313,"Đã thu vượt tổng phải thu; ","")&amp;IF(AND($L313&gt;0,$U313&lt;0),"CẢNH BÁO: ĐƠN NÀY ĐANG LỖ; ","")))</f>
        <v/>
      </c>
      <c r="Y313" s="16" t="str">
        <f aca="false">IF(AND($C313&lt;&gt;"",$R313&gt;0),COUNTIFS($C$6:$C313,"&lt;&gt;",$R$6:$R313,"&gt;0"),"")</f>
        <v/>
      </c>
      <c r="Z313" s="16" t="str">
        <f aca="false">IF(AND($H313&lt;&gt;"",N($N313)&gt;0),COUNTIFS($H$6:$H313,"&lt;&gt;",$N$6:$N313,"&gt;0"),"")</f>
        <v/>
      </c>
      <c r="AA313" s="16" t="str">
        <f aca="false">IF(AND($H313&lt;&gt;"",N($N313)=0),COUNTIFS($H$6:$H313,"&lt;&gt;",$N$6:$N313,"&lt;=0"),"")</f>
        <v/>
      </c>
      <c r="AB313" s="16" t="str">
        <f aca="false">IF($C313="","",IF(COUNTIF($C$6:$C313,$C313)&gt;1,"",MAX($AB$5:AB312)+1))</f>
        <v/>
      </c>
      <c r="AC313" s="16" t="str">
        <f aca="false">IF($H313="","",IF(COUNTIF($H$6:$H313,$H313)&gt;1,"",MAX($AC$5:AC312)+1))</f>
        <v/>
      </c>
    </row>
    <row r="314" customFormat="false" ht="15" hidden="false" customHeight="false" outlineLevel="0" collapsed="false">
      <c r="A314" s="16" t="str">
        <f aca="false">IF($C314="","",COUNTA($C$6:$C314))</f>
        <v/>
      </c>
      <c r="B314" s="17"/>
      <c r="C314" s="8"/>
      <c r="D314" s="8"/>
      <c r="E314" s="8"/>
      <c r="F314" s="8"/>
      <c r="G314" s="8"/>
      <c r="H314" s="8"/>
      <c r="I314" s="9"/>
      <c r="J314" s="10" t="str">
        <f aca="false">IF($H314="","",IFERROR(VLOOKUP($H314,'BẢNG GIÁ GỐC'!$A$5:$D$204,3,FALSE()),""))</f>
        <v/>
      </c>
      <c r="K314" s="9"/>
      <c r="L314" s="10" t="str">
        <f aca="false">IF($C314="","",N($I314)*N($K314))</f>
        <v/>
      </c>
      <c r="M314" s="8"/>
      <c r="N314" s="11" t="str">
        <f aca="false">IF($C314="","",IF($M314="VAT 5%",0.05,IF($M314="VAT 8%",0.08,IF($M314="VAT 10%",0.1,0))))</f>
        <v/>
      </c>
      <c r="O314" s="10" t="str">
        <f aca="false">IF($C314="","",$L314*$N314)</f>
        <v/>
      </c>
      <c r="P314" s="10" t="str">
        <f aca="false">IF($C314="","",$L314+$O314)</f>
        <v/>
      </c>
      <c r="Q314" s="9"/>
      <c r="R314" s="10" t="str">
        <f aca="false">IF($C314="","",MAX(0,$P314-N($Q314)))</f>
        <v/>
      </c>
      <c r="S314" s="19" t="str">
        <f aca="false">IF(OR($C314="",$P314=0),"",IF(N($Q314)&lt;=0,"Chưa thanh toán",IF(N($Q314)&lt;$P314,"Thanh toán một phần","Đã thanh toán")))</f>
        <v/>
      </c>
      <c r="T314" s="10" t="str">
        <f aca="false">IF(OR($C314="",$J314=""),"",N($I314)*$J314)</f>
        <v/>
      </c>
      <c r="U314" s="10" t="str">
        <f aca="false">IF(OR($C314="",$T314=""),"",$L314-$T314)</f>
        <v/>
      </c>
      <c r="V314" s="11" t="str">
        <f aca="false">IF(OR($U314="",$L314=0),"",$U314/$L314)</f>
        <v/>
      </c>
      <c r="W314" s="8"/>
      <c r="X314" s="19" t="str">
        <f aca="false">IF($C314="","",IF(AND($H314="",N($I314)=0,N($K314)=0),"Dòng chỉ lưu thông tin khách (chưa có đơn); ",IF($B314="","Thiếu ngày đặt; ","")&amp;IF($H314="","Thiếu tên sản phẩm; ",IF($J314="","Sản phẩm chưa có trong BẢNG GIÁ GỐC; ",""))&amp;IF(N($I314)&lt;=0,"Thiếu số lượng; ","")&amp;IF(N($K314)&lt;=0,"Thiếu giá bán; ","")&amp;IF(AND($N314&gt;0,$F314=""),"Khách lấy VAT thiếu mã số thuế; ","")&amp;IF(N($Q314)&gt;$P314,"Đã thu vượt tổng phải thu; ","")&amp;IF(AND($L314&gt;0,$U314&lt;0),"CẢNH BÁO: ĐƠN NÀY ĐANG LỖ; ","")))</f>
        <v/>
      </c>
      <c r="Y314" s="16" t="str">
        <f aca="false">IF(AND($C314&lt;&gt;"",$R314&gt;0),COUNTIFS($C$6:$C314,"&lt;&gt;",$R$6:$R314,"&gt;0"),"")</f>
        <v/>
      </c>
      <c r="Z314" s="16" t="str">
        <f aca="false">IF(AND($H314&lt;&gt;"",N($N314)&gt;0),COUNTIFS($H$6:$H314,"&lt;&gt;",$N$6:$N314,"&gt;0"),"")</f>
        <v/>
      </c>
      <c r="AA314" s="16" t="str">
        <f aca="false">IF(AND($H314&lt;&gt;"",N($N314)=0),COUNTIFS($H$6:$H314,"&lt;&gt;",$N$6:$N314,"&lt;=0"),"")</f>
        <v/>
      </c>
      <c r="AB314" s="16" t="str">
        <f aca="false">IF($C314="","",IF(COUNTIF($C$6:$C314,$C314)&gt;1,"",MAX($AB$5:AB313)+1))</f>
        <v/>
      </c>
      <c r="AC314" s="16" t="str">
        <f aca="false">IF($H314="","",IF(COUNTIF($H$6:$H314,$H314)&gt;1,"",MAX($AC$5:AC313)+1))</f>
        <v/>
      </c>
    </row>
    <row r="315" customFormat="false" ht="15" hidden="false" customHeight="false" outlineLevel="0" collapsed="false">
      <c r="A315" s="16" t="str">
        <f aca="false">IF($C315="","",COUNTA($C$6:$C315))</f>
        <v/>
      </c>
      <c r="B315" s="17"/>
      <c r="C315" s="8"/>
      <c r="D315" s="8"/>
      <c r="E315" s="8"/>
      <c r="F315" s="8"/>
      <c r="G315" s="8"/>
      <c r="H315" s="8"/>
      <c r="I315" s="9"/>
      <c r="J315" s="10" t="str">
        <f aca="false">IF($H315="","",IFERROR(VLOOKUP($H315,'BẢNG GIÁ GỐC'!$A$5:$D$204,3,FALSE()),""))</f>
        <v/>
      </c>
      <c r="K315" s="9"/>
      <c r="L315" s="10" t="str">
        <f aca="false">IF($C315="","",N($I315)*N($K315))</f>
        <v/>
      </c>
      <c r="M315" s="8"/>
      <c r="N315" s="11" t="str">
        <f aca="false">IF($C315="","",IF($M315="VAT 5%",0.05,IF($M315="VAT 8%",0.08,IF($M315="VAT 10%",0.1,0))))</f>
        <v/>
      </c>
      <c r="O315" s="10" t="str">
        <f aca="false">IF($C315="","",$L315*$N315)</f>
        <v/>
      </c>
      <c r="P315" s="10" t="str">
        <f aca="false">IF($C315="","",$L315+$O315)</f>
        <v/>
      </c>
      <c r="Q315" s="9"/>
      <c r="R315" s="10" t="str">
        <f aca="false">IF($C315="","",MAX(0,$P315-N($Q315)))</f>
        <v/>
      </c>
      <c r="S315" s="19" t="str">
        <f aca="false">IF(OR($C315="",$P315=0),"",IF(N($Q315)&lt;=0,"Chưa thanh toán",IF(N($Q315)&lt;$P315,"Thanh toán một phần","Đã thanh toán")))</f>
        <v/>
      </c>
      <c r="T315" s="10" t="str">
        <f aca="false">IF(OR($C315="",$J315=""),"",N($I315)*$J315)</f>
        <v/>
      </c>
      <c r="U315" s="10" t="str">
        <f aca="false">IF(OR($C315="",$T315=""),"",$L315-$T315)</f>
        <v/>
      </c>
      <c r="V315" s="11" t="str">
        <f aca="false">IF(OR($U315="",$L315=0),"",$U315/$L315)</f>
        <v/>
      </c>
      <c r="W315" s="8"/>
      <c r="X315" s="19" t="str">
        <f aca="false">IF($C315="","",IF(AND($H315="",N($I315)=0,N($K315)=0),"Dòng chỉ lưu thông tin khách (chưa có đơn); ",IF($B315="","Thiếu ngày đặt; ","")&amp;IF($H315="","Thiếu tên sản phẩm; ",IF($J315="","Sản phẩm chưa có trong BẢNG GIÁ GỐC; ",""))&amp;IF(N($I315)&lt;=0,"Thiếu số lượng; ","")&amp;IF(N($K315)&lt;=0,"Thiếu giá bán; ","")&amp;IF(AND($N315&gt;0,$F315=""),"Khách lấy VAT thiếu mã số thuế; ","")&amp;IF(N($Q315)&gt;$P315,"Đã thu vượt tổng phải thu; ","")&amp;IF(AND($L315&gt;0,$U315&lt;0),"CẢNH BÁO: ĐƠN NÀY ĐANG LỖ; ","")))</f>
        <v/>
      </c>
      <c r="Y315" s="16" t="str">
        <f aca="false">IF(AND($C315&lt;&gt;"",$R315&gt;0),COUNTIFS($C$6:$C315,"&lt;&gt;",$R$6:$R315,"&gt;0"),"")</f>
        <v/>
      </c>
      <c r="Z315" s="16" t="str">
        <f aca="false">IF(AND($H315&lt;&gt;"",N($N315)&gt;0),COUNTIFS($H$6:$H315,"&lt;&gt;",$N$6:$N315,"&gt;0"),"")</f>
        <v/>
      </c>
      <c r="AA315" s="16" t="str">
        <f aca="false">IF(AND($H315&lt;&gt;"",N($N315)=0),COUNTIFS($H$6:$H315,"&lt;&gt;",$N$6:$N315,"&lt;=0"),"")</f>
        <v/>
      </c>
      <c r="AB315" s="16" t="str">
        <f aca="false">IF($C315="","",IF(COUNTIF($C$6:$C315,$C315)&gt;1,"",MAX($AB$5:AB314)+1))</f>
        <v/>
      </c>
      <c r="AC315" s="16" t="str">
        <f aca="false">IF($H315="","",IF(COUNTIF($H$6:$H315,$H315)&gt;1,"",MAX($AC$5:AC314)+1))</f>
        <v/>
      </c>
    </row>
    <row r="316" customFormat="false" ht="15" hidden="false" customHeight="false" outlineLevel="0" collapsed="false">
      <c r="A316" s="16" t="str">
        <f aca="false">IF($C316="","",COUNTA($C$6:$C316))</f>
        <v/>
      </c>
      <c r="B316" s="17"/>
      <c r="C316" s="8"/>
      <c r="D316" s="8"/>
      <c r="E316" s="8"/>
      <c r="F316" s="8"/>
      <c r="G316" s="8"/>
      <c r="H316" s="8"/>
      <c r="I316" s="9"/>
      <c r="J316" s="10" t="str">
        <f aca="false">IF($H316="","",IFERROR(VLOOKUP($H316,'BẢNG GIÁ GỐC'!$A$5:$D$204,3,FALSE()),""))</f>
        <v/>
      </c>
      <c r="K316" s="9"/>
      <c r="L316" s="10" t="str">
        <f aca="false">IF($C316="","",N($I316)*N($K316))</f>
        <v/>
      </c>
      <c r="M316" s="8"/>
      <c r="N316" s="11" t="str">
        <f aca="false">IF($C316="","",IF($M316="VAT 5%",0.05,IF($M316="VAT 8%",0.08,IF($M316="VAT 10%",0.1,0))))</f>
        <v/>
      </c>
      <c r="O316" s="10" t="str">
        <f aca="false">IF($C316="","",$L316*$N316)</f>
        <v/>
      </c>
      <c r="P316" s="10" t="str">
        <f aca="false">IF($C316="","",$L316+$O316)</f>
        <v/>
      </c>
      <c r="Q316" s="9"/>
      <c r="R316" s="10" t="str">
        <f aca="false">IF($C316="","",MAX(0,$P316-N($Q316)))</f>
        <v/>
      </c>
      <c r="S316" s="19" t="str">
        <f aca="false">IF(OR($C316="",$P316=0),"",IF(N($Q316)&lt;=0,"Chưa thanh toán",IF(N($Q316)&lt;$P316,"Thanh toán một phần","Đã thanh toán")))</f>
        <v/>
      </c>
      <c r="T316" s="10" t="str">
        <f aca="false">IF(OR($C316="",$J316=""),"",N($I316)*$J316)</f>
        <v/>
      </c>
      <c r="U316" s="10" t="str">
        <f aca="false">IF(OR($C316="",$T316=""),"",$L316-$T316)</f>
        <v/>
      </c>
      <c r="V316" s="11" t="str">
        <f aca="false">IF(OR($U316="",$L316=0),"",$U316/$L316)</f>
        <v/>
      </c>
      <c r="W316" s="8"/>
      <c r="X316" s="19" t="str">
        <f aca="false">IF($C316="","",IF(AND($H316="",N($I316)=0,N($K316)=0),"Dòng chỉ lưu thông tin khách (chưa có đơn); ",IF($B316="","Thiếu ngày đặt; ","")&amp;IF($H316="","Thiếu tên sản phẩm; ",IF($J316="","Sản phẩm chưa có trong BẢNG GIÁ GỐC; ",""))&amp;IF(N($I316)&lt;=0,"Thiếu số lượng; ","")&amp;IF(N($K316)&lt;=0,"Thiếu giá bán; ","")&amp;IF(AND($N316&gt;0,$F316=""),"Khách lấy VAT thiếu mã số thuế; ","")&amp;IF(N($Q316)&gt;$P316,"Đã thu vượt tổng phải thu; ","")&amp;IF(AND($L316&gt;0,$U316&lt;0),"CẢNH BÁO: ĐƠN NÀY ĐANG LỖ; ","")))</f>
        <v/>
      </c>
      <c r="Y316" s="16" t="str">
        <f aca="false">IF(AND($C316&lt;&gt;"",$R316&gt;0),COUNTIFS($C$6:$C316,"&lt;&gt;",$R$6:$R316,"&gt;0"),"")</f>
        <v/>
      </c>
      <c r="Z316" s="16" t="str">
        <f aca="false">IF(AND($H316&lt;&gt;"",N($N316)&gt;0),COUNTIFS($H$6:$H316,"&lt;&gt;",$N$6:$N316,"&gt;0"),"")</f>
        <v/>
      </c>
      <c r="AA316" s="16" t="str">
        <f aca="false">IF(AND($H316&lt;&gt;"",N($N316)=0),COUNTIFS($H$6:$H316,"&lt;&gt;",$N$6:$N316,"&lt;=0"),"")</f>
        <v/>
      </c>
      <c r="AB316" s="16" t="str">
        <f aca="false">IF($C316="","",IF(COUNTIF($C$6:$C316,$C316)&gt;1,"",MAX($AB$5:AB315)+1))</f>
        <v/>
      </c>
      <c r="AC316" s="16" t="str">
        <f aca="false">IF($H316="","",IF(COUNTIF($H$6:$H316,$H316)&gt;1,"",MAX($AC$5:AC315)+1))</f>
        <v/>
      </c>
    </row>
    <row r="317" customFormat="false" ht="15" hidden="false" customHeight="false" outlineLevel="0" collapsed="false">
      <c r="A317" s="16" t="str">
        <f aca="false">IF($C317="","",COUNTA($C$6:$C317))</f>
        <v/>
      </c>
      <c r="B317" s="17"/>
      <c r="C317" s="8"/>
      <c r="D317" s="8"/>
      <c r="E317" s="8"/>
      <c r="F317" s="8"/>
      <c r="G317" s="8"/>
      <c r="H317" s="8"/>
      <c r="I317" s="9"/>
      <c r="J317" s="10" t="str">
        <f aca="false">IF($H317="","",IFERROR(VLOOKUP($H317,'BẢNG GIÁ GỐC'!$A$5:$D$204,3,FALSE()),""))</f>
        <v/>
      </c>
      <c r="K317" s="9"/>
      <c r="L317" s="10" t="str">
        <f aca="false">IF($C317="","",N($I317)*N($K317))</f>
        <v/>
      </c>
      <c r="M317" s="8"/>
      <c r="N317" s="11" t="str">
        <f aca="false">IF($C317="","",IF($M317="VAT 5%",0.05,IF($M317="VAT 8%",0.08,IF($M317="VAT 10%",0.1,0))))</f>
        <v/>
      </c>
      <c r="O317" s="10" t="str">
        <f aca="false">IF($C317="","",$L317*$N317)</f>
        <v/>
      </c>
      <c r="P317" s="10" t="str">
        <f aca="false">IF($C317="","",$L317+$O317)</f>
        <v/>
      </c>
      <c r="Q317" s="9"/>
      <c r="R317" s="10" t="str">
        <f aca="false">IF($C317="","",MAX(0,$P317-N($Q317)))</f>
        <v/>
      </c>
      <c r="S317" s="19" t="str">
        <f aca="false">IF(OR($C317="",$P317=0),"",IF(N($Q317)&lt;=0,"Chưa thanh toán",IF(N($Q317)&lt;$P317,"Thanh toán một phần","Đã thanh toán")))</f>
        <v/>
      </c>
      <c r="T317" s="10" t="str">
        <f aca="false">IF(OR($C317="",$J317=""),"",N($I317)*$J317)</f>
        <v/>
      </c>
      <c r="U317" s="10" t="str">
        <f aca="false">IF(OR($C317="",$T317=""),"",$L317-$T317)</f>
        <v/>
      </c>
      <c r="V317" s="11" t="str">
        <f aca="false">IF(OR($U317="",$L317=0),"",$U317/$L317)</f>
        <v/>
      </c>
      <c r="W317" s="8"/>
      <c r="X317" s="19" t="str">
        <f aca="false">IF($C317="","",IF(AND($H317="",N($I317)=0,N($K317)=0),"Dòng chỉ lưu thông tin khách (chưa có đơn); ",IF($B317="","Thiếu ngày đặt; ","")&amp;IF($H317="","Thiếu tên sản phẩm; ",IF($J317="","Sản phẩm chưa có trong BẢNG GIÁ GỐC; ",""))&amp;IF(N($I317)&lt;=0,"Thiếu số lượng; ","")&amp;IF(N($K317)&lt;=0,"Thiếu giá bán; ","")&amp;IF(AND($N317&gt;0,$F317=""),"Khách lấy VAT thiếu mã số thuế; ","")&amp;IF(N($Q317)&gt;$P317,"Đã thu vượt tổng phải thu; ","")&amp;IF(AND($L317&gt;0,$U317&lt;0),"CẢNH BÁO: ĐƠN NÀY ĐANG LỖ; ","")))</f>
        <v/>
      </c>
      <c r="Y317" s="16" t="str">
        <f aca="false">IF(AND($C317&lt;&gt;"",$R317&gt;0),COUNTIFS($C$6:$C317,"&lt;&gt;",$R$6:$R317,"&gt;0"),"")</f>
        <v/>
      </c>
      <c r="Z317" s="16" t="str">
        <f aca="false">IF(AND($H317&lt;&gt;"",N($N317)&gt;0),COUNTIFS($H$6:$H317,"&lt;&gt;",$N$6:$N317,"&gt;0"),"")</f>
        <v/>
      </c>
      <c r="AA317" s="16" t="str">
        <f aca="false">IF(AND($H317&lt;&gt;"",N($N317)=0),COUNTIFS($H$6:$H317,"&lt;&gt;",$N$6:$N317,"&lt;=0"),"")</f>
        <v/>
      </c>
      <c r="AB317" s="16" t="str">
        <f aca="false">IF($C317="","",IF(COUNTIF($C$6:$C317,$C317)&gt;1,"",MAX($AB$5:AB316)+1))</f>
        <v/>
      </c>
      <c r="AC317" s="16" t="str">
        <f aca="false">IF($H317="","",IF(COUNTIF($H$6:$H317,$H317)&gt;1,"",MAX($AC$5:AC316)+1))</f>
        <v/>
      </c>
    </row>
    <row r="318" customFormat="false" ht="15" hidden="false" customHeight="false" outlineLevel="0" collapsed="false">
      <c r="A318" s="16" t="str">
        <f aca="false">IF($C318="","",COUNTA($C$6:$C318))</f>
        <v/>
      </c>
      <c r="B318" s="17"/>
      <c r="C318" s="8"/>
      <c r="D318" s="8"/>
      <c r="E318" s="8"/>
      <c r="F318" s="8"/>
      <c r="G318" s="8"/>
      <c r="H318" s="8"/>
      <c r="I318" s="9"/>
      <c r="J318" s="10" t="str">
        <f aca="false">IF($H318="","",IFERROR(VLOOKUP($H318,'BẢNG GIÁ GỐC'!$A$5:$D$204,3,FALSE()),""))</f>
        <v/>
      </c>
      <c r="K318" s="9"/>
      <c r="L318" s="10" t="str">
        <f aca="false">IF($C318="","",N($I318)*N($K318))</f>
        <v/>
      </c>
      <c r="M318" s="8"/>
      <c r="N318" s="11" t="str">
        <f aca="false">IF($C318="","",IF($M318="VAT 5%",0.05,IF($M318="VAT 8%",0.08,IF($M318="VAT 10%",0.1,0))))</f>
        <v/>
      </c>
      <c r="O318" s="10" t="str">
        <f aca="false">IF($C318="","",$L318*$N318)</f>
        <v/>
      </c>
      <c r="P318" s="10" t="str">
        <f aca="false">IF($C318="","",$L318+$O318)</f>
        <v/>
      </c>
      <c r="Q318" s="9"/>
      <c r="R318" s="10" t="str">
        <f aca="false">IF($C318="","",MAX(0,$P318-N($Q318)))</f>
        <v/>
      </c>
      <c r="S318" s="19" t="str">
        <f aca="false">IF(OR($C318="",$P318=0),"",IF(N($Q318)&lt;=0,"Chưa thanh toán",IF(N($Q318)&lt;$P318,"Thanh toán một phần","Đã thanh toán")))</f>
        <v/>
      </c>
      <c r="T318" s="10" t="str">
        <f aca="false">IF(OR($C318="",$J318=""),"",N($I318)*$J318)</f>
        <v/>
      </c>
      <c r="U318" s="10" t="str">
        <f aca="false">IF(OR($C318="",$T318=""),"",$L318-$T318)</f>
        <v/>
      </c>
      <c r="V318" s="11" t="str">
        <f aca="false">IF(OR($U318="",$L318=0),"",$U318/$L318)</f>
        <v/>
      </c>
      <c r="W318" s="8"/>
      <c r="X318" s="19" t="str">
        <f aca="false">IF($C318="","",IF(AND($H318="",N($I318)=0,N($K318)=0),"Dòng chỉ lưu thông tin khách (chưa có đơn); ",IF($B318="","Thiếu ngày đặt; ","")&amp;IF($H318="","Thiếu tên sản phẩm; ",IF($J318="","Sản phẩm chưa có trong BẢNG GIÁ GỐC; ",""))&amp;IF(N($I318)&lt;=0,"Thiếu số lượng; ","")&amp;IF(N($K318)&lt;=0,"Thiếu giá bán; ","")&amp;IF(AND($N318&gt;0,$F318=""),"Khách lấy VAT thiếu mã số thuế; ","")&amp;IF(N($Q318)&gt;$P318,"Đã thu vượt tổng phải thu; ","")&amp;IF(AND($L318&gt;0,$U318&lt;0),"CẢNH BÁO: ĐƠN NÀY ĐANG LỖ; ","")))</f>
        <v/>
      </c>
      <c r="Y318" s="16" t="str">
        <f aca="false">IF(AND($C318&lt;&gt;"",$R318&gt;0),COUNTIFS($C$6:$C318,"&lt;&gt;",$R$6:$R318,"&gt;0"),"")</f>
        <v/>
      </c>
      <c r="Z318" s="16" t="str">
        <f aca="false">IF(AND($H318&lt;&gt;"",N($N318)&gt;0),COUNTIFS($H$6:$H318,"&lt;&gt;",$N$6:$N318,"&gt;0"),"")</f>
        <v/>
      </c>
      <c r="AA318" s="16" t="str">
        <f aca="false">IF(AND($H318&lt;&gt;"",N($N318)=0),COUNTIFS($H$6:$H318,"&lt;&gt;",$N$6:$N318,"&lt;=0"),"")</f>
        <v/>
      </c>
      <c r="AB318" s="16" t="str">
        <f aca="false">IF($C318="","",IF(COUNTIF($C$6:$C318,$C318)&gt;1,"",MAX($AB$5:AB317)+1))</f>
        <v/>
      </c>
      <c r="AC318" s="16" t="str">
        <f aca="false">IF($H318="","",IF(COUNTIF($H$6:$H318,$H318)&gt;1,"",MAX($AC$5:AC317)+1))</f>
        <v/>
      </c>
    </row>
    <row r="319" customFormat="false" ht="15" hidden="false" customHeight="false" outlineLevel="0" collapsed="false">
      <c r="A319" s="16" t="str">
        <f aca="false">IF($C319="","",COUNTA($C$6:$C319))</f>
        <v/>
      </c>
      <c r="B319" s="17"/>
      <c r="C319" s="8"/>
      <c r="D319" s="8"/>
      <c r="E319" s="8"/>
      <c r="F319" s="8"/>
      <c r="G319" s="8"/>
      <c r="H319" s="8"/>
      <c r="I319" s="9"/>
      <c r="J319" s="10" t="str">
        <f aca="false">IF($H319="","",IFERROR(VLOOKUP($H319,'BẢNG GIÁ GỐC'!$A$5:$D$204,3,FALSE()),""))</f>
        <v/>
      </c>
      <c r="K319" s="9"/>
      <c r="L319" s="10" t="str">
        <f aca="false">IF($C319="","",N($I319)*N($K319))</f>
        <v/>
      </c>
      <c r="M319" s="8"/>
      <c r="N319" s="11" t="str">
        <f aca="false">IF($C319="","",IF($M319="VAT 5%",0.05,IF($M319="VAT 8%",0.08,IF($M319="VAT 10%",0.1,0))))</f>
        <v/>
      </c>
      <c r="O319" s="10" t="str">
        <f aca="false">IF($C319="","",$L319*$N319)</f>
        <v/>
      </c>
      <c r="P319" s="10" t="str">
        <f aca="false">IF($C319="","",$L319+$O319)</f>
        <v/>
      </c>
      <c r="Q319" s="9"/>
      <c r="R319" s="10" t="str">
        <f aca="false">IF($C319="","",MAX(0,$P319-N($Q319)))</f>
        <v/>
      </c>
      <c r="S319" s="19" t="str">
        <f aca="false">IF(OR($C319="",$P319=0),"",IF(N($Q319)&lt;=0,"Chưa thanh toán",IF(N($Q319)&lt;$P319,"Thanh toán một phần","Đã thanh toán")))</f>
        <v/>
      </c>
      <c r="T319" s="10" t="str">
        <f aca="false">IF(OR($C319="",$J319=""),"",N($I319)*$J319)</f>
        <v/>
      </c>
      <c r="U319" s="10" t="str">
        <f aca="false">IF(OR($C319="",$T319=""),"",$L319-$T319)</f>
        <v/>
      </c>
      <c r="V319" s="11" t="str">
        <f aca="false">IF(OR($U319="",$L319=0),"",$U319/$L319)</f>
        <v/>
      </c>
      <c r="W319" s="8"/>
      <c r="X319" s="19" t="str">
        <f aca="false">IF($C319="","",IF(AND($H319="",N($I319)=0,N($K319)=0),"Dòng chỉ lưu thông tin khách (chưa có đơn); ",IF($B319="","Thiếu ngày đặt; ","")&amp;IF($H319="","Thiếu tên sản phẩm; ",IF($J319="","Sản phẩm chưa có trong BẢNG GIÁ GỐC; ",""))&amp;IF(N($I319)&lt;=0,"Thiếu số lượng; ","")&amp;IF(N($K319)&lt;=0,"Thiếu giá bán; ","")&amp;IF(AND($N319&gt;0,$F319=""),"Khách lấy VAT thiếu mã số thuế; ","")&amp;IF(N($Q319)&gt;$P319,"Đã thu vượt tổng phải thu; ","")&amp;IF(AND($L319&gt;0,$U319&lt;0),"CẢNH BÁO: ĐƠN NÀY ĐANG LỖ; ","")))</f>
        <v/>
      </c>
      <c r="Y319" s="16" t="str">
        <f aca="false">IF(AND($C319&lt;&gt;"",$R319&gt;0),COUNTIFS($C$6:$C319,"&lt;&gt;",$R$6:$R319,"&gt;0"),"")</f>
        <v/>
      </c>
      <c r="Z319" s="16" t="str">
        <f aca="false">IF(AND($H319&lt;&gt;"",N($N319)&gt;0),COUNTIFS($H$6:$H319,"&lt;&gt;",$N$6:$N319,"&gt;0"),"")</f>
        <v/>
      </c>
      <c r="AA319" s="16" t="str">
        <f aca="false">IF(AND($H319&lt;&gt;"",N($N319)=0),COUNTIFS($H$6:$H319,"&lt;&gt;",$N$6:$N319,"&lt;=0"),"")</f>
        <v/>
      </c>
      <c r="AB319" s="16" t="str">
        <f aca="false">IF($C319="","",IF(COUNTIF($C$6:$C319,$C319)&gt;1,"",MAX($AB$5:AB318)+1))</f>
        <v/>
      </c>
      <c r="AC319" s="16" t="str">
        <f aca="false">IF($H319="","",IF(COUNTIF($H$6:$H319,$H319)&gt;1,"",MAX($AC$5:AC318)+1))</f>
        <v/>
      </c>
    </row>
    <row r="320" customFormat="false" ht="15" hidden="false" customHeight="false" outlineLevel="0" collapsed="false">
      <c r="A320" s="16" t="str">
        <f aca="false">IF($C320="","",COUNTA($C$6:$C320))</f>
        <v/>
      </c>
      <c r="B320" s="17"/>
      <c r="C320" s="8"/>
      <c r="D320" s="8"/>
      <c r="E320" s="8"/>
      <c r="F320" s="8"/>
      <c r="G320" s="8"/>
      <c r="H320" s="8"/>
      <c r="I320" s="9"/>
      <c r="J320" s="10" t="str">
        <f aca="false">IF($H320="","",IFERROR(VLOOKUP($H320,'BẢNG GIÁ GỐC'!$A$5:$D$204,3,FALSE()),""))</f>
        <v/>
      </c>
      <c r="K320" s="9"/>
      <c r="L320" s="10" t="str">
        <f aca="false">IF($C320="","",N($I320)*N($K320))</f>
        <v/>
      </c>
      <c r="M320" s="8"/>
      <c r="N320" s="11" t="str">
        <f aca="false">IF($C320="","",IF($M320="VAT 5%",0.05,IF($M320="VAT 8%",0.08,IF($M320="VAT 10%",0.1,0))))</f>
        <v/>
      </c>
      <c r="O320" s="10" t="str">
        <f aca="false">IF($C320="","",$L320*$N320)</f>
        <v/>
      </c>
      <c r="P320" s="10" t="str">
        <f aca="false">IF($C320="","",$L320+$O320)</f>
        <v/>
      </c>
      <c r="Q320" s="9"/>
      <c r="R320" s="10" t="str">
        <f aca="false">IF($C320="","",MAX(0,$P320-N($Q320)))</f>
        <v/>
      </c>
      <c r="S320" s="19" t="str">
        <f aca="false">IF(OR($C320="",$P320=0),"",IF(N($Q320)&lt;=0,"Chưa thanh toán",IF(N($Q320)&lt;$P320,"Thanh toán một phần","Đã thanh toán")))</f>
        <v/>
      </c>
      <c r="T320" s="10" t="str">
        <f aca="false">IF(OR($C320="",$J320=""),"",N($I320)*$J320)</f>
        <v/>
      </c>
      <c r="U320" s="10" t="str">
        <f aca="false">IF(OR($C320="",$T320=""),"",$L320-$T320)</f>
        <v/>
      </c>
      <c r="V320" s="11" t="str">
        <f aca="false">IF(OR($U320="",$L320=0),"",$U320/$L320)</f>
        <v/>
      </c>
      <c r="W320" s="8"/>
      <c r="X320" s="19" t="str">
        <f aca="false">IF($C320="","",IF(AND($H320="",N($I320)=0,N($K320)=0),"Dòng chỉ lưu thông tin khách (chưa có đơn); ",IF($B320="","Thiếu ngày đặt; ","")&amp;IF($H320="","Thiếu tên sản phẩm; ",IF($J320="","Sản phẩm chưa có trong BẢNG GIÁ GỐC; ",""))&amp;IF(N($I320)&lt;=0,"Thiếu số lượng; ","")&amp;IF(N($K320)&lt;=0,"Thiếu giá bán; ","")&amp;IF(AND($N320&gt;0,$F320=""),"Khách lấy VAT thiếu mã số thuế; ","")&amp;IF(N($Q320)&gt;$P320,"Đã thu vượt tổng phải thu; ","")&amp;IF(AND($L320&gt;0,$U320&lt;0),"CẢNH BÁO: ĐƠN NÀY ĐANG LỖ; ","")))</f>
        <v/>
      </c>
      <c r="Y320" s="16" t="str">
        <f aca="false">IF(AND($C320&lt;&gt;"",$R320&gt;0),COUNTIFS($C$6:$C320,"&lt;&gt;",$R$6:$R320,"&gt;0"),"")</f>
        <v/>
      </c>
      <c r="Z320" s="16" t="str">
        <f aca="false">IF(AND($H320&lt;&gt;"",N($N320)&gt;0),COUNTIFS($H$6:$H320,"&lt;&gt;",$N$6:$N320,"&gt;0"),"")</f>
        <v/>
      </c>
      <c r="AA320" s="16" t="str">
        <f aca="false">IF(AND($H320&lt;&gt;"",N($N320)=0),COUNTIFS($H$6:$H320,"&lt;&gt;",$N$6:$N320,"&lt;=0"),"")</f>
        <v/>
      </c>
      <c r="AB320" s="16" t="str">
        <f aca="false">IF($C320="","",IF(COUNTIF($C$6:$C320,$C320)&gt;1,"",MAX($AB$5:AB319)+1))</f>
        <v/>
      </c>
      <c r="AC320" s="16" t="str">
        <f aca="false">IF($H320="","",IF(COUNTIF($H$6:$H320,$H320)&gt;1,"",MAX($AC$5:AC319)+1))</f>
        <v/>
      </c>
    </row>
    <row r="321" customFormat="false" ht="15" hidden="false" customHeight="false" outlineLevel="0" collapsed="false">
      <c r="A321" s="16" t="str">
        <f aca="false">IF($C321="","",COUNTA($C$6:$C321))</f>
        <v/>
      </c>
      <c r="B321" s="17"/>
      <c r="C321" s="8"/>
      <c r="D321" s="8"/>
      <c r="E321" s="8"/>
      <c r="F321" s="8"/>
      <c r="G321" s="8"/>
      <c r="H321" s="8"/>
      <c r="I321" s="9"/>
      <c r="J321" s="10" t="str">
        <f aca="false">IF($H321="","",IFERROR(VLOOKUP($H321,'BẢNG GIÁ GỐC'!$A$5:$D$204,3,FALSE()),""))</f>
        <v/>
      </c>
      <c r="K321" s="9"/>
      <c r="L321" s="10" t="str">
        <f aca="false">IF($C321="","",N($I321)*N($K321))</f>
        <v/>
      </c>
      <c r="M321" s="8"/>
      <c r="N321" s="11" t="str">
        <f aca="false">IF($C321="","",IF($M321="VAT 5%",0.05,IF($M321="VAT 8%",0.08,IF($M321="VAT 10%",0.1,0))))</f>
        <v/>
      </c>
      <c r="O321" s="10" t="str">
        <f aca="false">IF($C321="","",$L321*$N321)</f>
        <v/>
      </c>
      <c r="P321" s="10" t="str">
        <f aca="false">IF($C321="","",$L321+$O321)</f>
        <v/>
      </c>
      <c r="Q321" s="9"/>
      <c r="R321" s="10" t="str">
        <f aca="false">IF($C321="","",MAX(0,$P321-N($Q321)))</f>
        <v/>
      </c>
      <c r="S321" s="19" t="str">
        <f aca="false">IF(OR($C321="",$P321=0),"",IF(N($Q321)&lt;=0,"Chưa thanh toán",IF(N($Q321)&lt;$P321,"Thanh toán một phần","Đã thanh toán")))</f>
        <v/>
      </c>
      <c r="T321" s="10" t="str">
        <f aca="false">IF(OR($C321="",$J321=""),"",N($I321)*$J321)</f>
        <v/>
      </c>
      <c r="U321" s="10" t="str">
        <f aca="false">IF(OR($C321="",$T321=""),"",$L321-$T321)</f>
        <v/>
      </c>
      <c r="V321" s="11" t="str">
        <f aca="false">IF(OR($U321="",$L321=0),"",$U321/$L321)</f>
        <v/>
      </c>
      <c r="W321" s="8"/>
      <c r="X321" s="19" t="str">
        <f aca="false">IF($C321="","",IF(AND($H321="",N($I321)=0,N($K321)=0),"Dòng chỉ lưu thông tin khách (chưa có đơn); ",IF($B321="","Thiếu ngày đặt; ","")&amp;IF($H321="","Thiếu tên sản phẩm; ",IF($J321="","Sản phẩm chưa có trong BẢNG GIÁ GỐC; ",""))&amp;IF(N($I321)&lt;=0,"Thiếu số lượng; ","")&amp;IF(N($K321)&lt;=0,"Thiếu giá bán; ","")&amp;IF(AND($N321&gt;0,$F321=""),"Khách lấy VAT thiếu mã số thuế; ","")&amp;IF(N($Q321)&gt;$P321,"Đã thu vượt tổng phải thu; ","")&amp;IF(AND($L321&gt;0,$U321&lt;0),"CẢNH BÁO: ĐƠN NÀY ĐANG LỖ; ","")))</f>
        <v/>
      </c>
      <c r="Y321" s="16" t="str">
        <f aca="false">IF(AND($C321&lt;&gt;"",$R321&gt;0),COUNTIFS($C$6:$C321,"&lt;&gt;",$R$6:$R321,"&gt;0"),"")</f>
        <v/>
      </c>
      <c r="Z321" s="16" t="str">
        <f aca="false">IF(AND($H321&lt;&gt;"",N($N321)&gt;0),COUNTIFS($H$6:$H321,"&lt;&gt;",$N$6:$N321,"&gt;0"),"")</f>
        <v/>
      </c>
      <c r="AA321" s="16" t="str">
        <f aca="false">IF(AND($H321&lt;&gt;"",N($N321)=0),COUNTIFS($H$6:$H321,"&lt;&gt;",$N$6:$N321,"&lt;=0"),"")</f>
        <v/>
      </c>
      <c r="AB321" s="16" t="str">
        <f aca="false">IF($C321="","",IF(COUNTIF($C$6:$C321,$C321)&gt;1,"",MAX($AB$5:AB320)+1))</f>
        <v/>
      </c>
      <c r="AC321" s="16" t="str">
        <f aca="false">IF($H321="","",IF(COUNTIF($H$6:$H321,$H321)&gt;1,"",MAX($AC$5:AC320)+1))</f>
        <v/>
      </c>
    </row>
    <row r="322" customFormat="false" ht="15" hidden="false" customHeight="false" outlineLevel="0" collapsed="false">
      <c r="A322" s="16" t="str">
        <f aca="false">IF($C322="","",COUNTA($C$6:$C322))</f>
        <v/>
      </c>
      <c r="B322" s="17"/>
      <c r="C322" s="8"/>
      <c r="D322" s="8"/>
      <c r="E322" s="8"/>
      <c r="F322" s="8"/>
      <c r="G322" s="8"/>
      <c r="H322" s="8"/>
      <c r="I322" s="9"/>
      <c r="J322" s="10" t="str">
        <f aca="false">IF($H322="","",IFERROR(VLOOKUP($H322,'BẢNG GIÁ GỐC'!$A$5:$D$204,3,FALSE()),""))</f>
        <v/>
      </c>
      <c r="K322" s="9"/>
      <c r="L322" s="10" t="str">
        <f aca="false">IF($C322="","",N($I322)*N($K322))</f>
        <v/>
      </c>
      <c r="M322" s="8"/>
      <c r="N322" s="11" t="str">
        <f aca="false">IF($C322="","",IF($M322="VAT 5%",0.05,IF($M322="VAT 8%",0.08,IF($M322="VAT 10%",0.1,0))))</f>
        <v/>
      </c>
      <c r="O322" s="10" t="str">
        <f aca="false">IF($C322="","",$L322*$N322)</f>
        <v/>
      </c>
      <c r="P322" s="10" t="str">
        <f aca="false">IF($C322="","",$L322+$O322)</f>
        <v/>
      </c>
      <c r="Q322" s="9"/>
      <c r="R322" s="10" t="str">
        <f aca="false">IF($C322="","",MAX(0,$P322-N($Q322)))</f>
        <v/>
      </c>
      <c r="S322" s="19" t="str">
        <f aca="false">IF(OR($C322="",$P322=0),"",IF(N($Q322)&lt;=0,"Chưa thanh toán",IF(N($Q322)&lt;$P322,"Thanh toán một phần","Đã thanh toán")))</f>
        <v/>
      </c>
      <c r="T322" s="10" t="str">
        <f aca="false">IF(OR($C322="",$J322=""),"",N($I322)*$J322)</f>
        <v/>
      </c>
      <c r="U322" s="10" t="str">
        <f aca="false">IF(OR($C322="",$T322=""),"",$L322-$T322)</f>
        <v/>
      </c>
      <c r="V322" s="11" t="str">
        <f aca="false">IF(OR($U322="",$L322=0),"",$U322/$L322)</f>
        <v/>
      </c>
      <c r="W322" s="8"/>
      <c r="X322" s="19" t="str">
        <f aca="false">IF($C322="","",IF(AND($H322="",N($I322)=0,N($K322)=0),"Dòng chỉ lưu thông tin khách (chưa có đơn); ",IF($B322="","Thiếu ngày đặt; ","")&amp;IF($H322="","Thiếu tên sản phẩm; ",IF($J322="","Sản phẩm chưa có trong BẢNG GIÁ GỐC; ",""))&amp;IF(N($I322)&lt;=0,"Thiếu số lượng; ","")&amp;IF(N($K322)&lt;=0,"Thiếu giá bán; ","")&amp;IF(AND($N322&gt;0,$F322=""),"Khách lấy VAT thiếu mã số thuế; ","")&amp;IF(N($Q322)&gt;$P322,"Đã thu vượt tổng phải thu; ","")&amp;IF(AND($L322&gt;0,$U322&lt;0),"CẢNH BÁO: ĐƠN NÀY ĐANG LỖ; ","")))</f>
        <v/>
      </c>
      <c r="Y322" s="16" t="str">
        <f aca="false">IF(AND($C322&lt;&gt;"",$R322&gt;0),COUNTIFS($C$6:$C322,"&lt;&gt;",$R$6:$R322,"&gt;0"),"")</f>
        <v/>
      </c>
      <c r="Z322" s="16" t="str">
        <f aca="false">IF(AND($H322&lt;&gt;"",N($N322)&gt;0),COUNTIFS($H$6:$H322,"&lt;&gt;",$N$6:$N322,"&gt;0"),"")</f>
        <v/>
      </c>
      <c r="AA322" s="16" t="str">
        <f aca="false">IF(AND($H322&lt;&gt;"",N($N322)=0),COUNTIFS($H$6:$H322,"&lt;&gt;",$N$6:$N322,"&lt;=0"),"")</f>
        <v/>
      </c>
      <c r="AB322" s="16" t="str">
        <f aca="false">IF($C322="","",IF(COUNTIF($C$6:$C322,$C322)&gt;1,"",MAX($AB$5:AB321)+1))</f>
        <v/>
      </c>
      <c r="AC322" s="16" t="str">
        <f aca="false">IF($H322="","",IF(COUNTIF($H$6:$H322,$H322)&gt;1,"",MAX($AC$5:AC321)+1))</f>
        <v/>
      </c>
    </row>
    <row r="323" customFormat="false" ht="15" hidden="false" customHeight="false" outlineLevel="0" collapsed="false">
      <c r="A323" s="16" t="str">
        <f aca="false">IF($C323="","",COUNTA($C$6:$C323))</f>
        <v/>
      </c>
      <c r="B323" s="17"/>
      <c r="C323" s="8"/>
      <c r="D323" s="8"/>
      <c r="E323" s="8"/>
      <c r="F323" s="8"/>
      <c r="G323" s="8"/>
      <c r="H323" s="8"/>
      <c r="I323" s="9"/>
      <c r="J323" s="10" t="str">
        <f aca="false">IF($H323="","",IFERROR(VLOOKUP($H323,'BẢNG GIÁ GỐC'!$A$5:$D$204,3,FALSE()),""))</f>
        <v/>
      </c>
      <c r="K323" s="9"/>
      <c r="L323" s="10" t="str">
        <f aca="false">IF($C323="","",N($I323)*N($K323))</f>
        <v/>
      </c>
      <c r="M323" s="8"/>
      <c r="N323" s="11" t="str">
        <f aca="false">IF($C323="","",IF($M323="VAT 5%",0.05,IF($M323="VAT 8%",0.08,IF($M323="VAT 10%",0.1,0))))</f>
        <v/>
      </c>
      <c r="O323" s="10" t="str">
        <f aca="false">IF($C323="","",$L323*$N323)</f>
        <v/>
      </c>
      <c r="P323" s="10" t="str">
        <f aca="false">IF($C323="","",$L323+$O323)</f>
        <v/>
      </c>
      <c r="Q323" s="9"/>
      <c r="R323" s="10" t="str">
        <f aca="false">IF($C323="","",MAX(0,$P323-N($Q323)))</f>
        <v/>
      </c>
      <c r="S323" s="19" t="str">
        <f aca="false">IF(OR($C323="",$P323=0),"",IF(N($Q323)&lt;=0,"Chưa thanh toán",IF(N($Q323)&lt;$P323,"Thanh toán một phần","Đã thanh toán")))</f>
        <v/>
      </c>
      <c r="T323" s="10" t="str">
        <f aca="false">IF(OR($C323="",$J323=""),"",N($I323)*$J323)</f>
        <v/>
      </c>
      <c r="U323" s="10" t="str">
        <f aca="false">IF(OR($C323="",$T323=""),"",$L323-$T323)</f>
        <v/>
      </c>
      <c r="V323" s="11" t="str">
        <f aca="false">IF(OR($U323="",$L323=0),"",$U323/$L323)</f>
        <v/>
      </c>
      <c r="W323" s="8"/>
      <c r="X323" s="19" t="str">
        <f aca="false">IF($C323="","",IF(AND($H323="",N($I323)=0,N($K323)=0),"Dòng chỉ lưu thông tin khách (chưa có đơn); ",IF($B323="","Thiếu ngày đặt; ","")&amp;IF($H323="","Thiếu tên sản phẩm; ",IF($J323="","Sản phẩm chưa có trong BẢNG GIÁ GỐC; ",""))&amp;IF(N($I323)&lt;=0,"Thiếu số lượng; ","")&amp;IF(N($K323)&lt;=0,"Thiếu giá bán; ","")&amp;IF(AND($N323&gt;0,$F323=""),"Khách lấy VAT thiếu mã số thuế; ","")&amp;IF(N($Q323)&gt;$P323,"Đã thu vượt tổng phải thu; ","")&amp;IF(AND($L323&gt;0,$U323&lt;0),"CẢNH BÁO: ĐƠN NÀY ĐANG LỖ; ","")))</f>
        <v/>
      </c>
      <c r="Y323" s="16" t="str">
        <f aca="false">IF(AND($C323&lt;&gt;"",$R323&gt;0),COUNTIFS($C$6:$C323,"&lt;&gt;",$R$6:$R323,"&gt;0"),"")</f>
        <v/>
      </c>
      <c r="Z323" s="16" t="str">
        <f aca="false">IF(AND($H323&lt;&gt;"",N($N323)&gt;0),COUNTIFS($H$6:$H323,"&lt;&gt;",$N$6:$N323,"&gt;0"),"")</f>
        <v/>
      </c>
      <c r="AA323" s="16" t="str">
        <f aca="false">IF(AND($H323&lt;&gt;"",N($N323)=0),COUNTIFS($H$6:$H323,"&lt;&gt;",$N$6:$N323,"&lt;=0"),"")</f>
        <v/>
      </c>
      <c r="AB323" s="16" t="str">
        <f aca="false">IF($C323="","",IF(COUNTIF($C$6:$C323,$C323)&gt;1,"",MAX($AB$5:AB322)+1))</f>
        <v/>
      </c>
      <c r="AC323" s="16" t="str">
        <f aca="false">IF($H323="","",IF(COUNTIF($H$6:$H323,$H323)&gt;1,"",MAX($AC$5:AC322)+1))</f>
        <v/>
      </c>
    </row>
    <row r="324" customFormat="false" ht="15" hidden="false" customHeight="false" outlineLevel="0" collapsed="false">
      <c r="A324" s="16" t="str">
        <f aca="false">IF($C324="","",COUNTA($C$6:$C324))</f>
        <v/>
      </c>
      <c r="B324" s="17"/>
      <c r="C324" s="8"/>
      <c r="D324" s="8"/>
      <c r="E324" s="8"/>
      <c r="F324" s="8"/>
      <c r="G324" s="8"/>
      <c r="H324" s="8"/>
      <c r="I324" s="9"/>
      <c r="J324" s="10" t="str">
        <f aca="false">IF($H324="","",IFERROR(VLOOKUP($H324,'BẢNG GIÁ GỐC'!$A$5:$D$204,3,FALSE()),""))</f>
        <v/>
      </c>
      <c r="K324" s="9"/>
      <c r="L324" s="10" t="str">
        <f aca="false">IF($C324="","",N($I324)*N($K324))</f>
        <v/>
      </c>
      <c r="M324" s="8"/>
      <c r="N324" s="11" t="str">
        <f aca="false">IF($C324="","",IF($M324="VAT 5%",0.05,IF($M324="VAT 8%",0.08,IF($M324="VAT 10%",0.1,0))))</f>
        <v/>
      </c>
      <c r="O324" s="10" t="str">
        <f aca="false">IF($C324="","",$L324*$N324)</f>
        <v/>
      </c>
      <c r="P324" s="10" t="str">
        <f aca="false">IF($C324="","",$L324+$O324)</f>
        <v/>
      </c>
      <c r="Q324" s="9"/>
      <c r="R324" s="10" t="str">
        <f aca="false">IF($C324="","",MAX(0,$P324-N($Q324)))</f>
        <v/>
      </c>
      <c r="S324" s="19" t="str">
        <f aca="false">IF(OR($C324="",$P324=0),"",IF(N($Q324)&lt;=0,"Chưa thanh toán",IF(N($Q324)&lt;$P324,"Thanh toán một phần","Đã thanh toán")))</f>
        <v/>
      </c>
      <c r="T324" s="10" t="str">
        <f aca="false">IF(OR($C324="",$J324=""),"",N($I324)*$J324)</f>
        <v/>
      </c>
      <c r="U324" s="10" t="str">
        <f aca="false">IF(OR($C324="",$T324=""),"",$L324-$T324)</f>
        <v/>
      </c>
      <c r="V324" s="11" t="str">
        <f aca="false">IF(OR($U324="",$L324=0),"",$U324/$L324)</f>
        <v/>
      </c>
      <c r="W324" s="8"/>
      <c r="X324" s="19" t="str">
        <f aca="false">IF($C324="","",IF(AND($H324="",N($I324)=0,N($K324)=0),"Dòng chỉ lưu thông tin khách (chưa có đơn); ",IF($B324="","Thiếu ngày đặt; ","")&amp;IF($H324="","Thiếu tên sản phẩm; ",IF($J324="","Sản phẩm chưa có trong BẢNG GIÁ GỐC; ",""))&amp;IF(N($I324)&lt;=0,"Thiếu số lượng; ","")&amp;IF(N($K324)&lt;=0,"Thiếu giá bán; ","")&amp;IF(AND($N324&gt;0,$F324=""),"Khách lấy VAT thiếu mã số thuế; ","")&amp;IF(N($Q324)&gt;$P324,"Đã thu vượt tổng phải thu; ","")&amp;IF(AND($L324&gt;0,$U324&lt;0),"CẢNH BÁO: ĐƠN NÀY ĐANG LỖ; ","")))</f>
        <v/>
      </c>
      <c r="Y324" s="16" t="str">
        <f aca="false">IF(AND($C324&lt;&gt;"",$R324&gt;0),COUNTIFS($C$6:$C324,"&lt;&gt;",$R$6:$R324,"&gt;0"),"")</f>
        <v/>
      </c>
      <c r="Z324" s="16" t="str">
        <f aca="false">IF(AND($H324&lt;&gt;"",N($N324)&gt;0),COUNTIFS($H$6:$H324,"&lt;&gt;",$N$6:$N324,"&gt;0"),"")</f>
        <v/>
      </c>
      <c r="AA324" s="16" t="str">
        <f aca="false">IF(AND($H324&lt;&gt;"",N($N324)=0),COUNTIFS($H$6:$H324,"&lt;&gt;",$N$6:$N324,"&lt;=0"),"")</f>
        <v/>
      </c>
      <c r="AB324" s="16" t="str">
        <f aca="false">IF($C324="","",IF(COUNTIF($C$6:$C324,$C324)&gt;1,"",MAX($AB$5:AB323)+1))</f>
        <v/>
      </c>
      <c r="AC324" s="16" t="str">
        <f aca="false">IF($H324="","",IF(COUNTIF($H$6:$H324,$H324)&gt;1,"",MAX($AC$5:AC323)+1))</f>
        <v/>
      </c>
    </row>
    <row r="325" customFormat="false" ht="15" hidden="false" customHeight="false" outlineLevel="0" collapsed="false">
      <c r="A325" s="16" t="str">
        <f aca="false">IF($C325="","",COUNTA($C$6:$C325))</f>
        <v/>
      </c>
      <c r="B325" s="17"/>
      <c r="C325" s="8"/>
      <c r="D325" s="8"/>
      <c r="E325" s="8"/>
      <c r="F325" s="8"/>
      <c r="G325" s="8"/>
      <c r="H325" s="8"/>
      <c r="I325" s="9"/>
      <c r="J325" s="10" t="str">
        <f aca="false">IF($H325="","",IFERROR(VLOOKUP($H325,'BẢNG GIÁ GỐC'!$A$5:$D$204,3,FALSE()),""))</f>
        <v/>
      </c>
      <c r="K325" s="9"/>
      <c r="L325" s="10" t="str">
        <f aca="false">IF($C325="","",N($I325)*N($K325))</f>
        <v/>
      </c>
      <c r="M325" s="8"/>
      <c r="N325" s="11" t="str">
        <f aca="false">IF($C325="","",IF($M325="VAT 5%",0.05,IF($M325="VAT 8%",0.08,IF($M325="VAT 10%",0.1,0))))</f>
        <v/>
      </c>
      <c r="O325" s="10" t="str">
        <f aca="false">IF($C325="","",$L325*$N325)</f>
        <v/>
      </c>
      <c r="P325" s="10" t="str">
        <f aca="false">IF($C325="","",$L325+$O325)</f>
        <v/>
      </c>
      <c r="Q325" s="9"/>
      <c r="R325" s="10" t="str">
        <f aca="false">IF($C325="","",MAX(0,$P325-N($Q325)))</f>
        <v/>
      </c>
      <c r="S325" s="19" t="str">
        <f aca="false">IF(OR($C325="",$P325=0),"",IF(N($Q325)&lt;=0,"Chưa thanh toán",IF(N($Q325)&lt;$P325,"Thanh toán một phần","Đã thanh toán")))</f>
        <v/>
      </c>
      <c r="T325" s="10" t="str">
        <f aca="false">IF(OR($C325="",$J325=""),"",N($I325)*$J325)</f>
        <v/>
      </c>
      <c r="U325" s="10" t="str">
        <f aca="false">IF(OR($C325="",$T325=""),"",$L325-$T325)</f>
        <v/>
      </c>
      <c r="V325" s="11" t="str">
        <f aca="false">IF(OR($U325="",$L325=0),"",$U325/$L325)</f>
        <v/>
      </c>
      <c r="W325" s="8"/>
      <c r="X325" s="19" t="str">
        <f aca="false">IF($C325="","",IF(AND($H325="",N($I325)=0,N($K325)=0),"Dòng chỉ lưu thông tin khách (chưa có đơn); ",IF($B325="","Thiếu ngày đặt; ","")&amp;IF($H325="","Thiếu tên sản phẩm; ",IF($J325="","Sản phẩm chưa có trong BẢNG GIÁ GỐC; ",""))&amp;IF(N($I325)&lt;=0,"Thiếu số lượng; ","")&amp;IF(N($K325)&lt;=0,"Thiếu giá bán; ","")&amp;IF(AND($N325&gt;0,$F325=""),"Khách lấy VAT thiếu mã số thuế; ","")&amp;IF(N($Q325)&gt;$P325,"Đã thu vượt tổng phải thu; ","")&amp;IF(AND($L325&gt;0,$U325&lt;0),"CẢNH BÁO: ĐƠN NÀY ĐANG LỖ; ","")))</f>
        <v/>
      </c>
      <c r="Y325" s="16" t="str">
        <f aca="false">IF(AND($C325&lt;&gt;"",$R325&gt;0),COUNTIFS($C$6:$C325,"&lt;&gt;",$R$6:$R325,"&gt;0"),"")</f>
        <v/>
      </c>
      <c r="Z325" s="16" t="str">
        <f aca="false">IF(AND($H325&lt;&gt;"",N($N325)&gt;0),COUNTIFS($H$6:$H325,"&lt;&gt;",$N$6:$N325,"&gt;0"),"")</f>
        <v/>
      </c>
      <c r="AA325" s="16" t="str">
        <f aca="false">IF(AND($H325&lt;&gt;"",N($N325)=0),COUNTIFS($H$6:$H325,"&lt;&gt;",$N$6:$N325,"&lt;=0"),"")</f>
        <v/>
      </c>
      <c r="AB325" s="16" t="str">
        <f aca="false">IF($C325="","",IF(COUNTIF($C$6:$C325,$C325)&gt;1,"",MAX($AB$5:AB324)+1))</f>
        <v/>
      </c>
      <c r="AC325" s="16" t="str">
        <f aca="false">IF($H325="","",IF(COUNTIF($H$6:$H325,$H325)&gt;1,"",MAX($AC$5:AC324)+1))</f>
        <v/>
      </c>
    </row>
    <row r="326" customFormat="false" ht="15" hidden="false" customHeight="false" outlineLevel="0" collapsed="false">
      <c r="A326" s="16" t="str">
        <f aca="false">IF($C326="","",COUNTA($C$6:$C326))</f>
        <v/>
      </c>
      <c r="B326" s="17"/>
      <c r="C326" s="8"/>
      <c r="D326" s="8"/>
      <c r="E326" s="8"/>
      <c r="F326" s="8"/>
      <c r="G326" s="8"/>
      <c r="H326" s="8"/>
      <c r="I326" s="9"/>
      <c r="J326" s="10" t="str">
        <f aca="false">IF($H326="","",IFERROR(VLOOKUP($H326,'BẢNG GIÁ GỐC'!$A$5:$D$204,3,FALSE()),""))</f>
        <v/>
      </c>
      <c r="K326" s="9"/>
      <c r="L326" s="10" t="str">
        <f aca="false">IF($C326="","",N($I326)*N($K326))</f>
        <v/>
      </c>
      <c r="M326" s="8"/>
      <c r="N326" s="11" t="str">
        <f aca="false">IF($C326="","",IF($M326="VAT 5%",0.05,IF($M326="VAT 8%",0.08,IF($M326="VAT 10%",0.1,0))))</f>
        <v/>
      </c>
      <c r="O326" s="10" t="str">
        <f aca="false">IF($C326="","",$L326*$N326)</f>
        <v/>
      </c>
      <c r="P326" s="10" t="str">
        <f aca="false">IF($C326="","",$L326+$O326)</f>
        <v/>
      </c>
      <c r="Q326" s="9"/>
      <c r="R326" s="10" t="str">
        <f aca="false">IF($C326="","",MAX(0,$P326-N($Q326)))</f>
        <v/>
      </c>
      <c r="S326" s="19" t="str">
        <f aca="false">IF(OR($C326="",$P326=0),"",IF(N($Q326)&lt;=0,"Chưa thanh toán",IF(N($Q326)&lt;$P326,"Thanh toán một phần","Đã thanh toán")))</f>
        <v/>
      </c>
      <c r="T326" s="10" t="str">
        <f aca="false">IF(OR($C326="",$J326=""),"",N($I326)*$J326)</f>
        <v/>
      </c>
      <c r="U326" s="10" t="str">
        <f aca="false">IF(OR($C326="",$T326=""),"",$L326-$T326)</f>
        <v/>
      </c>
      <c r="V326" s="11" t="str">
        <f aca="false">IF(OR($U326="",$L326=0),"",$U326/$L326)</f>
        <v/>
      </c>
      <c r="W326" s="8"/>
      <c r="X326" s="19" t="str">
        <f aca="false">IF($C326="","",IF(AND($H326="",N($I326)=0,N($K326)=0),"Dòng chỉ lưu thông tin khách (chưa có đơn); ",IF($B326="","Thiếu ngày đặt; ","")&amp;IF($H326="","Thiếu tên sản phẩm; ",IF($J326="","Sản phẩm chưa có trong BẢNG GIÁ GỐC; ",""))&amp;IF(N($I326)&lt;=0,"Thiếu số lượng; ","")&amp;IF(N($K326)&lt;=0,"Thiếu giá bán; ","")&amp;IF(AND($N326&gt;0,$F326=""),"Khách lấy VAT thiếu mã số thuế; ","")&amp;IF(N($Q326)&gt;$P326,"Đã thu vượt tổng phải thu; ","")&amp;IF(AND($L326&gt;0,$U326&lt;0),"CẢNH BÁO: ĐƠN NÀY ĐANG LỖ; ","")))</f>
        <v/>
      </c>
      <c r="Y326" s="16" t="str">
        <f aca="false">IF(AND($C326&lt;&gt;"",$R326&gt;0),COUNTIFS($C$6:$C326,"&lt;&gt;",$R$6:$R326,"&gt;0"),"")</f>
        <v/>
      </c>
      <c r="Z326" s="16" t="str">
        <f aca="false">IF(AND($H326&lt;&gt;"",N($N326)&gt;0),COUNTIFS($H$6:$H326,"&lt;&gt;",$N$6:$N326,"&gt;0"),"")</f>
        <v/>
      </c>
      <c r="AA326" s="16" t="str">
        <f aca="false">IF(AND($H326&lt;&gt;"",N($N326)=0),COUNTIFS($H$6:$H326,"&lt;&gt;",$N$6:$N326,"&lt;=0"),"")</f>
        <v/>
      </c>
      <c r="AB326" s="16" t="str">
        <f aca="false">IF($C326="","",IF(COUNTIF($C$6:$C326,$C326)&gt;1,"",MAX($AB$5:AB325)+1))</f>
        <v/>
      </c>
      <c r="AC326" s="16" t="str">
        <f aca="false">IF($H326="","",IF(COUNTIF($H$6:$H326,$H326)&gt;1,"",MAX($AC$5:AC325)+1))</f>
        <v/>
      </c>
    </row>
    <row r="327" customFormat="false" ht="15" hidden="false" customHeight="false" outlineLevel="0" collapsed="false">
      <c r="A327" s="16" t="str">
        <f aca="false">IF($C327="","",COUNTA($C$6:$C327))</f>
        <v/>
      </c>
      <c r="B327" s="17"/>
      <c r="C327" s="8"/>
      <c r="D327" s="8"/>
      <c r="E327" s="8"/>
      <c r="F327" s="8"/>
      <c r="G327" s="8"/>
      <c r="H327" s="8"/>
      <c r="I327" s="9"/>
      <c r="J327" s="10" t="str">
        <f aca="false">IF($H327="","",IFERROR(VLOOKUP($H327,'BẢNG GIÁ GỐC'!$A$5:$D$204,3,FALSE()),""))</f>
        <v/>
      </c>
      <c r="K327" s="9"/>
      <c r="L327" s="10" t="str">
        <f aca="false">IF($C327="","",N($I327)*N($K327))</f>
        <v/>
      </c>
      <c r="M327" s="8"/>
      <c r="N327" s="11" t="str">
        <f aca="false">IF($C327="","",IF($M327="VAT 5%",0.05,IF($M327="VAT 8%",0.08,IF($M327="VAT 10%",0.1,0))))</f>
        <v/>
      </c>
      <c r="O327" s="10" t="str">
        <f aca="false">IF($C327="","",$L327*$N327)</f>
        <v/>
      </c>
      <c r="P327" s="10" t="str">
        <f aca="false">IF($C327="","",$L327+$O327)</f>
        <v/>
      </c>
      <c r="Q327" s="9"/>
      <c r="R327" s="10" t="str">
        <f aca="false">IF($C327="","",MAX(0,$P327-N($Q327)))</f>
        <v/>
      </c>
      <c r="S327" s="19" t="str">
        <f aca="false">IF(OR($C327="",$P327=0),"",IF(N($Q327)&lt;=0,"Chưa thanh toán",IF(N($Q327)&lt;$P327,"Thanh toán một phần","Đã thanh toán")))</f>
        <v/>
      </c>
      <c r="T327" s="10" t="str">
        <f aca="false">IF(OR($C327="",$J327=""),"",N($I327)*$J327)</f>
        <v/>
      </c>
      <c r="U327" s="10" t="str">
        <f aca="false">IF(OR($C327="",$T327=""),"",$L327-$T327)</f>
        <v/>
      </c>
      <c r="V327" s="11" t="str">
        <f aca="false">IF(OR($U327="",$L327=0),"",$U327/$L327)</f>
        <v/>
      </c>
      <c r="W327" s="8"/>
      <c r="X327" s="19" t="str">
        <f aca="false">IF($C327="","",IF(AND($H327="",N($I327)=0,N($K327)=0),"Dòng chỉ lưu thông tin khách (chưa có đơn); ",IF($B327="","Thiếu ngày đặt; ","")&amp;IF($H327="","Thiếu tên sản phẩm; ",IF($J327="","Sản phẩm chưa có trong BẢNG GIÁ GỐC; ",""))&amp;IF(N($I327)&lt;=0,"Thiếu số lượng; ","")&amp;IF(N($K327)&lt;=0,"Thiếu giá bán; ","")&amp;IF(AND($N327&gt;0,$F327=""),"Khách lấy VAT thiếu mã số thuế; ","")&amp;IF(N($Q327)&gt;$P327,"Đã thu vượt tổng phải thu; ","")&amp;IF(AND($L327&gt;0,$U327&lt;0),"CẢNH BÁO: ĐƠN NÀY ĐANG LỖ; ","")))</f>
        <v/>
      </c>
      <c r="Y327" s="16" t="str">
        <f aca="false">IF(AND($C327&lt;&gt;"",$R327&gt;0),COUNTIFS($C$6:$C327,"&lt;&gt;",$R$6:$R327,"&gt;0"),"")</f>
        <v/>
      </c>
      <c r="Z327" s="16" t="str">
        <f aca="false">IF(AND($H327&lt;&gt;"",N($N327)&gt;0),COUNTIFS($H$6:$H327,"&lt;&gt;",$N$6:$N327,"&gt;0"),"")</f>
        <v/>
      </c>
      <c r="AA327" s="16" t="str">
        <f aca="false">IF(AND($H327&lt;&gt;"",N($N327)=0),COUNTIFS($H$6:$H327,"&lt;&gt;",$N$6:$N327,"&lt;=0"),"")</f>
        <v/>
      </c>
      <c r="AB327" s="16" t="str">
        <f aca="false">IF($C327="","",IF(COUNTIF($C$6:$C327,$C327)&gt;1,"",MAX($AB$5:AB326)+1))</f>
        <v/>
      </c>
      <c r="AC327" s="16" t="str">
        <f aca="false">IF($H327="","",IF(COUNTIF($H$6:$H327,$H327)&gt;1,"",MAX($AC$5:AC326)+1))</f>
        <v/>
      </c>
    </row>
    <row r="328" customFormat="false" ht="15" hidden="false" customHeight="false" outlineLevel="0" collapsed="false">
      <c r="A328" s="16" t="str">
        <f aca="false">IF($C328="","",COUNTA($C$6:$C328))</f>
        <v/>
      </c>
      <c r="B328" s="17"/>
      <c r="C328" s="8"/>
      <c r="D328" s="8"/>
      <c r="E328" s="8"/>
      <c r="F328" s="8"/>
      <c r="G328" s="8"/>
      <c r="H328" s="8"/>
      <c r="I328" s="9"/>
      <c r="J328" s="10" t="str">
        <f aca="false">IF($H328="","",IFERROR(VLOOKUP($H328,'BẢNG GIÁ GỐC'!$A$5:$D$204,3,FALSE()),""))</f>
        <v/>
      </c>
      <c r="K328" s="9"/>
      <c r="L328" s="10" t="str">
        <f aca="false">IF($C328="","",N($I328)*N($K328))</f>
        <v/>
      </c>
      <c r="M328" s="8"/>
      <c r="N328" s="11" t="str">
        <f aca="false">IF($C328="","",IF($M328="VAT 5%",0.05,IF($M328="VAT 8%",0.08,IF($M328="VAT 10%",0.1,0))))</f>
        <v/>
      </c>
      <c r="O328" s="10" t="str">
        <f aca="false">IF($C328="","",$L328*$N328)</f>
        <v/>
      </c>
      <c r="P328" s="10" t="str">
        <f aca="false">IF($C328="","",$L328+$O328)</f>
        <v/>
      </c>
      <c r="Q328" s="9"/>
      <c r="R328" s="10" t="str">
        <f aca="false">IF($C328="","",MAX(0,$P328-N($Q328)))</f>
        <v/>
      </c>
      <c r="S328" s="19" t="str">
        <f aca="false">IF(OR($C328="",$P328=0),"",IF(N($Q328)&lt;=0,"Chưa thanh toán",IF(N($Q328)&lt;$P328,"Thanh toán một phần","Đã thanh toán")))</f>
        <v/>
      </c>
      <c r="T328" s="10" t="str">
        <f aca="false">IF(OR($C328="",$J328=""),"",N($I328)*$J328)</f>
        <v/>
      </c>
      <c r="U328" s="10" t="str">
        <f aca="false">IF(OR($C328="",$T328=""),"",$L328-$T328)</f>
        <v/>
      </c>
      <c r="V328" s="11" t="str">
        <f aca="false">IF(OR($U328="",$L328=0),"",$U328/$L328)</f>
        <v/>
      </c>
      <c r="W328" s="8"/>
      <c r="X328" s="19" t="str">
        <f aca="false">IF($C328="","",IF(AND($H328="",N($I328)=0,N($K328)=0),"Dòng chỉ lưu thông tin khách (chưa có đơn); ",IF($B328="","Thiếu ngày đặt; ","")&amp;IF($H328="","Thiếu tên sản phẩm; ",IF($J328="","Sản phẩm chưa có trong BẢNG GIÁ GỐC; ",""))&amp;IF(N($I328)&lt;=0,"Thiếu số lượng; ","")&amp;IF(N($K328)&lt;=0,"Thiếu giá bán; ","")&amp;IF(AND($N328&gt;0,$F328=""),"Khách lấy VAT thiếu mã số thuế; ","")&amp;IF(N($Q328)&gt;$P328,"Đã thu vượt tổng phải thu; ","")&amp;IF(AND($L328&gt;0,$U328&lt;0),"CẢNH BÁO: ĐƠN NÀY ĐANG LỖ; ","")))</f>
        <v/>
      </c>
      <c r="Y328" s="16" t="str">
        <f aca="false">IF(AND($C328&lt;&gt;"",$R328&gt;0),COUNTIFS($C$6:$C328,"&lt;&gt;",$R$6:$R328,"&gt;0"),"")</f>
        <v/>
      </c>
      <c r="Z328" s="16" t="str">
        <f aca="false">IF(AND($H328&lt;&gt;"",N($N328)&gt;0),COUNTIFS($H$6:$H328,"&lt;&gt;",$N$6:$N328,"&gt;0"),"")</f>
        <v/>
      </c>
      <c r="AA328" s="16" t="str">
        <f aca="false">IF(AND($H328&lt;&gt;"",N($N328)=0),COUNTIFS($H$6:$H328,"&lt;&gt;",$N$6:$N328,"&lt;=0"),"")</f>
        <v/>
      </c>
      <c r="AB328" s="16" t="str">
        <f aca="false">IF($C328="","",IF(COUNTIF($C$6:$C328,$C328)&gt;1,"",MAX($AB$5:AB327)+1))</f>
        <v/>
      </c>
      <c r="AC328" s="16" t="str">
        <f aca="false">IF($H328="","",IF(COUNTIF($H$6:$H328,$H328)&gt;1,"",MAX($AC$5:AC327)+1))</f>
        <v/>
      </c>
    </row>
    <row r="329" customFormat="false" ht="15" hidden="false" customHeight="false" outlineLevel="0" collapsed="false">
      <c r="A329" s="16" t="str">
        <f aca="false">IF($C329="","",COUNTA($C$6:$C329))</f>
        <v/>
      </c>
      <c r="B329" s="17"/>
      <c r="C329" s="8"/>
      <c r="D329" s="8"/>
      <c r="E329" s="8"/>
      <c r="F329" s="8"/>
      <c r="G329" s="8"/>
      <c r="H329" s="8"/>
      <c r="I329" s="9"/>
      <c r="J329" s="10" t="str">
        <f aca="false">IF($H329="","",IFERROR(VLOOKUP($H329,'BẢNG GIÁ GỐC'!$A$5:$D$204,3,FALSE()),""))</f>
        <v/>
      </c>
      <c r="K329" s="9"/>
      <c r="L329" s="10" t="str">
        <f aca="false">IF($C329="","",N($I329)*N($K329))</f>
        <v/>
      </c>
      <c r="M329" s="8"/>
      <c r="N329" s="11" t="str">
        <f aca="false">IF($C329="","",IF($M329="VAT 5%",0.05,IF($M329="VAT 8%",0.08,IF($M329="VAT 10%",0.1,0))))</f>
        <v/>
      </c>
      <c r="O329" s="10" t="str">
        <f aca="false">IF($C329="","",$L329*$N329)</f>
        <v/>
      </c>
      <c r="P329" s="10" t="str">
        <f aca="false">IF($C329="","",$L329+$O329)</f>
        <v/>
      </c>
      <c r="Q329" s="9"/>
      <c r="R329" s="10" t="str">
        <f aca="false">IF($C329="","",MAX(0,$P329-N($Q329)))</f>
        <v/>
      </c>
      <c r="S329" s="19" t="str">
        <f aca="false">IF(OR($C329="",$P329=0),"",IF(N($Q329)&lt;=0,"Chưa thanh toán",IF(N($Q329)&lt;$P329,"Thanh toán một phần","Đã thanh toán")))</f>
        <v/>
      </c>
      <c r="T329" s="10" t="str">
        <f aca="false">IF(OR($C329="",$J329=""),"",N($I329)*$J329)</f>
        <v/>
      </c>
      <c r="U329" s="10" t="str">
        <f aca="false">IF(OR($C329="",$T329=""),"",$L329-$T329)</f>
        <v/>
      </c>
      <c r="V329" s="11" t="str">
        <f aca="false">IF(OR($U329="",$L329=0),"",$U329/$L329)</f>
        <v/>
      </c>
      <c r="W329" s="8"/>
      <c r="X329" s="19" t="str">
        <f aca="false">IF($C329="","",IF(AND($H329="",N($I329)=0,N($K329)=0),"Dòng chỉ lưu thông tin khách (chưa có đơn); ",IF($B329="","Thiếu ngày đặt; ","")&amp;IF($H329="","Thiếu tên sản phẩm; ",IF($J329="","Sản phẩm chưa có trong BẢNG GIÁ GỐC; ",""))&amp;IF(N($I329)&lt;=0,"Thiếu số lượng; ","")&amp;IF(N($K329)&lt;=0,"Thiếu giá bán; ","")&amp;IF(AND($N329&gt;0,$F329=""),"Khách lấy VAT thiếu mã số thuế; ","")&amp;IF(N($Q329)&gt;$P329,"Đã thu vượt tổng phải thu; ","")&amp;IF(AND($L329&gt;0,$U329&lt;0),"CẢNH BÁO: ĐƠN NÀY ĐANG LỖ; ","")))</f>
        <v/>
      </c>
      <c r="Y329" s="16" t="str">
        <f aca="false">IF(AND($C329&lt;&gt;"",$R329&gt;0),COUNTIFS($C$6:$C329,"&lt;&gt;",$R$6:$R329,"&gt;0"),"")</f>
        <v/>
      </c>
      <c r="Z329" s="16" t="str">
        <f aca="false">IF(AND($H329&lt;&gt;"",N($N329)&gt;0),COUNTIFS($H$6:$H329,"&lt;&gt;",$N$6:$N329,"&gt;0"),"")</f>
        <v/>
      </c>
      <c r="AA329" s="16" t="str">
        <f aca="false">IF(AND($H329&lt;&gt;"",N($N329)=0),COUNTIFS($H$6:$H329,"&lt;&gt;",$N$6:$N329,"&lt;=0"),"")</f>
        <v/>
      </c>
      <c r="AB329" s="16" t="str">
        <f aca="false">IF($C329="","",IF(COUNTIF($C$6:$C329,$C329)&gt;1,"",MAX($AB$5:AB328)+1))</f>
        <v/>
      </c>
      <c r="AC329" s="16" t="str">
        <f aca="false">IF($H329="","",IF(COUNTIF($H$6:$H329,$H329)&gt;1,"",MAX($AC$5:AC328)+1))</f>
        <v/>
      </c>
    </row>
    <row r="330" customFormat="false" ht="15" hidden="false" customHeight="false" outlineLevel="0" collapsed="false">
      <c r="A330" s="16" t="str">
        <f aca="false">IF($C330="","",COUNTA($C$6:$C330))</f>
        <v/>
      </c>
      <c r="B330" s="17"/>
      <c r="C330" s="8"/>
      <c r="D330" s="8"/>
      <c r="E330" s="8"/>
      <c r="F330" s="8"/>
      <c r="G330" s="8"/>
      <c r="H330" s="8"/>
      <c r="I330" s="9"/>
      <c r="J330" s="10" t="str">
        <f aca="false">IF($H330="","",IFERROR(VLOOKUP($H330,'BẢNG GIÁ GỐC'!$A$5:$D$204,3,FALSE()),""))</f>
        <v/>
      </c>
      <c r="K330" s="9"/>
      <c r="L330" s="10" t="str">
        <f aca="false">IF($C330="","",N($I330)*N($K330))</f>
        <v/>
      </c>
      <c r="M330" s="8"/>
      <c r="N330" s="11" t="str">
        <f aca="false">IF($C330="","",IF($M330="VAT 5%",0.05,IF($M330="VAT 8%",0.08,IF($M330="VAT 10%",0.1,0))))</f>
        <v/>
      </c>
      <c r="O330" s="10" t="str">
        <f aca="false">IF($C330="","",$L330*$N330)</f>
        <v/>
      </c>
      <c r="P330" s="10" t="str">
        <f aca="false">IF($C330="","",$L330+$O330)</f>
        <v/>
      </c>
      <c r="Q330" s="9"/>
      <c r="R330" s="10" t="str">
        <f aca="false">IF($C330="","",MAX(0,$P330-N($Q330)))</f>
        <v/>
      </c>
      <c r="S330" s="19" t="str">
        <f aca="false">IF(OR($C330="",$P330=0),"",IF(N($Q330)&lt;=0,"Chưa thanh toán",IF(N($Q330)&lt;$P330,"Thanh toán một phần","Đã thanh toán")))</f>
        <v/>
      </c>
      <c r="T330" s="10" t="str">
        <f aca="false">IF(OR($C330="",$J330=""),"",N($I330)*$J330)</f>
        <v/>
      </c>
      <c r="U330" s="10" t="str">
        <f aca="false">IF(OR($C330="",$T330=""),"",$L330-$T330)</f>
        <v/>
      </c>
      <c r="V330" s="11" t="str">
        <f aca="false">IF(OR($U330="",$L330=0),"",$U330/$L330)</f>
        <v/>
      </c>
      <c r="W330" s="8"/>
      <c r="X330" s="19" t="str">
        <f aca="false">IF($C330="","",IF(AND($H330="",N($I330)=0,N($K330)=0),"Dòng chỉ lưu thông tin khách (chưa có đơn); ",IF($B330="","Thiếu ngày đặt; ","")&amp;IF($H330="","Thiếu tên sản phẩm; ",IF($J330="","Sản phẩm chưa có trong BẢNG GIÁ GỐC; ",""))&amp;IF(N($I330)&lt;=0,"Thiếu số lượng; ","")&amp;IF(N($K330)&lt;=0,"Thiếu giá bán; ","")&amp;IF(AND($N330&gt;0,$F330=""),"Khách lấy VAT thiếu mã số thuế; ","")&amp;IF(N($Q330)&gt;$P330,"Đã thu vượt tổng phải thu; ","")&amp;IF(AND($L330&gt;0,$U330&lt;0),"CẢNH BÁO: ĐƠN NÀY ĐANG LỖ; ","")))</f>
        <v/>
      </c>
      <c r="Y330" s="16" t="str">
        <f aca="false">IF(AND($C330&lt;&gt;"",$R330&gt;0),COUNTIFS($C$6:$C330,"&lt;&gt;",$R$6:$R330,"&gt;0"),"")</f>
        <v/>
      </c>
      <c r="Z330" s="16" t="str">
        <f aca="false">IF(AND($H330&lt;&gt;"",N($N330)&gt;0),COUNTIFS($H$6:$H330,"&lt;&gt;",$N$6:$N330,"&gt;0"),"")</f>
        <v/>
      </c>
      <c r="AA330" s="16" t="str">
        <f aca="false">IF(AND($H330&lt;&gt;"",N($N330)=0),COUNTIFS($H$6:$H330,"&lt;&gt;",$N$6:$N330,"&lt;=0"),"")</f>
        <v/>
      </c>
      <c r="AB330" s="16" t="str">
        <f aca="false">IF($C330="","",IF(COUNTIF($C$6:$C330,$C330)&gt;1,"",MAX($AB$5:AB329)+1))</f>
        <v/>
      </c>
      <c r="AC330" s="16" t="str">
        <f aca="false">IF($H330="","",IF(COUNTIF($H$6:$H330,$H330)&gt;1,"",MAX($AC$5:AC329)+1))</f>
        <v/>
      </c>
    </row>
    <row r="331" customFormat="false" ht="15" hidden="false" customHeight="false" outlineLevel="0" collapsed="false">
      <c r="A331" s="16" t="str">
        <f aca="false">IF($C331="","",COUNTA($C$6:$C331))</f>
        <v/>
      </c>
      <c r="B331" s="17"/>
      <c r="C331" s="8"/>
      <c r="D331" s="8"/>
      <c r="E331" s="8"/>
      <c r="F331" s="8"/>
      <c r="G331" s="8"/>
      <c r="H331" s="8"/>
      <c r="I331" s="9"/>
      <c r="J331" s="10" t="str">
        <f aca="false">IF($H331="","",IFERROR(VLOOKUP($H331,'BẢNG GIÁ GỐC'!$A$5:$D$204,3,FALSE()),""))</f>
        <v/>
      </c>
      <c r="K331" s="9"/>
      <c r="L331" s="10" t="str">
        <f aca="false">IF($C331="","",N($I331)*N($K331))</f>
        <v/>
      </c>
      <c r="M331" s="8"/>
      <c r="N331" s="11" t="str">
        <f aca="false">IF($C331="","",IF($M331="VAT 5%",0.05,IF($M331="VAT 8%",0.08,IF($M331="VAT 10%",0.1,0))))</f>
        <v/>
      </c>
      <c r="O331" s="10" t="str">
        <f aca="false">IF($C331="","",$L331*$N331)</f>
        <v/>
      </c>
      <c r="P331" s="10" t="str">
        <f aca="false">IF($C331="","",$L331+$O331)</f>
        <v/>
      </c>
      <c r="Q331" s="9"/>
      <c r="R331" s="10" t="str">
        <f aca="false">IF($C331="","",MAX(0,$P331-N($Q331)))</f>
        <v/>
      </c>
      <c r="S331" s="19" t="str">
        <f aca="false">IF(OR($C331="",$P331=0),"",IF(N($Q331)&lt;=0,"Chưa thanh toán",IF(N($Q331)&lt;$P331,"Thanh toán một phần","Đã thanh toán")))</f>
        <v/>
      </c>
      <c r="T331" s="10" t="str">
        <f aca="false">IF(OR($C331="",$J331=""),"",N($I331)*$J331)</f>
        <v/>
      </c>
      <c r="U331" s="10" t="str">
        <f aca="false">IF(OR($C331="",$T331=""),"",$L331-$T331)</f>
        <v/>
      </c>
      <c r="V331" s="11" t="str">
        <f aca="false">IF(OR($U331="",$L331=0),"",$U331/$L331)</f>
        <v/>
      </c>
      <c r="W331" s="8"/>
      <c r="X331" s="19" t="str">
        <f aca="false">IF($C331="","",IF(AND($H331="",N($I331)=0,N($K331)=0),"Dòng chỉ lưu thông tin khách (chưa có đơn); ",IF($B331="","Thiếu ngày đặt; ","")&amp;IF($H331="","Thiếu tên sản phẩm; ",IF($J331="","Sản phẩm chưa có trong BẢNG GIÁ GỐC; ",""))&amp;IF(N($I331)&lt;=0,"Thiếu số lượng; ","")&amp;IF(N($K331)&lt;=0,"Thiếu giá bán; ","")&amp;IF(AND($N331&gt;0,$F331=""),"Khách lấy VAT thiếu mã số thuế; ","")&amp;IF(N($Q331)&gt;$P331,"Đã thu vượt tổng phải thu; ","")&amp;IF(AND($L331&gt;0,$U331&lt;0),"CẢNH BÁO: ĐƠN NÀY ĐANG LỖ; ","")))</f>
        <v/>
      </c>
      <c r="Y331" s="16" t="str">
        <f aca="false">IF(AND($C331&lt;&gt;"",$R331&gt;0),COUNTIFS($C$6:$C331,"&lt;&gt;",$R$6:$R331,"&gt;0"),"")</f>
        <v/>
      </c>
      <c r="Z331" s="16" t="str">
        <f aca="false">IF(AND($H331&lt;&gt;"",N($N331)&gt;0),COUNTIFS($H$6:$H331,"&lt;&gt;",$N$6:$N331,"&gt;0"),"")</f>
        <v/>
      </c>
      <c r="AA331" s="16" t="str">
        <f aca="false">IF(AND($H331&lt;&gt;"",N($N331)=0),COUNTIFS($H$6:$H331,"&lt;&gt;",$N$6:$N331,"&lt;=0"),"")</f>
        <v/>
      </c>
      <c r="AB331" s="16" t="str">
        <f aca="false">IF($C331="","",IF(COUNTIF($C$6:$C331,$C331)&gt;1,"",MAX($AB$5:AB330)+1))</f>
        <v/>
      </c>
      <c r="AC331" s="16" t="str">
        <f aca="false">IF($H331="","",IF(COUNTIF($H$6:$H331,$H331)&gt;1,"",MAX($AC$5:AC330)+1))</f>
        <v/>
      </c>
    </row>
    <row r="332" customFormat="false" ht="15" hidden="false" customHeight="false" outlineLevel="0" collapsed="false">
      <c r="A332" s="16" t="str">
        <f aca="false">IF($C332="","",COUNTA($C$6:$C332))</f>
        <v/>
      </c>
      <c r="B332" s="17"/>
      <c r="C332" s="8"/>
      <c r="D332" s="8"/>
      <c r="E332" s="8"/>
      <c r="F332" s="8"/>
      <c r="G332" s="8"/>
      <c r="H332" s="8"/>
      <c r="I332" s="9"/>
      <c r="J332" s="10" t="str">
        <f aca="false">IF($H332="","",IFERROR(VLOOKUP($H332,'BẢNG GIÁ GỐC'!$A$5:$D$204,3,FALSE()),""))</f>
        <v/>
      </c>
      <c r="K332" s="9"/>
      <c r="L332" s="10" t="str">
        <f aca="false">IF($C332="","",N($I332)*N($K332))</f>
        <v/>
      </c>
      <c r="M332" s="8"/>
      <c r="N332" s="11" t="str">
        <f aca="false">IF($C332="","",IF($M332="VAT 5%",0.05,IF($M332="VAT 8%",0.08,IF($M332="VAT 10%",0.1,0))))</f>
        <v/>
      </c>
      <c r="O332" s="10" t="str">
        <f aca="false">IF($C332="","",$L332*$N332)</f>
        <v/>
      </c>
      <c r="P332" s="10" t="str">
        <f aca="false">IF($C332="","",$L332+$O332)</f>
        <v/>
      </c>
      <c r="Q332" s="9"/>
      <c r="R332" s="10" t="str">
        <f aca="false">IF($C332="","",MAX(0,$P332-N($Q332)))</f>
        <v/>
      </c>
      <c r="S332" s="19" t="str">
        <f aca="false">IF(OR($C332="",$P332=0),"",IF(N($Q332)&lt;=0,"Chưa thanh toán",IF(N($Q332)&lt;$P332,"Thanh toán một phần","Đã thanh toán")))</f>
        <v/>
      </c>
      <c r="T332" s="10" t="str">
        <f aca="false">IF(OR($C332="",$J332=""),"",N($I332)*$J332)</f>
        <v/>
      </c>
      <c r="U332" s="10" t="str">
        <f aca="false">IF(OR($C332="",$T332=""),"",$L332-$T332)</f>
        <v/>
      </c>
      <c r="V332" s="11" t="str">
        <f aca="false">IF(OR($U332="",$L332=0),"",$U332/$L332)</f>
        <v/>
      </c>
      <c r="W332" s="8"/>
      <c r="X332" s="19" t="str">
        <f aca="false">IF($C332="","",IF(AND($H332="",N($I332)=0,N($K332)=0),"Dòng chỉ lưu thông tin khách (chưa có đơn); ",IF($B332="","Thiếu ngày đặt; ","")&amp;IF($H332="","Thiếu tên sản phẩm; ",IF($J332="","Sản phẩm chưa có trong BẢNG GIÁ GỐC; ",""))&amp;IF(N($I332)&lt;=0,"Thiếu số lượng; ","")&amp;IF(N($K332)&lt;=0,"Thiếu giá bán; ","")&amp;IF(AND($N332&gt;0,$F332=""),"Khách lấy VAT thiếu mã số thuế; ","")&amp;IF(N($Q332)&gt;$P332,"Đã thu vượt tổng phải thu; ","")&amp;IF(AND($L332&gt;0,$U332&lt;0),"CẢNH BÁO: ĐƠN NÀY ĐANG LỖ; ","")))</f>
        <v/>
      </c>
      <c r="Y332" s="16" t="str">
        <f aca="false">IF(AND($C332&lt;&gt;"",$R332&gt;0),COUNTIFS($C$6:$C332,"&lt;&gt;",$R$6:$R332,"&gt;0"),"")</f>
        <v/>
      </c>
      <c r="Z332" s="16" t="str">
        <f aca="false">IF(AND($H332&lt;&gt;"",N($N332)&gt;0),COUNTIFS($H$6:$H332,"&lt;&gt;",$N$6:$N332,"&gt;0"),"")</f>
        <v/>
      </c>
      <c r="AA332" s="16" t="str">
        <f aca="false">IF(AND($H332&lt;&gt;"",N($N332)=0),COUNTIFS($H$6:$H332,"&lt;&gt;",$N$6:$N332,"&lt;=0"),"")</f>
        <v/>
      </c>
      <c r="AB332" s="16" t="str">
        <f aca="false">IF($C332="","",IF(COUNTIF($C$6:$C332,$C332)&gt;1,"",MAX($AB$5:AB331)+1))</f>
        <v/>
      </c>
      <c r="AC332" s="16" t="str">
        <f aca="false">IF($H332="","",IF(COUNTIF($H$6:$H332,$H332)&gt;1,"",MAX($AC$5:AC331)+1))</f>
        <v/>
      </c>
    </row>
    <row r="333" customFormat="false" ht="15" hidden="false" customHeight="false" outlineLevel="0" collapsed="false">
      <c r="A333" s="16" t="str">
        <f aca="false">IF($C333="","",COUNTA($C$6:$C333))</f>
        <v/>
      </c>
      <c r="B333" s="17"/>
      <c r="C333" s="8"/>
      <c r="D333" s="8"/>
      <c r="E333" s="8"/>
      <c r="F333" s="8"/>
      <c r="G333" s="8"/>
      <c r="H333" s="8"/>
      <c r="I333" s="9"/>
      <c r="J333" s="10" t="str">
        <f aca="false">IF($H333="","",IFERROR(VLOOKUP($H333,'BẢNG GIÁ GỐC'!$A$5:$D$204,3,FALSE()),""))</f>
        <v/>
      </c>
      <c r="K333" s="9"/>
      <c r="L333" s="10" t="str">
        <f aca="false">IF($C333="","",N($I333)*N($K333))</f>
        <v/>
      </c>
      <c r="M333" s="8"/>
      <c r="N333" s="11" t="str">
        <f aca="false">IF($C333="","",IF($M333="VAT 5%",0.05,IF($M333="VAT 8%",0.08,IF($M333="VAT 10%",0.1,0))))</f>
        <v/>
      </c>
      <c r="O333" s="10" t="str">
        <f aca="false">IF($C333="","",$L333*$N333)</f>
        <v/>
      </c>
      <c r="P333" s="10" t="str">
        <f aca="false">IF($C333="","",$L333+$O333)</f>
        <v/>
      </c>
      <c r="Q333" s="9"/>
      <c r="R333" s="10" t="str">
        <f aca="false">IF($C333="","",MAX(0,$P333-N($Q333)))</f>
        <v/>
      </c>
      <c r="S333" s="19" t="str">
        <f aca="false">IF(OR($C333="",$P333=0),"",IF(N($Q333)&lt;=0,"Chưa thanh toán",IF(N($Q333)&lt;$P333,"Thanh toán một phần","Đã thanh toán")))</f>
        <v/>
      </c>
      <c r="T333" s="10" t="str">
        <f aca="false">IF(OR($C333="",$J333=""),"",N($I333)*$J333)</f>
        <v/>
      </c>
      <c r="U333" s="10" t="str">
        <f aca="false">IF(OR($C333="",$T333=""),"",$L333-$T333)</f>
        <v/>
      </c>
      <c r="V333" s="11" t="str">
        <f aca="false">IF(OR($U333="",$L333=0),"",$U333/$L333)</f>
        <v/>
      </c>
      <c r="W333" s="8"/>
      <c r="X333" s="19" t="str">
        <f aca="false">IF($C333="","",IF(AND($H333="",N($I333)=0,N($K333)=0),"Dòng chỉ lưu thông tin khách (chưa có đơn); ",IF($B333="","Thiếu ngày đặt; ","")&amp;IF($H333="","Thiếu tên sản phẩm; ",IF($J333="","Sản phẩm chưa có trong BẢNG GIÁ GỐC; ",""))&amp;IF(N($I333)&lt;=0,"Thiếu số lượng; ","")&amp;IF(N($K333)&lt;=0,"Thiếu giá bán; ","")&amp;IF(AND($N333&gt;0,$F333=""),"Khách lấy VAT thiếu mã số thuế; ","")&amp;IF(N($Q333)&gt;$P333,"Đã thu vượt tổng phải thu; ","")&amp;IF(AND($L333&gt;0,$U333&lt;0),"CẢNH BÁO: ĐƠN NÀY ĐANG LỖ; ","")))</f>
        <v/>
      </c>
      <c r="Y333" s="16" t="str">
        <f aca="false">IF(AND($C333&lt;&gt;"",$R333&gt;0),COUNTIFS($C$6:$C333,"&lt;&gt;",$R$6:$R333,"&gt;0"),"")</f>
        <v/>
      </c>
      <c r="Z333" s="16" t="str">
        <f aca="false">IF(AND($H333&lt;&gt;"",N($N333)&gt;0),COUNTIFS($H$6:$H333,"&lt;&gt;",$N$6:$N333,"&gt;0"),"")</f>
        <v/>
      </c>
      <c r="AA333" s="16" t="str">
        <f aca="false">IF(AND($H333&lt;&gt;"",N($N333)=0),COUNTIFS($H$6:$H333,"&lt;&gt;",$N$6:$N333,"&lt;=0"),"")</f>
        <v/>
      </c>
      <c r="AB333" s="16" t="str">
        <f aca="false">IF($C333="","",IF(COUNTIF($C$6:$C333,$C333)&gt;1,"",MAX($AB$5:AB332)+1))</f>
        <v/>
      </c>
      <c r="AC333" s="16" t="str">
        <f aca="false">IF($H333="","",IF(COUNTIF($H$6:$H333,$H333)&gt;1,"",MAX($AC$5:AC332)+1))</f>
        <v/>
      </c>
    </row>
    <row r="334" customFormat="false" ht="15" hidden="false" customHeight="false" outlineLevel="0" collapsed="false">
      <c r="A334" s="16" t="str">
        <f aca="false">IF($C334="","",COUNTA($C$6:$C334))</f>
        <v/>
      </c>
      <c r="B334" s="17"/>
      <c r="C334" s="8"/>
      <c r="D334" s="8"/>
      <c r="E334" s="8"/>
      <c r="F334" s="8"/>
      <c r="G334" s="8"/>
      <c r="H334" s="8"/>
      <c r="I334" s="9"/>
      <c r="J334" s="10" t="str">
        <f aca="false">IF($H334="","",IFERROR(VLOOKUP($H334,'BẢNG GIÁ GỐC'!$A$5:$D$204,3,FALSE()),""))</f>
        <v/>
      </c>
      <c r="K334" s="9"/>
      <c r="L334" s="10" t="str">
        <f aca="false">IF($C334="","",N($I334)*N($K334))</f>
        <v/>
      </c>
      <c r="M334" s="8"/>
      <c r="N334" s="11" t="str">
        <f aca="false">IF($C334="","",IF($M334="VAT 5%",0.05,IF($M334="VAT 8%",0.08,IF($M334="VAT 10%",0.1,0))))</f>
        <v/>
      </c>
      <c r="O334" s="10" t="str">
        <f aca="false">IF($C334="","",$L334*$N334)</f>
        <v/>
      </c>
      <c r="P334" s="10" t="str">
        <f aca="false">IF($C334="","",$L334+$O334)</f>
        <v/>
      </c>
      <c r="Q334" s="9"/>
      <c r="R334" s="10" t="str">
        <f aca="false">IF($C334="","",MAX(0,$P334-N($Q334)))</f>
        <v/>
      </c>
      <c r="S334" s="19" t="str">
        <f aca="false">IF(OR($C334="",$P334=0),"",IF(N($Q334)&lt;=0,"Chưa thanh toán",IF(N($Q334)&lt;$P334,"Thanh toán một phần","Đã thanh toán")))</f>
        <v/>
      </c>
      <c r="T334" s="10" t="str">
        <f aca="false">IF(OR($C334="",$J334=""),"",N($I334)*$J334)</f>
        <v/>
      </c>
      <c r="U334" s="10" t="str">
        <f aca="false">IF(OR($C334="",$T334=""),"",$L334-$T334)</f>
        <v/>
      </c>
      <c r="V334" s="11" t="str">
        <f aca="false">IF(OR($U334="",$L334=0),"",$U334/$L334)</f>
        <v/>
      </c>
      <c r="W334" s="8"/>
      <c r="X334" s="19" t="str">
        <f aca="false">IF($C334="","",IF(AND($H334="",N($I334)=0,N($K334)=0),"Dòng chỉ lưu thông tin khách (chưa có đơn); ",IF($B334="","Thiếu ngày đặt; ","")&amp;IF($H334="","Thiếu tên sản phẩm; ",IF($J334="","Sản phẩm chưa có trong BẢNG GIÁ GỐC; ",""))&amp;IF(N($I334)&lt;=0,"Thiếu số lượng; ","")&amp;IF(N($K334)&lt;=0,"Thiếu giá bán; ","")&amp;IF(AND($N334&gt;0,$F334=""),"Khách lấy VAT thiếu mã số thuế; ","")&amp;IF(N($Q334)&gt;$P334,"Đã thu vượt tổng phải thu; ","")&amp;IF(AND($L334&gt;0,$U334&lt;0),"CẢNH BÁO: ĐƠN NÀY ĐANG LỖ; ","")))</f>
        <v/>
      </c>
      <c r="Y334" s="16" t="str">
        <f aca="false">IF(AND($C334&lt;&gt;"",$R334&gt;0),COUNTIFS($C$6:$C334,"&lt;&gt;",$R$6:$R334,"&gt;0"),"")</f>
        <v/>
      </c>
      <c r="Z334" s="16" t="str">
        <f aca="false">IF(AND($H334&lt;&gt;"",N($N334)&gt;0),COUNTIFS($H$6:$H334,"&lt;&gt;",$N$6:$N334,"&gt;0"),"")</f>
        <v/>
      </c>
      <c r="AA334" s="16" t="str">
        <f aca="false">IF(AND($H334&lt;&gt;"",N($N334)=0),COUNTIFS($H$6:$H334,"&lt;&gt;",$N$6:$N334,"&lt;=0"),"")</f>
        <v/>
      </c>
      <c r="AB334" s="16" t="str">
        <f aca="false">IF($C334="","",IF(COUNTIF($C$6:$C334,$C334)&gt;1,"",MAX($AB$5:AB333)+1))</f>
        <v/>
      </c>
      <c r="AC334" s="16" t="str">
        <f aca="false">IF($H334="","",IF(COUNTIF($H$6:$H334,$H334)&gt;1,"",MAX($AC$5:AC333)+1))</f>
        <v/>
      </c>
    </row>
    <row r="335" customFormat="false" ht="15" hidden="false" customHeight="false" outlineLevel="0" collapsed="false">
      <c r="A335" s="16" t="str">
        <f aca="false">IF($C335="","",COUNTA($C$6:$C335))</f>
        <v/>
      </c>
      <c r="B335" s="17"/>
      <c r="C335" s="8"/>
      <c r="D335" s="8"/>
      <c r="E335" s="8"/>
      <c r="F335" s="8"/>
      <c r="G335" s="8"/>
      <c r="H335" s="8"/>
      <c r="I335" s="9"/>
      <c r="J335" s="10" t="str">
        <f aca="false">IF($H335="","",IFERROR(VLOOKUP($H335,'BẢNG GIÁ GỐC'!$A$5:$D$204,3,FALSE()),""))</f>
        <v/>
      </c>
      <c r="K335" s="9"/>
      <c r="L335" s="10" t="str">
        <f aca="false">IF($C335="","",N($I335)*N($K335))</f>
        <v/>
      </c>
      <c r="M335" s="8"/>
      <c r="N335" s="11" t="str">
        <f aca="false">IF($C335="","",IF($M335="VAT 5%",0.05,IF($M335="VAT 8%",0.08,IF($M335="VAT 10%",0.1,0))))</f>
        <v/>
      </c>
      <c r="O335" s="10" t="str">
        <f aca="false">IF($C335="","",$L335*$N335)</f>
        <v/>
      </c>
      <c r="P335" s="10" t="str">
        <f aca="false">IF($C335="","",$L335+$O335)</f>
        <v/>
      </c>
      <c r="Q335" s="9"/>
      <c r="R335" s="10" t="str">
        <f aca="false">IF($C335="","",MAX(0,$P335-N($Q335)))</f>
        <v/>
      </c>
      <c r="S335" s="19" t="str">
        <f aca="false">IF(OR($C335="",$P335=0),"",IF(N($Q335)&lt;=0,"Chưa thanh toán",IF(N($Q335)&lt;$P335,"Thanh toán một phần","Đã thanh toán")))</f>
        <v/>
      </c>
      <c r="T335" s="10" t="str">
        <f aca="false">IF(OR($C335="",$J335=""),"",N($I335)*$J335)</f>
        <v/>
      </c>
      <c r="U335" s="10" t="str">
        <f aca="false">IF(OR($C335="",$T335=""),"",$L335-$T335)</f>
        <v/>
      </c>
      <c r="V335" s="11" t="str">
        <f aca="false">IF(OR($U335="",$L335=0),"",$U335/$L335)</f>
        <v/>
      </c>
      <c r="W335" s="8"/>
      <c r="X335" s="19" t="str">
        <f aca="false">IF($C335="","",IF(AND($H335="",N($I335)=0,N($K335)=0),"Dòng chỉ lưu thông tin khách (chưa có đơn); ",IF($B335="","Thiếu ngày đặt; ","")&amp;IF($H335="","Thiếu tên sản phẩm; ",IF($J335="","Sản phẩm chưa có trong BẢNG GIÁ GỐC; ",""))&amp;IF(N($I335)&lt;=0,"Thiếu số lượng; ","")&amp;IF(N($K335)&lt;=0,"Thiếu giá bán; ","")&amp;IF(AND($N335&gt;0,$F335=""),"Khách lấy VAT thiếu mã số thuế; ","")&amp;IF(N($Q335)&gt;$P335,"Đã thu vượt tổng phải thu; ","")&amp;IF(AND($L335&gt;0,$U335&lt;0),"CẢNH BÁO: ĐƠN NÀY ĐANG LỖ; ","")))</f>
        <v/>
      </c>
      <c r="Y335" s="16" t="str">
        <f aca="false">IF(AND($C335&lt;&gt;"",$R335&gt;0),COUNTIFS($C$6:$C335,"&lt;&gt;",$R$6:$R335,"&gt;0"),"")</f>
        <v/>
      </c>
      <c r="Z335" s="16" t="str">
        <f aca="false">IF(AND($H335&lt;&gt;"",N($N335)&gt;0),COUNTIFS($H$6:$H335,"&lt;&gt;",$N$6:$N335,"&gt;0"),"")</f>
        <v/>
      </c>
      <c r="AA335" s="16" t="str">
        <f aca="false">IF(AND($H335&lt;&gt;"",N($N335)=0),COUNTIFS($H$6:$H335,"&lt;&gt;",$N$6:$N335,"&lt;=0"),"")</f>
        <v/>
      </c>
      <c r="AB335" s="16" t="str">
        <f aca="false">IF($C335="","",IF(COUNTIF($C$6:$C335,$C335)&gt;1,"",MAX($AB$5:AB334)+1))</f>
        <v/>
      </c>
      <c r="AC335" s="16" t="str">
        <f aca="false">IF($H335="","",IF(COUNTIF($H$6:$H335,$H335)&gt;1,"",MAX($AC$5:AC334)+1))</f>
        <v/>
      </c>
    </row>
    <row r="336" customFormat="false" ht="15" hidden="false" customHeight="false" outlineLevel="0" collapsed="false">
      <c r="A336" s="16" t="str">
        <f aca="false">IF($C336="","",COUNTA($C$6:$C336))</f>
        <v/>
      </c>
      <c r="B336" s="17"/>
      <c r="C336" s="8"/>
      <c r="D336" s="8"/>
      <c r="E336" s="8"/>
      <c r="F336" s="8"/>
      <c r="G336" s="8"/>
      <c r="H336" s="8"/>
      <c r="I336" s="9"/>
      <c r="J336" s="10" t="str">
        <f aca="false">IF($H336="","",IFERROR(VLOOKUP($H336,'BẢNG GIÁ GỐC'!$A$5:$D$204,3,FALSE()),""))</f>
        <v/>
      </c>
      <c r="K336" s="9"/>
      <c r="L336" s="10" t="str">
        <f aca="false">IF($C336="","",N($I336)*N($K336))</f>
        <v/>
      </c>
      <c r="M336" s="8"/>
      <c r="N336" s="11" t="str">
        <f aca="false">IF($C336="","",IF($M336="VAT 5%",0.05,IF($M336="VAT 8%",0.08,IF($M336="VAT 10%",0.1,0))))</f>
        <v/>
      </c>
      <c r="O336" s="10" t="str">
        <f aca="false">IF($C336="","",$L336*$N336)</f>
        <v/>
      </c>
      <c r="P336" s="10" t="str">
        <f aca="false">IF($C336="","",$L336+$O336)</f>
        <v/>
      </c>
      <c r="Q336" s="9"/>
      <c r="R336" s="10" t="str">
        <f aca="false">IF($C336="","",MAX(0,$P336-N($Q336)))</f>
        <v/>
      </c>
      <c r="S336" s="19" t="str">
        <f aca="false">IF(OR($C336="",$P336=0),"",IF(N($Q336)&lt;=0,"Chưa thanh toán",IF(N($Q336)&lt;$P336,"Thanh toán một phần","Đã thanh toán")))</f>
        <v/>
      </c>
      <c r="T336" s="10" t="str">
        <f aca="false">IF(OR($C336="",$J336=""),"",N($I336)*$J336)</f>
        <v/>
      </c>
      <c r="U336" s="10" t="str">
        <f aca="false">IF(OR($C336="",$T336=""),"",$L336-$T336)</f>
        <v/>
      </c>
      <c r="V336" s="11" t="str">
        <f aca="false">IF(OR($U336="",$L336=0),"",$U336/$L336)</f>
        <v/>
      </c>
      <c r="W336" s="8"/>
      <c r="X336" s="19" t="str">
        <f aca="false">IF($C336="","",IF(AND($H336="",N($I336)=0,N($K336)=0),"Dòng chỉ lưu thông tin khách (chưa có đơn); ",IF($B336="","Thiếu ngày đặt; ","")&amp;IF($H336="","Thiếu tên sản phẩm; ",IF($J336="","Sản phẩm chưa có trong BẢNG GIÁ GỐC; ",""))&amp;IF(N($I336)&lt;=0,"Thiếu số lượng; ","")&amp;IF(N($K336)&lt;=0,"Thiếu giá bán; ","")&amp;IF(AND($N336&gt;0,$F336=""),"Khách lấy VAT thiếu mã số thuế; ","")&amp;IF(N($Q336)&gt;$P336,"Đã thu vượt tổng phải thu; ","")&amp;IF(AND($L336&gt;0,$U336&lt;0),"CẢNH BÁO: ĐƠN NÀY ĐANG LỖ; ","")))</f>
        <v/>
      </c>
      <c r="Y336" s="16" t="str">
        <f aca="false">IF(AND($C336&lt;&gt;"",$R336&gt;0),COUNTIFS($C$6:$C336,"&lt;&gt;",$R$6:$R336,"&gt;0"),"")</f>
        <v/>
      </c>
      <c r="Z336" s="16" t="str">
        <f aca="false">IF(AND($H336&lt;&gt;"",N($N336)&gt;0),COUNTIFS($H$6:$H336,"&lt;&gt;",$N$6:$N336,"&gt;0"),"")</f>
        <v/>
      </c>
      <c r="AA336" s="16" t="str">
        <f aca="false">IF(AND($H336&lt;&gt;"",N($N336)=0),COUNTIFS($H$6:$H336,"&lt;&gt;",$N$6:$N336,"&lt;=0"),"")</f>
        <v/>
      </c>
      <c r="AB336" s="16" t="str">
        <f aca="false">IF($C336="","",IF(COUNTIF($C$6:$C336,$C336)&gt;1,"",MAX($AB$5:AB335)+1))</f>
        <v/>
      </c>
      <c r="AC336" s="16" t="str">
        <f aca="false">IF($H336="","",IF(COUNTIF($H$6:$H336,$H336)&gt;1,"",MAX($AC$5:AC335)+1))</f>
        <v/>
      </c>
    </row>
    <row r="337" customFormat="false" ht="15" hidden="false" customHeight="false" outlineLevel="0" collapsed="false">
      <c r="A337" s="16" t="str">
        <f aca="false">IF($C337="","",COUNTA($C$6:$C337))</f>
        <v/>
      </c>
      <c r="B337" s="17"/>
      <c r="C337" s="8"/>
      <c r="D337" s="8"/>
      <c r="E337" s="8"/>
      <c r="F337" s="8"/>
      <c r="G337" s="8"/>
      <c r="H337" s="8"/>
      <c r="I337" s="9"/>
      <c r="J337" s="10" t="str">
        <f aca="false">IF($H337="","",IFERROR(VLOOKUP($H337,'BẢNG GIÁ GỐC'!$A$5:$D$204,3,FALSE()),""))</f>
        <v/>
      </c>
      <c r="K337" s="9"/>
      <c r="L337" s="10" t="str">
        <f aca="false">IF($C337="","",N($I337)*N($K337))</f>
        <v/>
      </c>
      <c r="M337" s="8"/>
      <c r="N337" s="11" t="str">
        <f aca="false">IF($C337="","",IF($M337="VAT 5%",0.05,IF($M337="VAT 8%",0.08,IF($M337="VAT 10%",0.1,0))))</f>
        <v/>
      </c>
      <c r="O337" s="10" t="str">
        <f aca="false">IF($C337="","",$L337*$N337)</f>
        <v/>
      </c>
      <c r="P337" s="10" t="str">
        <f aca="false">IF($C337="","",$L337+$O337)</f>
        <v/>
      </c>
      <c r="Q337" s="9"/>
      <c r="R337" s="10" t="str">
        <f aca="false">IF($C337="","",MAX(0,$P337-N($Q337)))</f>
        <v/>
      </c>
      <c r="S337" s="19" t="str">
        <f aca="false">IF(OR($C337="",$P337=0),"",IF(N($Q337)&lt;=0,"Chưa thanh toán",IF(N($Q337)&lt;$P337,"Thanh toán một phần","Đã thanh toán")))</f>
        <v/>
      </c>
      <c r="T337" s="10" t="str">
        <f aca="false">IF(OR($C337="",$J337=""),"",N($I337)*$J337)</f>
        <v/>
      </c>
      <c r="U337" s="10" t="str">
        <f aca="false">IF(OR($C337="",$T337=""),"",$L337-$T337)</f>
        <v/>
      </c>
      <c r="V337" s="11" t="str">
        <f aca="false">IF(OR($U337="",$L337=0),"",$U337/$L337)</f>
        <v/>
      </c>
      <c r="W337" s="8"/>
      <c r="X337" s="19" t="str">
        <f aca="false">IF($C337="","",IF(AND($H337="",N($I337)=0,N($K337)=0),"Dòng chỉ lưu thông tin khách (chưa có đơn); ",IF($B337="","Thiếu ngày đặt; ","")&amp;IF($H337="","Thiếu tên sản phẩm; ",IF($J337="","Sản phẩm chưa có trong BẢNG GIÁ GỐC; ",""))&amp;IF(N($I337)&lt;=0,"Thiếu số lượng; ","")&amp;IF(N($K337)&lt;=0,"Thiếu giá bán; ","")&amp;IF(AND($N337&gt;0,$F337=""),"Khách lấy VAT thiếu mã số thuế; ","")&amp;IF(N($Q337)&gt;$P337,"Đã thu vượt tổng phải thu; ","")&amp;IF(AND($L337&gt;0,$U337&lt;0),"CẢNH BÁO: ĐƠN NÀY ĐANG LỖ; ","")))</f>
        <v/>
      </c>
      <c r="Y337" s="16" t="str">
        <f aca="false">IF(AND($C337&lt;&gt;"",$R337&gt;0),COUNTIFS($C$6:$C337,"&lt;&gt;",$R$6:$R337,"&gt;0"),"")</f>
        <v/>
      </c>
      <c r="Z337" s="16" t="str">
        <f aca="false">IF(AND($H337&lt;&gt;"",N($N337)&gt;0),COUNTIFS($H$6:$H337,"&lt;&gt;",$N$6:$N337,"&gt;0"),"")</f>
        <v/>
      </c>
      <c r="AA337" s="16" t="str">
        <f aca="false">IF(AND($H337&lt;&gt;"",N($N337)=0),COUNTIFS($H$6:$H337,"&lt;&gt;",$N$6:$N337,"&lt;=0"),"")</f>
        <v/>
      </c>
      <c r="AB337" s="16" t="str">
        <f aca="false">IF($C337="","",IF(COUNTIF($C$6:$C337,$C337)&gt;1,"",MAX($AB$5:AB336)+1))</f>
        <v/>
      </c>
      <c r="AC337" s="16" t="str">
        <f aca="false">IF($H337="","",IF(COUNTIF($H$6:$H337,$H337)&gt;1,"",MAX($AC$5:AC336)+1))</f>
        <v/>
      </c>
    </row>
    <row r="338" customFormat="false" ht="15" hidden="false" customHeight="false" outlineLevel="0" collapsed="false">
      <c r="A338" s="16" t="str">
        <f aca="false">IF($C338="","",COUNTA($C$6:$C338))</f>
        <v/>
      </c>
      <c r="B338" s="17"/>
      <c r="C338" s="8"/>
      <c r="D338" s="8"/>
      <c r="E338" s="8"/>
      <c r="F338" s="8"/>
      <c r="G338" s="8"/>
      <c r="H338" s="8"/>
      <c r="I338" s="9"/>
      <c r="J338" s="10" t="str">
        <f aca="false">IF($H338="","",IFERROR(VLOOKUP($H338,'BẢNG GIÁ GỐC'!$A$5:$D$204,3,FALSE()),""))</f>
        <v/>
      </c>
      <c r="K338" s="9"/>
      <c r="L338" s="10" t="str">
        <f aca="false">IF($C338="","",N($I338)*N($K338))</f>
        <v/>
      </c>
      <c r="M338" s="8"/>
      <c r="N338" s="11" t="str">
        <f aca="false">IF($C338="","",IF($M338="VAT 5%",0.05,IF($M338="VAT 8%",0.08,IF($M338="VAT 10%",0.1,0))))</f>
        <v/>
      </c>
      <c r="O338" s="10" t="str">
        <f aca="false">IF($C338="","",$L338*$N338)</f>
        <v/>
      </c>
      <c r="P338" s="10" t="str">
        <f aca="false">IF($C338="","",$L338+$O338)</f>
        <v/>
      </c>
      <c r="Q338" s="9"/>
      <c r="R338" s="10" t="str">
        <f aca="false">IF($C338="","",MAX(0,$P338-N($Q338)))</f>
        <v/>
      </c>
      <c r="S338" s="19" t="str">
        <f aca="false">IF(OR($C338="",$P338=0),"",IF(N($Q338)&lt;=0,"Chưa thanh toán",IF(N($Q338)&lt;$P338,"Thanh toán một phần","Đã thanh toán")))</f>
        <v/>
      </c>
      <c r="T338" s="10" t="str">
        <f aca="false">IF(OR($C338="",$J338=""),"",N($I338)*$J338)</f>
        <v/>
      </c>
      <c r="U338" s="10" t="str">
        <f aca="false">IF(OR($C338="",$T338=""),"",$L338-$T338)</f>
        <v/>
      </c>
      <c r="V338" s="11" t="str">
        <f aca="false">IF(OR($U338="",$L338=0),"",$U338/$L338)</f>
        <v/>
      </c>
      <c r="W338" s="8"/>
      <c r="X338" s="19" t="str">
        <f aca="false">IF($C338="","",IF(AND($H338="",N($I338)=0,N($K338)=0),"Dòng chỉ lưu thông tin khách (chưa có đơn); ",IF($B338="","Thiếu ngày đặt; ","")&amp;IF($H338="","Thiếu tên sản phẩm; ",IF($J338="","Sản phẩm chưa có trong BẢNG GIÁ GỐC; ",""))&amp;IF(N($I338)&lt;=0,"Thiếu số lượng; ","")&amp;IF(N($K338)&lt;=0,"Thiếu giá bán; ","")&amp;IF(AND($N338&gt;0,$F338=""),"Khách lấy VAT thiếu mã số thuế; ","")&amp;IF(N($Q338)&gt;$P338,"Đã thu vượt tổng phải thu; ","")&amp;IF(AND($L338&gt;0,$U338&lt;0),"CẢNH BÁO: ĐƠN NÀY ĐANG LỖ; ","")))</f>
        <v/>
      </c>
      <c r="Y338" s="16" t="str">
        <f aca="false">IF(AND($C338&lt;&gt;"",$R338&gt;0),COUNTIFS($C$6:$C338,"&lt;&gt;",$R$6:$R338,"&gt;0"),"")</f>
        <v/>
      </c>
      <c r="Z338" s="16" t="str">
        <f aca="false">IF(AND($H338&lt;&gt;"",N($N338)&gt;0),COUNTIFS($H$6:$H338,"&lt;&gt;",$N$6:$N338,"&gt;0"),"")</f>
        <v/>
      </c>
      <c r="AA338" s="16" t="str">
        <f aca="false">IF(AND($H338&lt;&gt;"",N($N338)=0),COUNTIFS($H$6:$H338,"&lt;&gt;",$N$6:$N338,"&lt;=0"),"")</f>
        <v/>
      </c>
      <c r="AB338" s="16" t="str">
        <f aca="false">IF($C338="","",IF(COUNTIF($C$6:$C338,$C338)&gt;1,"",MAX($AB$5:AB337)+1))</f>
        <v/>
      </c>
      <c r="AC338" s="16" t="str">
        <f aca="false">IF($H338="","",IF(COUNTIF($H$6:$H338,$H338)&gt;1,"",MAX($AC$5:AC337)+1))</f>
        <v/>
      </c>
    </row>
    <row r="339" customFormat="false" ht="15" hidden="false" customHeight="false" outlineLevel="0" collapsed="false">
      <c r="A339" s="16" t="str">
        <f aca="false">IF($C339="","",COUNTA($C$6:$C339))</f>
        <v/>
      </c>
      <c r="B339" s="17"/>
      <c r="C339" s="8"/>
      <c r="D339" s="8"/>
      <c r="E339" s="8"/>
      <c r="F339" s="8"/>
      <c r="G339" s="8"/>
      <c r="H339" s="8"/>
      <c r="I339" s="9"/>
      <c r="J339" s="10" t="str">
        <f aca="false">IF($H339="","",IFERROR(VLOOKUP($H339,'BẢNG GIÁ GỐC'!$A$5:$D$204,3,FALSE()),""))</f>
        <v/>
      </c>
      <c r="K339" s="9"/>
      <c r="L339" s="10" t="str">
        <f aca="false">IF($C339="","",N($I339)*N($K339))</f>
        <v/>
      </c>
      <c r="M339" s="8"/>
      <c r="N339" s="11" t="str">
        <f aca="false">IF($C339="","",IF($M339="VAT 5%",0.05,IF($M339="VAT 8%",0.08,IF($M339="VAT 10%",0.1,0))))</f>
        <v/>
      </c>
      <c r="O339" s="10" t="str">
        <f aca="false">IF($C339="","",$L339*$N339)</f>
        <v/>
      </c>
      <c r="P339" s="10" t="str">
        <f aca="false">IF($C339="","",$L339+$O339)</f>
        <v/>
      </c>
      <c r="Q339" s="9"/>
      <c r="R339" s="10" t="str">
        <f aca="false">IF($C339="","",MAX(0,$P339-N($Q339)))</f>
        <v/>
      </c>
      <c r="S339" s="19" t="str">
        <f aca="false">IF(OR($C339="",$P339=0),"",IF(N($Q339)&lt;=0,"Chưa thanh toán",IF(N($Q339)&lt;$P339,"Thanh toán một phần","Đã thanh toán")))</f>
        <v/>
      </c>
      <c r="T339" s="10" t="str">
        <f aca="false">IF(OR($C339="",$J339=""),"",N($I339)*$J339)</f>
        <v/>
      </c>
      <c r="U339" s="10" t="str">
        <f aca="false">IF(OR($C339="",$T339=""),"",$L339-$T339)</f>
        <v/>
      </c>
      <c r="V339" s="11" t="str">
        <f aca="false">IF(OR($U339="",$L339=0),"",$U339/$L339)</f>
        <v/>
      </c>
      <c r="W339" s="8"/>
      <c r="X339" s="19" t="str">
        <f aca="false">IF($C339="","",IF(AND($H339="",N($I339)=0,N($K339)=0),"Dòng chỉ lưu thông tin khách (chưa có đơn); ",IF($B339="","Thiếu ngày đặt; ","")&amp;IF($H339="","Thiếu tên sản phẩm; ",IF($J339="","Sản phẩm chưa có trong BẢNG GIÁ GỐC; ",""))&amp;IF(N($I339)&lt;=0,"Thiếu số lượng; ","")&amp;IF(N($K339)&lt;=0,"Thiếu giá bán; ","")&amp;IF(AND($N339&gt;0,$F339=""),"Khách lấy VAT thiếu mã số thuế; ","")&amp;IF(N($Q339)&gt;$P339,"Đã thu vượt tổng phải thu; ","")&amp;IF(AND($L339&gt;0,$U339&lt;0),"CẢNH BÁO: ĐƠN NÀY ĐANG LỖ; ","")))</f>
        <v/>
      </c>
      <c r="Y339" s="16" t="str">
        <f aca="false">IF(AND($C339&lt;&gt;"",$R339&gt;0),COUNTIFS($C$6:$C339,"&lt;&gt;",$R$6:$R339,"&gt;0"),"")</f>
        <v/>
      </c>
      <c r="Z339" s="16" t="str">
        <f aca="false">IF(AND($H339&lt;&gt;"",N($N339)&gt;0),COUNTIFS($H$6:$H339,"&lt;&gt;",$N$6:$N339,"&gt;0"),"")</f>
        <v/>
      </c>
      <c r="AA339" s="16" t="str">
        <f aca="false">IF(AND($H339&lt;&gt;"",N($N339)=0),COUNTIFS($H$6:$H339,"&lt;&gt;",$N$6:$N339,"&lt;=0"),"")</f>
        <v/>
      </c>
      <c r="AB339" s="16" t="str">
        <f aca="false">IF($C339="","",IF(COUNTIF($C$6:$C339,$C339)&gt;1,"",MAX($AB$5:AB338)+1))</f>
        <v/>
      </c>
      <c r="AC339" s="16" t="str">
        <f aca="false">IF($H339="","",IF(COUNTIF($H$6:$H339,$H339)&gt;1,"",MAX($AC$5:AC338)+1))</f>
        <v/>
      </c>
    </row>
    <row r="340" customFormat="false" ht="15" hidden="false" customHeight="false" outlineLevel="0" collapsed="false">
      <c r="A340" s="16" t="str">
        <f aca="false">IF($C340="","",COUNTA($C$6:$C340))</f>
        <v/>
      </c>
      <c r="B340" s="17"/>
      <c r="C340" s="8"/>
      <c r="D340" s="8"/>
      <c r="E340" s="8"/>
      <c r="F340" s="8"/>
      <c r="G340" s="8"/>
      <c r="H340" s="8"/>
      <c r="I340" s="9"/>
      <c r="J340" s="10" t="str">
        <f aca="false">IF($H340="","",IFERROR(VLOOKUP($H340,'BẢNG GIÁ GỐC'!$A$5:$D$204,3,FALSE()),""))</f>
        <v/>
      </c>
      <c r="K340" s="9"/>
      <c r="L340" s="10" t="str">
        <f aca="false">IF($C340="","",N($I340)*N($K340))</f>
        <v/>
      </c>
      <c r="M340" s="8"/>
      <c r="N340" s="11" t="str">
        <f aca="false">IF($C340="","",IF($M340="VAT 5%",0.05,IF($M340="VAT 8%",0.08,IF($M340="VAT 10%",0.1,0))))</f>
        <v/>
      </c>
      <c r="O340" s="10" t="str">
        <f aca="false">IF($C340="","",$L340*$N340)</f>
        <v/>
      </c>
      <c r="P340" s="10" t="str">
        <f aca="false">IF($C340="","",$L340+$O340)</f>
        <v/>
      </c>
      <c r="Q340" s="9"/>
      <c r="R340" s="10" t="str">
        <f aca="false">IF($C340="","",MAX(0,$P340-N($Q340)))</f>
        <v/>
      </c>
      <c r="S340" s="19" t="str">
        <f aca="false">IF(OR($C340="",$P340=0),"",IF(N($Q340)&lt;=0,"Chưa thanh toán",IF(N($Q340)&lt;$P340,"Thanh toán một phần","Đã thanh toán")))</f>
        <v/>
      </c>
      <c r="T340" s="10" t="str">
        <f aca="false">IF(OR($C340="",$J340=""),"",N($I340)*$J340)</f>
        <v/>
      </c>
      <c r="U340" s="10" t="str">
        <f aca="false">IF(OR($C340="",$T340=""),"",$L340-$T340)</f>
        <v/>
      </c>
      <c r="V340" s="11" t="str">
        <f aca="false">IF(OR($U340="",$L340=0),"",$U340/$L340)</f>
        <v/>
      </c>
      <c r="W340" s="8"/>
      <c r="X340" s="19" t="str">
        <f aca="false">IF($C340="","",IF(AND($H340="",N($I340)=0,N($K340)=0),"Dòng chỉ lưu thông tin khách (chưa có đơn); ",IF($B340="","Thiếu ngày đặt; ","")&amp;IF($H340="","Thiếu tên sản phẩm; ",IF($J340="","Sản phẩm chưa có trong BẢNG GIÁ GỐC; ",""))&amp;IF(N($I340)&lt;=0,"Thiếu số lượng; ","")&amp;IF(N($K340)&lt;=0,"Thiếu giá bán; ","")&amp;IF(AND($N340&gt;0,$F340=""),"Khách lấy VAT thiếu mã số thuế; ","")&amp;IF(N($Q340)&gt;$P340,"Đã thu vượt tổng phải thu; ","")&amp;IF(AND($L340&gt;0,$U340&lt;0),"CẢNH BÁO: ĐƠN NÀY ĐANG LỖ; ","")))</f>
        <v/>
      </c>
      <c r="Y340" s="16" t="str">
        <f aca="false">IF(AND($C340&lt;&gt;"",$R340&gt;0),COUNTIFS($C$6:$C340,"&lt;&gt;",$R$6:$R340,"&gt;0"),"")</f>
        <v/>
      </c>
      <c r="Z340" s="16" t="str">
        <f aca="false">IF(AND($H340&lt;&gt;"",N($N340)&gt;0),COUNTIFS($H$6:$H340,"&lt;&gt;",$N$6:$N340,"&gt;0"),"")</f>
        <v/>
      </c>
      <c r="AA340" s="16" t="str">
        <f aca="false">IF(AND($H340&lt;&gt;"",N($N340)=0),COUNTIFS($H$6:$H340,"&lt;&gt;",$N$6:$N340,"&lt;=0"),"")</f>
        <v/>
      </c>
      <c r="AB340" s="16" t="str">
        <f aca="false">IF($C340="","",IF(COUNTIF($C$6:$C340,$C340)&gt;1,"",MAX($AB$5:AB339)+1))</f>
        <v/>
      </c>
      <c r="AC340" s="16" t="str">
        <f aca="false">IF($H340="","",IF(COUNTIF($H$6:$H340,$H340)&gt;1,"",MAX($AC$5:AC339)+1))</f>
        <v/>
      </c>
    </row>
    <row r="341" customFormat="false" ht="15" hidden="false" customHeight="false" outlineLevel="0" collapsed="false">
      <c r="A341" s="16" t="str">
        <f aca="false">IF($C341="","",COUNTA($C$6:$C341))</f>
        <v/>
      </c>
      <c r="B341" s="17"/>
      <c r="C341" s="8"/>
      <c r="D341" s="8"/>
      <c r="E341" s="8"/>
      <c r="F341" s="8"/>
      <c r="G341" s="8"/>
      <c r="H341" s="8"/>
      <c r="I341" s="9"/>
      <c r="J341" s="10" t="str">
        <f aca="false">IF($H341="","",IFERROR(VLOOKUP($H341,'BẢNG GIÁ GỐC'!$A$5:$D$204,3,FALSE()),""))</f>
        <v/>
      </c>
      <c r="K341" s="9"/>
      <c r="L341" s="10" t="str">
        <f aca="false">IF($C341="","",N($I341)*N($K341))</f>
        <v/>
      </c>
      <c r="M341" s="8"/>
      <c r="N341" s="11" t="str">
        <f aca="false">IF($C341="","",IF($M341="VAT 5%",0.05,IF($M341="VAT 8%",0.08,IF($M341="VAT 10%",0.1,0))))</f>
        <v/>
      </c>
      <c r="O341" s="10" t="str">
        <f aca="false">IF($C341="","",$L341*$N341)</f>
        <v/>
      </c>
      <c r="P341" s="10" t="str">
        <f aca="false">IF($C341="","",$L341+$O341)</f>
        <v/>
      </c>
      <c r="Q341" s="9"/>
      <c r="R341" s="10" t="str">
        <f aca="false">IF($C341="","",MAX(0,$P341-N($Q341)))</f>
        <v/>
      </c>
      <c r="S341" s="19" t="str">
        <f aca="false">IF(OR($C341="",$P341=0),"",IF(N($Q341)&lt;=0,"Chưa thanh toán",IF(N($Q341)&lt;$P341,"Thanh toán một phần","Đã thanh toán")))</f>
        <v/>
      </c>
      <c r="T341" s="10" t="str">
        <f aca="false">IF(OR($C341="",$J341=""),"",N($I341)*$J341)</f>
        <v/>
      </c>
      <c r="U341" s="10" t="str">
        <f aca="false">IF(OR($C341="",$T341=""),"",$L341-$T341)</f>
        <v/>
      </c>
      <c r="V341" s="11" t="str">
        <f aca="false">IF(OR($U341="",$L341=0),"",$U341/$L341)</f>
        <v/>
      </c>
      <c r="W341" s="8"/>
      <c r="X341" s="19" t="str">
        <f aca="false">IF($C341="","",IF(AND($H341="",N($I341)=0,N($K341)=0),"Dòng chỉ lưu thông tin khách (chưa có đơn); ",IF($B341="","Thiếu ngày đặt; ","")&amp;IF($H341="","Thiếu tên sản phẩm; ",IF($J341="","Sản phẩm chưa có trong BẢNG GIÁ GỐC; ",""))&amp;IF(N($I341)&lt;=0,"Thiếu số lượng; ","")&amp;IF(N($K341)&lt;=0,"Thiếu giá bán; ","")&amp;IF(AND($N341&gt;0,$F341=""),"Khách lấy VAT thiếu mã số thuế; ","")&amp;IF(N($Q341)&gt;$P341,"Đã thu vượt tổng phải thu; ","")&amp;IF(AND($L341&gt;0,$U341&lt;0),"CẢNH BÁO: ĐƠN NÀY ĐANG LỖ; ","")))</f>
        <v/>
      </c>
      <c r="Y341" s="16" t="str">
        <f aca="false">IF(AND($C341&lt;&gt;"",$R341&gt;0),COUNTIFS($C$6:$C341,"&lt;&gt;",$R$6:$R341,"&gt;0"),"")</f>
        <v/>
      </c>
      <c r="Z341" s="16" t="str">
        <f aca="false">IF(AND($H341&lt;&gt;"",N($N341)&gt;0),COUNTIFS($H$6:$H341,"&lt;&gt;",$N$6:$N341,"&gt;0"),"")</f>
        <v/>
      </c>
      <c r="AA341" s="16" t="str">
        <f aca="false">IF(AND($H341&lt;&gt;"",N($N341)=0),COUNTIFS($H$6:$H341,"&lt;&gt;",$N$6:$N341,"&lt;=0"),"")</f>
        <v/>
      </c>
      <c r="AB341" s="16" t="str">
        <f aca="false">IF($C341="","",IF(COUNTIF($C$6:$C341,$C341)&gt;1,"",MAX($AB$5:AB340)+1))</f>
        <v/>
      </c>
      <c r="AC341" s="16" t="str">
        <f aca="false">IF($H341="","",IF(COUNTIF($H$6:$H341,$H341)&gt;1,"",MAX($AC$5:AC340)+1))</f>
        <v/>
      </c>
    </row>
    <row r="342" customFormat="false" ht="15" hidden="false" customHeight="false" outlineLevel="0" collapsed="false">
      <c r="A342" s="16" t="str">
        <f aca="false">IF($C342="","",COUNTA($C$6:$C342))</f>
        <v/>
      </c>
      <c r="B342" s="17"/>
      <c r="C342" s="8"/>
      <c r="D342" s="8"/>
      <c r="E342" s="8"/>
      <c r="F342" s="8"/>
      <c r="G342" s="8"/>
      <c r="H342" s="8"/>
      <c r="I342" s="9"/>
      <c r="J342" s="10" t="str">
        <f aca="false">IF($H342="","",IFERROR(VLOOKUP($H342,'BẢNG GIÁ GỐC'!$A$5:$D$204,3,FALSE()),""))</f>
        <v/>
      </c>
      <c r="K342" s="9"/>
      <c r="L342" s="10" t="str">
        <f aca="false">IF($C342="","",N($I342)*N($K342))</f>
        <v/>
      </c>
      <c r="M342" s="8"/>
      <c r="N342" s="11" t="str">
        <f aca="false">IF($C342="","",IF($M342="VAT 5%",0.05,IF($M342="VAT 8%",0.08,IF($M342="VAT 10%",0.1,0))))</f>
        <v/>
      </c>
      <c r="O342" s="10" t="str">
        <f aca="false">IF($C342="","",$L342*$N342)</f>
        <v/>
      </c>
      <c r="P342" s="10" t="str">
        <f aca="false">IF($C342="","",$L342+$O342)</f>
        <v/>
      </c>
      <c r="Q342" s="9"/>
      <c r="R342" s="10" t="str">
        <f aca="false">IF($C342="","",MAX(0,$P342-N($Q342)))</f>
        <v/>
      </c>
      <c r="S342" s="19" t="str">
        <f aca="false">IF(OR($C342="",$P342=0),"",IF(N($Q342)&lt;=0,"Chưa thanh toán",IF(N($Q342)&lt;$P342,"Thanh toán một phần","Đã thanh toán")))</f>
        <v/>
      </c>
      <c r="T342" s="10" t="str">
        <f aca="false">IF(OR($C342="",$J342=""),"",N($I342)*$J342)</f>
        <v/>
      </c>
      <c r="U342" s="10" t="str">
        <f aca="false">IF(OR($C342="",$T342=""),"",$L342-$T342)</f>
        <v/>
      </c>
      <c r="V342" s="11" t="str">
        <f aca="false">IF(OR($U342="",$L342=0),"",$U342/$L342)</f>
        <v/>
      </c>
      <c r="W342" s="8"/>
      <c r="X342" s="19" t="str">
        <f aca="false">IF($C342="","",IF(AND($H342="",N($I342)=0,N($K342)=0),"Dòng chỉ lưu thông tin khách (chưa có đơn); ",IF($B342="","Thiếu ngày đặt; ","")&amp;IF($H342="","Thiếu tên sản phẩm; ",IF($J342="","Sản phẩm chưa có trong BẢNG GIÁ GỐC; ",""))&amp;IF(N($I342)&lt;=0,"Thiếu số lượng; ","")&amp;IF(N($K342)&lt;=0,"Thiếu giá bán; ","")&amp;IF(AND($N342&gt;0,$F342=""),"Khách lấy VAT thiếu mã số thuế; ","")&amp;IF(N($Q342)&gt;$P342,"Đã thu vượt tổng phải thu; ","")&amp;IF(AND($L342&gt;0,$U342&lt;0),"CẢNH BÁO: ĐƠN NÀY ĐANG LỖ; ","")))</f>
        <v/>
      </c>
      <c r="Y342" s="16" t="str">
        <f aca="false">IF(AND($C342&lt;&gt;"",$R342&gt;0),COUNTIFS($C$6:$C342,"&lt;&gt;",$R$6:$R342,"&gt;0"),"")</f>
        <v/>
      </c>
      <c r="Z342" s="16" t="str">
        <f aca="false">IF(AND($H342&lt;&gt;"",N($N342)&gt;0),COUNTIFS($H$6:$H342,"&lt;&gt;",$N$6:$N342,"&gt;0"),"")</f>
        <v/>
      </c>
      <c r="AA342" s="16" t="str">
        <f aca="false">IF(AND($H342&lt;&gt;"",N($N342)=0),COUNTIFS($H$6:$H342,"&lt;&gt;",$N$6:$N342,"&lt;=0"),"")</f>
        <v/>
      </c>
      <c r="AB342" s="16" t="str">
        <f aca="false">IF($C342="","",IF(COUNTIF($C$6:$C342,$C342)&gt;1,"",MAX($AB$5:AB341)+1))</f>
        <v/>
      </c>
      <c r="AC342" s="16" t="str">
        <f aca="false">IF($H342="","",IF(COUNTIF($H$6:$H342,$H342)&gt;1,"",MAX($AC$5:AC341)+1))</f>
        <v/>
      </c>
    </row>
    <row r="343" customFormat="false" ht="15" hidden="false" customHeight="false" outlineLevel="0" collapsed="false">
      <c r="A343" s="16" t="str">
        <f aca="false">IF($C343="","",COUNTA($C$6:$C343))</f>
        <v/>
      </c>
      <c r="B343" s="17"/>
      <c r="C343" s="8"/>
      <c r="D343" s="8"/>
      <c r="E343" s="8"/>
      <c r="F343" s="8"/>
      <c r="G343" s="8"/>
      <c r="H343" s="8"/>
      <c r="I343" s="9"/>
      <c r="J343" s="10" t="str">
        <f aca="false">IF($H343="","",IFERROR(VLOOKUP($H343,'BẢNG GIÁ GỐC'!$A$5:$D$204,3,FALSE()),""))</f>
        <v/>
      </c>
      <c r="K343" s="9"/>
      <c r="L343" s="10" t="str">
        <f aca="false">IF($C343="","",N($I343)*N($K343))</f>
        <v/>
      </c>
      <c r="M343" s="8"/>
      <c r="N343" s="11" t="str">
        <f aca="false">IF($C343="","",IF($M343="VAT 5%",0.05,IF($M343="VAT 8%",0.08,IF($M343="VAT 10%",0.1,0))))</f>
        <v/>
      </c>
      <c r="O343" s="10" t="str">
        <f aca="false">IF($C343="","",$L343*$N343)</f>
        <v/>
      </c>
      <c r="P343" s="10" t="str">
        <f aca="false">IF($C343="","",$L343+$O343)</f>
        <v/>
      </c>
      <c r="Q343" s="9"/>
      <c r="R343" s="10" t="str">
        <f aca="false">IF($C343="","",MAX(0,$P343-N($Q343)))</f>
        <v/>
      </c>
      <c r="S343" s="19" t="str">
        <f aca="false">IF(OR($C343="",$P343=0),"",IF(N($Q343)&lt;=0,"Chưa thanh toán",IF(N($Q343)&lt;$P343,"Thanh toán một phần","Đã thanh toán")))</f>
        <v/>
      </c>
      <c r="T343" s="10" t="str">
        <f aca="false">IF(OR($C343="",$J343=""),"",N($I343)*$J343)</f>
        <v/>
      </c>
      <c r="U343" s="10" t="str">
        <f aca="false">IF(OR($C343="",$T343=""),"",$L343-$T343)</f>
        <v/>
      </c>
      <c r="V343" s="11" t="str">
        <f aca="false">IF(OR($U343="",$L343=0),"",$U343/$L343)</f>
        <v/>
      </c>
      <c r="W343" s="8"/>
      <c r="X343" s="19" t="str">
        <f aca="false">IF($C343="","",IF(AND($H343="",N($I343)=0,N($K343)=0),"Dòng chỉ lưu thông tin khách (chưa có đơn); ",IF($B343="","Thiếu ngày đặt; ","")&amp;IF($H343="","Thiếu tên sản phẩm; ",IF($J343="","Sản phẩm chưa có trong BẢNG GIÁ GỐC; ",""))&amp;IF(N($I343)&lt;=0,"Thiếu số lượng; ","")&amp;IF(N($K343)&lt;=0,"Thiếu giá bán; ","")&amp;IF(AND($N343&gt;0,$F343=""),"Khách lấy VAT thiếu mã số thuế; ","")&amp;IF(N($Q343)&gt;$P343,"Đã thu vượt tổng phải thu; ","")&amp;IF(AND($L343&gt;0,$U343&lt;0),"CẢNH BÁO: ĐƠN NÀY ĐANG LỖ; ","")))</f>
        <v/>
      </c>
      <c r="Y343" s="16" t="str">
        <f aca="false">IF(AND($C343&lt;&gt;"",$R343&gt;0),COUNTIFS($C$6:$C343,"&lt;&gt;",$R$6:$R343,"&gt;0"),"")</f>
        <v/>
      </c>
      <c r="Z343" s="16" t="str">
        <f aca="false">IF(AND($H343&lt;&gt;"",N($N343)&gt;0),COUNTIFS($H$6:$H343,"&lt;&gt;",$N$6:$N343,"&gt;0"),"")</f>
        <v/>
      </c>
      <c r="AA343" s="16" t="str">
        <f aca="false">IF(AND($H343&lt;&gt;"",N($N343)=0),COUNTIFS($H$6:$H343,"&lt;&gt;",$N$6:$N343,"&lt;=0"),"")</f>
        <v/>
      </c>
      <c r="AB343" s="16" t="str">
        <f aca="false">IF($C343="","",IF(COUNTIF($C$6:$C343,$C343)&gt;1,"",MAX($AB$5:AB342)+1))</f>
        <v/>
      </c>
      <c r="AC343" s="16" t="str">
        <f aca="false">IF($H343="","",IF(COUNTIF($H$6:$H343,$H343)&gt;1,"",MAX($AC$5:AC342)+1))</f>
        <v/>
      </c>
    </row>
    <row r="344" customFormat="false" ht="15" hidden="false" customHeight="false" outlineLevel="0" collapsed="false">
      <c r="A344" s="16" t="str">
        <f aca="false">IF($C344="","",COUNTA($C$6:$C344))</f>
        <v/>
      </c>
      <c r="B344" s="17"/>
      <c r="C344" s="8"/>
      <c r="D344" s="8"/>
      <c r="E344" s="8"/>
      <c r="F344" s="8"/>
      <c r="G344" s="8"/>
      <c r="H344" s="8"/>
      <c r="I344" s="9"/>
      <c r="J344" s="10" t="str">
        <f aca="false">IF($H344="","",IFERROR(VLOOKUP($H344,'BẢNG GIÁ GỐC'!$A$5:$D$204,3,FALSE()),""))</f>
        <v/>
      </c>
      <c r="K344" s="9"/>
      <c r="L344" s="10" t="str">
        <f aca="false">IF($C344="","",N($I344)*N($K344))</f>
        <v/>
      </c>
      <c r="M344" s="8"/>
      <c r="N344" s="11" t="str">
        <f aca="false">IF($C344="","",IF($M344="VAT 5%",0.05,IF($M344="VAT 8%",0.08,IF($M344="VAT 10%",0.1,0))))</f>
        <v/>
      </c>
      <c r="O344" s="10" t="str">
        <f aca="false">IF($C344="","",$L344*$N344)</f>
        <v/>
      </c>
      <c r="P344" s="10" t="str">
        <f aca="false">IF($C344="","",$L344+$O344)</f>
        <v/>
      </c>
      <c r="Q344" s="9"/>
      <c r="R344" s="10" t="str">
        <f aca="false">IF($C344="","",MAX(0,$P344-N($Q344)))</f>
        <v/>
      </c>
      <c r="S344" s="19" t="str">
        <f aca="false">IF(OR($C344="",$P344=0),"",IF(N($Q344)&lt;=0,"Chưa thanh toán",IF(N($Q344)&lt;$P344,"Thanh toán một phần","Đã thanh toán")))</f>
        <v/>
      </c>
      <c r="T344" s="10" t="str">
        <f aca="false">IF(OR($C344="",$J344=""),"",N($I344)*$J344)</f>
        <v/>
      </c>
      <c r="U344" s="10" t="str">
        <f aca="false">IF(OR($C344="",$T344=""),"",$L344-$T344)</f>
        <v/>
      </c>
      <c r="V344" s="11" t="str">
        <f aca="false">IF(OR($U344="",$L344=0),"",$U344/$L344)</f>
        <v/>
      </c>
      <c r="W344" s="8"/>
      <c r="X344" s="19" t="str">
        <f aca="false">IF($C344="","",IF(AND($H344="",N($I344)=0,N($K344)=0),"Dòng chỉ lưu thông tin khách (chưa có đơn); ",IF($B344="","Thiếu ngày đặt; ","")&amp;IF($H344="","Thiếu tên sản phẩm; ",IF($J344="","Sản phẩm chưa có trong BẢNG GIÁ GỐC; ",""))&amp;IF(N($I344)&lt;=0,"Thiếu số lượng; ","")&amp;IF(N($K344)&lt;=0,"Thiếu giá bán; ","")&amp;IF(AND($N344&gt;0,$F344=""),"Khách lấy VAT thiếu mã số thuế; ","")&amp;IF(N($Q344)&gt;$P344,"Đã thu vượt tổng phải thu; ","")&amp;IF(AND($L344&gt;0,$U344&lt;0),"CẢNH BÁO: ĐƠN NÀY ĐANG LỖ; ","")))</f>
        <v/>
      </c>
      <c r="Y344" s="16" t="str">
        <f aca="false">IF(AND($C344&lt;&gt;"",$R344&gt;0),COUNTIFS($C$6:$C344,"&lt;&gt;",$R$6:$R344,"&gt;0"),"")</f>
        <v/>
      </c>
      <c r="Z344" s="16" t="str">
        <f aca="false">IF(AND($H344&lt;&gt;"",N($N344)&gt;0),COUNTIFS($H$6:$H344,"&lt;&gt;",$N$6:$N344,"&gt;0"),"")</f>
        <v/>
      </c>
      <c r="AA344" s="16" t="str">
        <f aca="false">IF(AND($H344&lt;&gt;"",N($N344)=0),COUNTIFS($H$6:$H344,"&lt;&gt;",$N$6:$N344,"&lt;=0"),"")</f>
        <v/>
      </c>
      <c r="AB344" s="16" t="str">
        <f aca="false">IF($C344="","",IF(COUNTIF($C$6:$C344,$C344)&gt;1,"",MAX($AB$5:AB343)+1))</f>
        <v/>
      </c>
      <c r="AC344" s="16" t="str">
        <f aca="false">IF($H344="","",IF(COUNTIF($H$6:$H344,$H344)&gt;1,"",MAX($AC$5:AC343)+1))</f>
        <v/>
      </c>
    </row>
    <row r="345" customFormat="false" ht="15" hidden="false" customHeight="false" outlineLevel="0" collapsed="false">
      <c r="A345" s="16" t="str">
        <f aca="false">IF($C345="","",COUNTA($C$6:$C345))</f>
        <v/>
      </c>
      <c r="B345" s="17"/>
      <c r="C345" s="8"/>
      <c r="D345" s="8"/>
      <c r="E345" s="8"/>
      <c r="F345" s="8"/>
      <c r="G345" s="8"/>
      <c r="H345" s="8"/>
      <c r="I345" s="9"/>
      <c r="J345" s="10" t="str">
        <f aca="false">IF($H345="","",IFERROR(VLOOKUP($H345,'BẢNG GIÁ GỐC'!$A$5:$D$204,3,FALSE()),""))</f>
        <v/>
      </c>
      <c r="K345" s="9"/>
      <c r="L345" s="10" t="str">
        <f aca="false">IF($C345="","",N($I345)*N($K345))</f>
        <v/>
      </c>
      <c r="M345" s="8"/>
      <c r="N345" s="11" t="str">
        <f aca="false">IF($C345="","",IF($M345="VAT 5%",0.05,IF($M345="VAT 8%",0.08,IF($M345="VAT 10%",0.1,0))))</f>
        <v/>
      </c>
      <c r="O345" s="10" t="str">
        <f aca="false">IF($C345="","",$L345*$N345)</f>
        <v/>
      </c>
      <c r="P345" s="10" t="str">
        <f aca="false">IF($C345="","",$L345+$O345)</f>
        <v/>
      </c>
      <c r="Q345" s="9"/>
      <c r="R345" s="10" t="str">
        <f aca="false">IF($C345="","",MAX(0,$P345-N($Q345)))</f>
        <v/>
      </c>
      <c r="S345" s="19" t="str">
        <f aca="false">IF(OR($C345="",$P345=0),"",IF(N($Q345)&lt;=0,"Chưa thanh toán",IF(N($Q345)&lt;$P345,"Thanh toán một phần","Đã thanh toán")))</f>
        <v/>
      </c>
      <c r="T345" s="10" t="str">
        <f aca="false">IF(OR($C345="",$J345=""),"",N($I345)*$J345)</f>
        <v/>
      </c>
      <c r="U345" s="10" t="str">
        <f aca="false">IF(OR($C345="",$T345=""),"",$L345-$T345)</f>
        <v/>
      </c>
      <c r="V345" s="11" t="str">
        <f aca="false">IF(OR($U345="",$L345=0),"",$U345/$L345)</f>
        <v/>
      </c>
      <c r="W345" s="8"/>
      <c r="X345" s="19" t="str">
        <f aca="false">IF($C345="","",IF(AND($H345="",N($I345)=0,N($K345)=0),"Dòng chỉ lưu thông tin khách (chưa có đơn); ",IF($B345="","Thiếu ngày đặt; ","")&amp;IF($H345="","Thiếu tên sản phẩm; ",IF($J345="","Sản phẩm chưa có trong BẢNG GIÁ GỐC; ",""))&amp;IF(N($I345)&lt;=0,"Thiếu số lượng; ","")&amp;IF(N($K345)&lt;=0,"Thiếu giá bán; ","")&amp;IF(AND($N345&gt;0,$F345=""),"Khách lấy VAT thiếu mã số thuế; ","")&amp;IF(N($Q345)&gt;$P345,"Đã thu vượt tổng phải thu; ","")&amp;IF(AND($L345&gt;0,$U345&lt;0),"CẢNH BÁO: ĐƠN NÀY ĐANG LỖ; ","")))</f>
        <v/>
      </c>
      <c r="Y345" s="16" t="str">
        <f aca="false">IF(AND($C345&lt;&gt;"",$R345&gt;0),COUNTIFS($C$6:$C345,"&lt;&gt;",$R$6:$R345,"&gt;0"),"")</f>
        <v/>
      </c>
      <c r="Z345" s="16" t="str">
        <f aca="false">IF(AND($H345&lt;&gt;"",N($N345)&gt;0),COUNTIFS($H$6:$H345,"&lt;&gt;",$N$6:$N345,"&gt;0"),"")</f>
        <v/>
      </c>
      <c r="AA345" s="16" t="str">
        <f aca="false">IF(AND($H345&lt;&gt;"",N($N345)=0),COUNTIFS($H$6:$H345,"&lt;&gt;",$N$6:$N345,"&lt;=0"),"")</f>
        <v/>
      </c>
      <c r="AB345" s="16" t="str">
        <f aca="false">IF($C345="","",IF(COUNTIF($C$6:$C345,$C345)&gt;1,"",MAX($AB$5:AB344)+1))</f>
        <v/>
      </c>
      <c r="AC345" s="16" t="str">
        <f aca="false">IF($H345="","",IF(COUNTIF($H$6:$H345,$H345)&gt;1,"",MAX($AC$5:AC344)+1))</f>
        <v/>
      </c>
    </row>
    <row r="346" customFormat="false" ht="15" hidden="false" customHeight="false" outlineLevel="0" collapsed="false">
      <c r="A346" s="16" t="str">
        <f aca="false">IF($C346="","",COUNTA($C$6:$C346))</f>
        <v/>
      </c>
      <c r="B346" s="17"/>
      <c r="C346" s="8"/>
      <c r="D346" s="8"/>
      <c r="E346" s="8"/>
      <c r="F346" s="8"/>
      <c r="G346" s="8"/>
      <c r="H346" s="8"/>
      <c r="I346" s="9"/>
      <c r="J346" s="10" t="str">
        <f aca="false">IF($H346="","",IFERROR(VLOOKUP($H346,'BẢNG GIÁ GỐC'!$A$5:$D$204,3,FALSE()),""))</f>
        <v/>
      </c>
      <c r="K346" s="9"/>
      <c r="L346" s="10" t="str">
        <f aca="false">IF($C346="","",N($I346)*N($K346))</f>
        <v/>
      </c>
      <c r="M346" s="8"/>
      <c r="N346" s="11" t="str">
        <f aca="false">IF($C346="","",IF($M346="VAT 5%",0.05,IF($M346="VAT 8%",0.08,IF($M346="VAT 10%",0.1,0))))</f>
        <v/>
      </c>
      <c r="O346" s="10" t="str">
        <f aca="false">IF($C346="","",$L346*$N346)</f>
        <v/>
      </c>
      <c r="P346" s="10" t="str">
        <f aca="false">IF($C346="","",$L346+$O346)</f>
        <v/>
      </c>
      <c r="Q346" s="9"/>
      <c r="R346" s="10" t="str">
        <f aca="false">IF($C346="","",MAX(0,$P346-N($Q346)))</f>
        <v/>
      </c>
      <c r="S346" s="19" t="str">
        <f aca="false">IF(OR($C346="",$P346=0),"",IF(N($Q346)&lt;=0,"Chưa thanh toán",IF(N($Q346)&lt;$P346,"Thanh toán một phần","Đã thanh toán")))</f>
        <v/>
      </c>
      <c r="T346" s="10" t="str">
        <f aca="false">IF(OR($C346="",$J346=""),"",N($I346)*$J346)</f>
        <v/>
      </c>
      <c r="U346" s="10" t="str">
        <f aca="false">IF(OR($C346="",$T346=""),"",$L346-$T346)</f>
        <v/>
      </c>
      <c r="V346" s="11" t="str">
        <f aca="false">IF(OR($U346="",$L346=0),"",$U346/$L346)</f>
        <v/>
      </c>
      <c r="W346" s="8"/>
      <c r="X346" s="19" t="str">
        <f aca="false">IF($C346="","",IF(AND($H346="",N($I346)=0,N($K346)=0),"Dòng chỉ lưu thông tin khách (chưa có đơn); ",IF($B346="","Thiếu ngày đặt; ","")&amp;IF($H346="","Thiếu tên sản phẩm; ",IF($J346="","Sản phẩm chưa có trong BẢNG GIÁ GỐC; ",""))&amp;IF(N($I346)&lt;=0,"Thiếu số lượng; ","")&amp;IF(N($K346)&lt;=0,"Thiếu giá bán; ","")&amp;IF(AND($N346&gt;0,$F346=""),"Khách lấy VAT thiếu mã số thuế; ","")&amp;IF(N($Q346)&gt;$P346,"Đã thu vượt tổng phải thu; ","")&amp;IF(AND($L346&gt;0,$U346&lt;0),"CẢNH BÁO: ĐƠN NÀY ĐANG LỖ; ","")))</f>
        <v/>
      </c>
      <c r="Y346" s="16" t="str">
        <f aca="false">IF(AND($C346&lt;&gt;"",$R346&gt;0),COUNTIFS($C$6:$C346,"&lt;&gt;",$R$6:$R346,"&gt;0"),"")</f>
        <v/>
      </c>
      <c r="Z346" s="16" t="str">
        <f aca="false">IF(AND($H346&lt;&gt;"",N($N346)&gt;0),COUNTIFS($H$6:$H346,"&lt;&gt;",$N$6:$N346,"&gt;0"),"")</f>
        <v/>
      </c>
      <c r="AA346" s="16" t="str">
        <f aca="false">IF(AND($H346&lt;&gt;"",N($N346)=0),COUNTIFS($H$6:$H346,"&lt;&gt;",$N$6:$N346,"&lt;=0"),"")</f>
        <v/>
      </c>
      <c r="AB346" s="16" t="str">
        <f aca="false">IF($C346="","",IF(COUNTIF($C$6:$C346,$C346)&gt;1,"",MAX($AB$5:AB345)+1))</f>
        <v/>
      </c>
      <c r="AC346" s="16" t="str">
        <f aca="false">IF($H346="","",IF(COUNTIF($H$6:$H346,$H346)&gt;1,"",MAX($AC$5:AC345)+1))</f>
        <v/>
      </c>
    </row>
    <row r="347" customFormat="false" ht="15" hidden="false" customHeight="false" outlineLevel="0" collapsed="false">
      <c r="A347" s="16" t="str">
        <f aca="false">IF($C347="","",COUNTA($C$6:$C347))</f>
        <v/>
      </c>
      <c r="B347" s="17"/>
      <c r="C347" s="8"/>
      <c r="D347" s="8"/>
      <c r="E347" s="8"/>
      <c r="F347" s="8"/>
      <c r="G347" s="8"/>
      <c r="H347" s="8"/>
      <c r="I347" s="9"/>
      <c r="J347" s="10" t="str">
        <f aca="false">IF($H347="","",IFERROR(VLOOKUP($H347,'BẢNG GIÁ GỐC'!$A$5:$D$204,3,FALSE()),""))</f>
        <v/>
      </c>
      <c r="K347" s="9"/>
      <c r="L347" s="10" t="str">
        <f aca="false">IF($C347="","",N($I347)*N($K347))</f>
        <v/>
      </c>
      <c r="M347" s="8"/>
      <c r="N347" s="11" t="str">
        <f aca="false">IF($C347="","",IF($M347="VAT 5%",0.05,IF($M347="VAT 8%",0.08,IF($M347="VAT 10%",0.1,0))))</f>
        <v/>
      </c>
      <c r="O347" s="10" t="str">
        <f aca="false">IF($C347="","",$L347*$N347)</f>
        <v/>
      </c>
      <c r="P347" s="10" t="str">
        <f aca="false">IF($C347="","",$L347+$O347)</f>
        <v/>
      </c>
      <c r="Q347" s="9"/>
      <c r="R347" s="10" t="str">
        <f aca="false">IF($C347="","",MAX(0,$P347-N($Q347)))</f>
        <v/>
      </c>
      <c r="S347" s="19" t="str">
        <f aca="false">IF(OR($C347="",$P347=0),"",IF(N($Q347)&lt;=0,"Chưa thanh toán",IF(N($Q347)&lt;$P347,"Thanh toán một phần","Đã thanh toán")))</f>
        <v/>
      </c>
      <c r="T347" s="10" t="str">
        <f aca="false">IF(OR($C347="",$J347=""),"",N($I347)*$J347)</f>
        <v/>
      </c>
      <c r="U347" s="10" t="str">
        <f aca="false">IF(OR($C347="",$T347=""),"",$L347-$T347)</f>
        <v/>
      </c>
      <c r="V347" s="11" t="str">
        <f aca="false">IF(OR($U347="",$L347=0),"",$U347/$L347)</f>
        <v/>
      </c>
      <c r="W347" s="8"/>
      <c r="X347" s="19" t="str">
        <f aca="false">IF($C347="","",IF(AND($H347="",N($I347)=0,N($K347)=0),"Dòng chỉ lưu thông tin khách (chưa có đơn); ",IF($B347="","Thiếu ngày đặt; ","")&amp;IF($H347="","Thiếu tên sản phẩm; ",IF($J347="","Sản phẩm chưa có trong BẢNG GIÁ GỐC; ",""))&amp;IF(N($I347)&lt;=0,"Thiếu số lượng; ","")&amp;IF(N($K347)&lt;=0,"Thiếu giá bán; ","")&amp;IF(AND($N347&gt;0,$F347=""),"Khách lấy VAT thiếu mã số thuế; ","")&amp;IF(N($Q347)&gt;$P347,"Đã thu vượt tổng phải thu; ","")&amp;IF(AND($L347&gt;0,$U347&lt;0),"CẢNH BÁO: ĐƠN NÀY ĐANG LỖ; ","")))</f>
        <v/>
      </c>
      <c r="Y347" s="16" t="str">
        <f aca="false">IF(AND($C347&lt;&gt;"",$R347&gt;0),COUNTIFS($C$6:$C347,"&lt;&gt;",$R$6:$R347,"&gt;0"),"")</f>
        <v/>
      </c>
      <c r="Z347" s="16" t="str">
        <f aca="false">IF(AND($H347&lt;&gt;"",N($N347)&gt;0),COUNTIFS($H$6:$H347,"&lt;&gt;",$N$6:$N347,"&gt;0"),"")</f>
        <v/>
      </c>
      <c r="AA347" s="16" t="str">
        <f aca="false">IF(AND($H347&lt;&gt;"",N($N347)=0),COUNTIFS($H$6:$H347,"&lt;&gt;",$N$6:$N347,"&lt;=0"),"")</f>
        <v/>
      </c>
      <c r="AB347" s="16" t="str">
        <f aca="false">IF($C347="","",IF(COUNTIF($C$6:$C347,$C347)&gt;1,"",MAX($AB$5:AB346)+1))</f>
        <v/>
      </c>
      <c r="AC347" s="16" t="str">
        <f aca="false">IF($H347="","",IF(COUNTIF($H$6:$H347,$H347)&gt;1,"",MAX($AC$5:AC346)+1))</f>
        <v/>
      </c>
    </row>
    <row r="348" customFormat="false" ht="15" hidden="false" customHeight="false" outlineLevel="0" collapsed="false">
      <c r="A348" s="16" t="str">
        <f aca="false">IF($C348="","",COUNTA($C$6:$C348))</f>
        <v/>
      </c>
      <c r="B348" s="17"/>
      <c r="C348" s="8"/>
      <c r="D348" s="8"/>
      <c r="E348" s="8"/>
      <c r="F348" s="8"/>
      <c r="G348" s="8"/>
      <c r="H348" s="8"/>
      <c r="I348" s="9"/>
      <c r="J348" s="10" t="str">
        <f aca="false">IF($H348="","",IFERROR(VLOOKUP($H348,'BẢNG GIÁ GỐC'!$A$5:$D$204,3,FALSE()),""))</f>
        <v/>
      </c>
      <c r="K348" s="9"/>
      <c r="L348" s="10" t="str">
        <f aca="false">IF($C348="","",N($I348)*N($K348))</f>
        <v/>
      </c>
      <c r="M348" s="8"/>
      <c r="N348" s="11" t="str">
        <f aca="false">IF($C348="","",IF($M348="VAT 5%",0.05,IF($M348="VAT 8%",0.08,IF($M348="VAT 10%",0.1,0))))</f>
        <v/>
      </c>
      <c r="O348" s="10" t="str">
        <f aca="false">IF($C348="","",$L348*$N348)</f>
        <v/>
      </c>
      <c r="P348" s="10" t="str">
        <f aca="false">IF($C348="","",$L348+$O348)</f>
        <v/>
      </c>
      <c r="Q348" s="9"/>
      <c r="R348" s="10" t="str">
        <f aca="false">IF($C348="","",MAX(0,$P348-N($Q348)))</f>
        <v/>
      </c>
      <c r="S348" s="19" t="str">
        <f aca="false">IF(OR($C348="",$P348=0),"",IF(N($Q348)&lt;=0,"Chưa thanh toán",IF(N($Q348)&lt;$P348,"Thanh toán một phần","Đã thanh toán")))</f>
        <v/>
      </c>
      <c r="T348" s="10" t="str">
        <f aca="false">IF(OR($C348="",$J348=""),"",N($I348)*$J348)</f>
        <v/>
      </c>
      <c r="U348" s="10" t="str">
        <f aca="false">IF(OR($C348="",$T348=""),"",$L348-$T348)</f>
        <v/>
      </c>
      <c r="V348" s="11" t="str">
        <f aca="false">IF(OR($U348="",$L348=0),"",$U348/$L348)</f>
        <v/>
      </c>
      <c r="W348" s="8"/>
      <c r="X348" s="19" t="str">
        <f aca="false">IF($C348="","",IF(AND($H348="",N($I348)=0,N($K348)=0),"Dòng chỉ lưu thông tin khách (chưa có đơn); ",IF($B348="","Thiếu ngày đặt; ","")&amp;IF($H348="","Thiếu tên sản phẩm; ",IF($J348="","Sản phẩm chưa có trong BẢNG GIÁ GỐC; ",""))&amp;IF(N($I348)&lt;=0,"Thiếu số lượng; ","")&amp;IF(N($K348)&lt;=0,"Thiếu giá bán; ","")&amp;IF(AND($N348&gt;0,$F348=""),"Khách lấy VAT thiếu mã số thuế; ","")&amp;IF(N($Q348)&gt;$P348,"Đã thu vượt tổng phải thu; ","")&amp;IF(AND($L348&gt;0,$U348&lt;0),"CẢNH BÁO: ĐƠN NÀY ĐANG LỖ; ","")))</f>
        <v/>
      </c>
      <c r="Y348" s="16" t="str">
        <f aca="false">IF(AND($C348&lt;&gt;"",$R348&gt;0),COUNTIFS($C$6:$C348,"&lt;&gt;",$R$6:$R348,"&gt;0"),"")</f>
        <v/>
      </c>
      <c r="Z348" s="16" t="str">
        <f aca="false">IF(AND($H348&lt;&gt;"",N($N348)&gt;0),COUNTIFS($H$6:$H348,"&lt;&gt;",$N$6:$N348,"&gt;0"),"")</f>
        <v/>
      </c>
      <c r="AA348" s="16" t="str">
        <f aca="false">IF(AND($H348&lt;&gt;"",N($N348)=0),COUNTIFS($H$6:$H348,"&lt;&gt;",$N$6:$N348,"&lt;=0"),"")</f>
        <v/>
      </c>
      <c r="AB348" s="16" t="str">
        <f aca="false">IF($C348="","",IF(COUNTIF($C$6:$C348,$C348)&gt;1,"",MAX($AB$5:AB347)+1))</f>
        <v/>
      </c>
      <c r="AC348" s="16" t="str">
        <f aca="false">IF($H348="","",IF(COUNTIF($H$6:$H348,$H348)&gt;1,"",MAX($AC$5:AC347)+1))</f>
        <v/>
      </c>
    </row>
    <row r="349" customFormat="false" ht="15" hidden="false" customHeight="false" outlineLevel="0" collapsed="false">
      <c r="A349" s="16" t="str">
        <f aca="false">IF($C349="","",COUNTA($C$6:$C349))</f>
        <v/>
      </c>
      <c r="B349" s="17"/>
      <c r="C349" s="8"/>
      <c r="D349" s="8"/>
      <c r="E349" s="8"/>
      <c r="F349" s="8"/>
      <c r="G349" s="8"/>
      <c r="H349" s="8"/>
      <c r="I349" s="9"/>
      <c r="J349" s="10" t="str">
        <f aca="false">IF($H349="","",IFERROR(VLOOKUP($H349,'BẢNG GIÁ GỐC'!$A$5:$D$204,3,FALSE()),""))</f>
        <v/>
      </c>
      <c r="K349" s="9"/>
      <c r="L349" s="10" t="str">
        <f aca="false">IF($C349="","",N($I349)*N($K349))</f>
        <v/>
      </c>
      <c r="M349" s="8"/>
      <c r="N349" s="11" t="str">
        <f aca="false">IF($C349="","",IF($M349="VAT 5%",0.05,IF($M349="VAT 8%",0.08,IF($M349="VAT 10%",0.1,0))))</f>
        <v/>
      </c>
      <c r="O349" s="10" t="str">
        <f aca="false">IF($C349="","",$L349*$N349)</f>
        <v/>
      </c>
      <c r="P349" s="10" t="str">
        <f aca="false">IF($C349="","",$L349+$O349)</f>
        <v/>
      </c>
      <c r="Q349" s="9"/>
      <c r="R349" s="10" t="str">
        <f aca="false">IF($C349="","",MAX(0,$P349-N($Q349)))</f>
        <v/>
      </c>
      <c r="S349" s="19" t="str">
        <f aca="false">IF(OR($C349="",$P349=0),"",IF(N($Q349)&lt;=0,"Chưa thanh toán",IF(N($Q349)&lt;$P349,"Thanh toán một phần","Đã thanh toán")))</f>
        <v/>
      </c>
      <c r="T349" s="10" t="str">
        <f aca="false">IF(OR($C349="",$J349=""),"",N($I349)*$J349)</f>
        <v/>
      </c>
      <c r="U349" s="10" t="str">
        <f aca="false">IF(OR($C349="",$T349=""),"",$L349-$T349)</f>
        <v/>
      </c>
      <c r="V349" s="11" t="str">
        <f aca="false">IF(OR($U349="",$L349=0),"",$U349/$L349)</f>
        <v/>
      </c>
      <c r="W349" s="8"/>
      <c r="X349" s="19" t="str">
        <f aca="false">IF($C349="","",IF(AND($H349="",N($I349)=0,N($K349)=0),"Dòng chỉ lưu thông tin khách (chưa có đơn); ",IF($B349="","Thiếu ngày đặt; ","")&amp;IF($H349="","Thiếu tên sản phẩm; ",IF($J349="","Sản phẩm chưa có trong BẢNG GIÁ GỐC; ",""))&amp;IF(N($I349)&lt;=0,"Thiếu số lượng; ","")&amp;IF(N($K349)&lt;=0,"Thiếu giá bán; ","")&amp;IF(AND($N349&gt;0,$F349=""),"Khách lấy VAT thiếu mã số thuế; ","")&amp;IF(N($Q349)&gt;$P349,"Đã thu vượt tổng phải thu; ","")&amp;IF(AND($L349&gt;0,$U349&lt;0),"CẢNH BÁO: ĐƠN NÀY ĐANG LỖ; ","")))</f>
        <v/>
      </c>
      <c r="Y349" s="16" t="str">
        <f aca="false">IF(AND($C349&lt;&gt;"",$R349&gt;0),COUNTIFS($C$6:$C349,"&lt;&gt;",$R$6:$R349,"&gt;0"),"")</f>
        <v/>
      </c>
      <c r="Z349" s="16" t="str">
        <f aca="false">IF(AND($H349&lt;&gt;"",N($N349)&gt;0),COUNTIFS($H$6:$H349,"&lt;&gt;",$N$6:$N349,"&gt;0"),"")</f>
        <v/>
      </c>
      <c r="AA349" s="16" t="str">
        <f aca="false">IF(AND($H349&lt;&gt;"",N($N349)=0),COUNTIFS($H$6:$H349,"&lt;&gt;",$N$6:$N349,"&lt;=0"),"")</f>
        <v/>
      </c>
      <c r="AB349" s="16" t="str">
        <f aca="false">IF($C349="","",IF(COUNTIF($C$6:$C349,$C349)&gt;1,"",MAX($AB$5:AB348)+1))</f>
        <v/>
      </c>
      <c r="AC349" s="16" t="str">
        <f aca="false">IF($H349="","",IF(COUNTIF($H$6:$H349,$H349)&gt;1,"",MAX($AC$5:AC348)+1))</f>
        <v/>
      </c>
    </row>
    <row r="350" customFormat="false" ht="15" hidden="false" customHeight="false" outlineLevel="0" collapsed="false">
      <c r="A350" s="16" t="str">
        <f aca="false">IF($C350="","",COUNTA($C$6:$C350))</f>
        <v/>
      </c>
      <c r="B350" s="17"/>
      <c r="C350" s="8"/>
      <c r="D350" s="8"/>
      <c r="E350" s="8"/>
      <c r="F350" s="8"/>
      <c r="G350" s="8"/>
      <c r="H350" s="8"/>
      <c r="I350" s="9"/>
      <c r="J350" s="10" t="str">
        <f aca="false">IF($H350="","",IFERROR(VLOOKUP($H350,'BẢNG GIÁ GỐC'!$A$5:$D$204,3,FALSE()),""))</f>
        <v/>
      </c>
      <c r="K350" s="9"/>
      <c r="L350" s="10" t="str">
        <f aca="false">IF($C350="","",N($I350)*N($K350))</f>
        <v/>
      </c>
      <c r="M350" s="8"/>
      <c r="N350" s="11" t="str">
        <f aca="false">IF($C350="","",IF($M350="VAT 5%",0.05,IF($M350="VAT 8%",0.08,IF($M350="VAT 10%",0.1,0))))</f>
        <v/>
      </c>
      <c r="O350" s="10" t="str">
        <f aca="false">IF($C350="","",$L350*$N350)</f>
        <v/>
      </c>
      <c r="P350" s="10" t="str">
        <f aca="false">IF($C350="","",$L350+$O350)</f>
        <v/>
      </c>
      <c r="Q350" s="9"/>
      <c r="R350" s="10" t="str">
        <f aca="false">IF($C350="","",MAX(0,$P350-N($Q350)))</f>
        <v/>
      </c>
      <c r="S350" s="19" t="str">
        <f aca="false">IF(OR($C350="",$P350=0),"",IF(N($Q350)&lt;=0,"Chưa thanh toán",IF(N($Q350)&lt;$P350,"Thanh toán một phần","Đã thanh toán")))</f>
        <v/>
      </c>
      <c r="T350" s="10" t="str">
        <f aca="false">IF(OR($C350="",$J350=""),"",N($I350)*$J350)</f>
        <v/>
      </c>
      <c r="U350" s="10" t="str">
        <f aca="false">IF(OR($C350="",$T350=""),"",$L350-$T350)</f>
        <v/>
      </c>
      <c r="V350" s="11" t="str">
        <f aca="false">IF(OR($U350="",$L350=0),"",$U350/$L350)</f>
        <v/>
      </c>
      <c r="W350" s="8"/>
      <c r="X350" s="19" t="str">
        <f aca="false">IF($C350="","",IF(AND($H350="",N($I350)=0,N($K350)=0),"Dòng chỉ lưu thông tin khách (chưa có đơn); ",IF($B350="","Thiếu ngày đặt; ","")&amp;IF($H350="","Thiếu tên sản phẩm; ",IF($J350="","Sản phẩm chưa có trong BẢNG GIÁ GỐC; ",""))&amp;IF(N($I350)&lt;=0,"Thiếu số lượng; ","")&amp;IF(N($K350)&lt;=0,"Thiếu giá bán; ","")&amp;IF(AND($N350&gt;0,$F350=""),"Khách lấy VAT thiếu mã số thuế; ","")&amp;IF(N($Q350)&gt;$P350,"Đã thu vượt tổng phải thu; ","")&amp;IF(AND($L350&gt;0,$U350&lt;0),"CẢNH BÁO: ĐƠN NÀY ĐANG LỖ; ","")))</f>
        <v/>
      </c>
      <c r="Y350" s="16" t="str">
        <f aca="false">IF(AND($C350&lt;&gt;"",$R350&gt;0),COUNTIFS($C$6:$C350,"&lt;&gt;",$R$6:$R350,"&gt;0"),"")</f>
        <v/>
      </c>
      <c r="Z350" s="16" t="str">
        <f aca="false">IF(AND($H350&lt;&gt;"",N($N350)&gt;0),COUNTIFS($H$6:$H350,"&lt;&gt;",$N$6:$N350,"&gt;0"),"")</f>
        <v/>
      </c>
      <c r="AA350" s="16" t="str">
        <f aca="false">IF(AND($H350&lt;&gt;"",N($N350)=0),COUNTIFS($H$6:$H350,"&lt;&gt;",$N$6:$N350,"&lt;=0"),"")</f>
        <v/>
      </c>
      <c r="AB350" s="16" t="str">
        <f aca="false">IF($C350="","",IF(COUNTIF($C$6:$C350,$C350)&gt;1,"",MAX($AB$5:AB349)+1))</f>
        <v/>
      </c>
      <c r="AC350" s="16" t="str">
        <f aca="false">IF($H350="","",IF(COUNTIF($H$6:$H350,$H350)&gt;1,"",MAX($AC$5:AC349)+1))</f>
        <v/>
      </c>
    </row>
    <row r="351" customFormat="false" ht="15" hidden="false" customHeight="false" outlineLevel="0" collapsed="false">
      <c r="A351" s="16" t="str">
        <f aca="false">IF($C351="","",COUNTA($C$6:$C351))</f>
        <v/>
      </c>
      <c r="B351" s="17"/>
      <c r="C351" s="8"/>
      <c r="D351" s="8"/>
      <c r="E351" s="8"/>
      <c r="F351" s="8"/>
      <c r="G351" s="8"/>
      <c r="H351" s="8"/>
      <c r="I351" s="9"/>
      <c r="J351" s="10" t="str">
        <f aca="false">IF($H351="","",IFERROR(VLOOKUP($H351,'BẢNG GIÁ GỐC'!$A$5:$D$204,3,FALSE()),""))</f>
        <v/>
      </c>
      <c r="K351" s="9"/>
      <c r="L351" s="10" t="str">
        <f aca="false">IF($C351="","",N($I351)*N($K351))</f>
        <v/>
      </c>
      <c r="M351" s="8"/>
      <c r="N351" s="11" t="str">
        <f aca="false">IF($C351="","",IF($M351="VAT 5%",0.05,IF($M351="VAT 8%",0.08,IF($M351="VAT 10%",0.1,0))))</f>
        <v/>
      </c>
      <c r="O351" s="10" t="str">
        <f aca="false">IF($C351="","",$L351*$N351)</f>
        <v/>
      </c>
      <c r="P351" s="10" t="str">
        <f aca="false">IF($C351="","",$L351+$O351)</f>
        <v/>
      </c>
      <c r="Q351" s="9"/>
      <c r="R351" s="10" t="str">
        <f aca="false">IF($C351="","",MAX(0,$P351-N($Q351)))</f>
        <v/>
      </c>
      <c r="S351" s="19" t="str">
        <f aca="false">IF(OR($C351="",$P351=0),"",IF(N($Q351)&lt;=0,"Chưa thanh toán",IF(N($Q351)&lt;$P351,"Thanh toán một phần","Đã thanh toán")))</f>
        <v/>
      </c>
      <c r="T351" s="10" t="str">
        <f aca="false">IF(OR($C351="",$J351=""),"",N($I351)*$J351)</f>
        <v/>
      </c>
      <c r="U351" s="10" t="str">
        <f aca="false">IF(OR($C351="",$T351=""),"",$L351-$T351)</f>
        <v/>
      </c>
      <c r="V351" s="11" t="str">
        <f aca="false">IF(OR($U351="",$L351=0),"",$U351/$L351)</f>
        <v/>
      </c>
      <c r="W351" s="8"/>
      <c r="X351" s="19" t="str">
        <f aca="false">IF($C351="","",IF(AND($H351="",N($I351)=0,N($K351)=0),"Dòng chỉ lưu thông tin khách (chưa có đơn); ",IF($B351="","Thiếu ngày đặt; ","")&amp;IF($H351="","Thiếu tên sản phẩm; ",IF($J351="","Sản phẩm chưa có trong BẢNG GIÁ GỐC; ",""))&amp;IF(N($I351)&lt;=0,"Thiếu số lượng; ","")&amp;IF(N($K351)&lt;=0,"Thiếu giá bán; ","")&amp;IF(AND($N351&gt;0,$F351=""),"Khách lấy VAT thiếu mã số thuế; ","")&amp;IF(N($Q351)&gt;$P351,"Đã thu vượt tổng phải thu; ","")&amp;IF(AND($L351&gt;0,$U351&lt;0),"CẢNH BÁO: ĐƠN NÀY ĐANG LỖ; ","")))</f>
        <v/>
      </c>
      <c r="Y351" s="16" t="str">
        <f aca="false">IF(AND($C351&lt;&gt;"",$R351&gt;0),COUNTIFS($C$6:$C351,"&lt;&gt;",$R$6:$R351,"&gt;0"),"")</f>
        <v/>
      </c>
      <c r="Z351" s="16" t="str">
        <f aca="false">IF(AND($H351&lt;&gt;"",N($N351)&gt;0),COUNTIFS($H$6:$H351,"&lt;&gt;",$N$6:$N351,"&gt;0"),"")</f>
        <v/>
      </c>
      <c r="AA351" s="16" t="str">
        <f aca="false">IF(AND($H351&lt;&gt;"",N($N351)=0),COUNTIFS($H$6:$H351,"&lt;&gt;",$N$6:$N351,"&lt;=0"),"")</f>
        <v/>
      </c>
      <c r="AB351" s="16" t="str">
        <f aca="false">IF($C351="","",IF(COUNTIF($C$6:$C351,$C351)&gt;1,"",MAX($AB$5:AB350)+1))</f>
        <v/>
      </c>
      <c r="AC351" s="16" t="str">
        <f aca="false">IF($H351="","",IF(COUNTIF($H$6:$H351,$H351)&gt;1,"",MAX($AC$5:AC350)+1))</f>
        <v/>
      </c>
    </row>
    <row r="352" customFormat="false" ht="15" hidden="false" customHeight="false" outlineLevel="0" collapsed="false">
      <c r="A352" s="16" t="str">
        <f aca="false">IF($C352="","",COUNTA($C$6:$C352))</f>
        <v/>
      </c>
      <c r="B352" s="17"/>
      <c r="C352" s="8"/>
      <c r="D352" s="8"/>
      <c r="E352" s="8"/>
      <c r="F352" s="8"/>
      <c r="G352" s="8"/>
      <c r="H352" s="8"/>
      <c r="I352" s="9"/>
      <c r="J352" s="10" t="str">
        <f aca="false">IF($H352="","",IFERROR(VLOOKUP($H352,'BẢNG GIÁ GỐC'!$A$5:$D$204,3,FALSE()),""))</f>
        <v/>
      </c>
      <c r="K352" s="9"/>
      <c r="L352" s="10" t="str">
        <f aca="false">IF($C352="","",N($I352)*N($K352))</f>
        <v/>
      </c>
      <c r="M352" s="8"/>
      <c r="N352" s="11" t="str">
        <f aca="false">IF($C352="","",IF($M352="VAT 5%",0.05,IF($M352="VAT 8%",0.08,IF($M352="VAT 10%",0.1,0))))</f>
        <v/>
      </c>
      <c r="O352" s="10" t="str">
        <f aca="false">IF($C352="","",$L352*$N352)</f>
        <v/>
      </c>
      <c r="P352" s="10" t="str">
        <f aca="false">IF($C352="","",$L352+$O352)</f>
        <v/>
      </c>
      <c r="Q352" s="9"/>
      <c r="R352" s="10" t="str">
        <f aca="false">IF($C352="","",MAX(0,$P352-N($Q352)))</f>
        <v/>
      </c>
      <c r="S352" s="19" t="str">
        <f aca="false">IF(OR($C352="",$P352=0),"",IF(N($Q352)&lt;=0,"Chưa thanh toán",IF(N($Q352)&lt;$P352,"Thanh toán một phần","Đã thanh toán")))</f>
        <v/>
      </c>
      <c r="T352" s="10" t="str">
        <f aca="false">IF(OR($C352="",$J352=""),"",N($I352)*$J352)</f>
        <v/>
      </c>
      <c r="U352" s="10" t="str">
        <f aca="false">IF(OR($C352="",$T352=""),"",$L352-$T352)</f>
        <v/>
      </c>
      <c r="V352" s="11" t="str">
        <f aca="false">IF(OR($U352="",$L352=0),"",$U352/$L352)</f>
        <v/>
      </c>
      <c r="W352" s="8"/>
      <c r="X352" s="19" t="str">
        <f aca="false">IF($C352="","",IF(AND($H352="",N($I352)=0,N($K352)=0),"Dòng chỉ lưu thông tin khách (chưa có đơn); ",IF($B352="","Thiếu ngày đặt; ","")&amp;IF($H352="","Thiếu tên sản phẩm; ",IF($J352="","Sản phẩm chưa có trong BẢNG GIÁ GỐC; ",""))&amp;IF(N($I352)&lt;=0,"Thiếu số lượng; ","")&amp;IF(N($K352)&lt;=0,"Thiếu giá bán; ","")&amp;IF(AND($N352&gt;0,$F352=""),"Khách lấy VAT thiếu mã số thuế; ","")&amp;IF(N($Q352)&gt;$P352,"Đã thu vượt tổng phải thu; ","")&amp;IF(AND($L352&gt;0,$U352&lt;0),"CẢNH BÁO: ĐƠN NÀY ĐANG LỖ; ","")))</f>
        <v/>
      </c>
      <c r="Y352" s="16" t="str">
        <f aca="false">IF(AND($C352&lt;&gt;"",$R352&gt;0),COUNTIFS($C$6:$C352,"&lt;&gt;",$R$6:$R352,"&gt;0"),"")</f>
        <v/>
      </c>
      <c r="Z352" s="16" t="str">
        <f aca="false">IF(AND($H352&lt;&gt;"",N($N352)&gt;0),COUNTIFS($H$6:$H352,"&lt;&gt;",$N$6:$N352,"&gt;0"),"")</f>
        <v/>
      </c>
      <c r="AA352" s="16" t="str">
        <f aca="false">IF(AND($H352&lt;&gt;"",N($N352)=0),COUNTIFS($H$6:$H352,"&lt;&gt;",$N$6:$N352,"&lt;=0"),"")</f>
        <v/>
      </c>
      <c r="AB352" s="16" t="str">
        <f aca="false">IF($C352="","",IF(COUNTIF($C$6:$C352,$C352)&gt;1,"",MAX($AB$5:AB351)+1))</f>
        <v/>
      </c>
      <c r="AC352" s="16" t="str">
        <f aca="false">IF($H352="","",IF(COUNTIF($H$6:$H352,$H352)&gt;1,"",MAX($AC$5:AC351)+1))</f>
        <v/>
      </c>
    </row>
    <row r="353" customFormat="false" ht="15" hidden="false" customHeight="false" outlineLevel="0" collapsed="false">
      <c r="A353" s="16" t="str">
        <f aca="false">IF($C353="","",COUNTA($C$6:$C353))</f>
        <v/>
      </c>
      <c r="B353" s="17"/>
      <c r="C353" s="8"/>
      <c r="D353" s="8"/>
      <c r="E353" s="8"/>
      <c r="F353" s="8"/>
      <c r="G353" s="8"/>
      <c r="H353" s="8"/>
      <c r="I353" s="9"/>
      <c r="J353" s="10" t="str">
        <f aca="false">IF($H353="","",IFERROR(VLOOKUP($H353,'BẢNG GIÁ GỐC'!$A$5:$D$204,3,FALSE()),""))</f>
        <v/>
      </c>
      <c r="K353" s="9"/>
      <c r="L353" s="10" t="str">
        <f aca="false">IF($C353="","",N($I353)*N($K353))</f>
        <v/>
      </c>
      <c r="M353" s="8"/>
      <c r="N353" s="11" t="str">
        <f aca="false">IF($C353="","",IF($M353="VAT 5%",0.05,IF($M353="VAT 8%",0.08,IF($M353="VAT 10%",0.1,0))))</f>
        <v/>
      </c>
      <c r="O353" s="10" t="str">
        <f aca="false">IF($C353="","",$L353*$N353)</f>
        <v/>
      </c>
      <c r="P353" s="10" t="str">
        <f aca="false">IF($C353="","",$L353+$O353)</f>
        <v/>
      </c>
      <c r="Q353" s="9"/>
      <c r="R353" s="10" t="str">
        <f aca="false">IF($C353="","",MAX(0,$P353-N($Q353)))</f>
        <v/>
      </c>
      <c r="S353" s="19" t="str">
        <f aca="false">IF(OR($C353="",$P353=0),"",IF(N($Q353)&lt;=0,"Chưa thanh toán",IF(N($Q353)&lt;$P353,"Thanh toán một phần","Đã thanh toán")))</f>
        <v/>
      </c>
      <c r="T353" s="10" t="str">
        <f aca="false">IF(OR($C353="",$J353=""),"",N($I353)*$J353)</f>
        <v/>
      </c>
      <c r="U353" s="10" t="str">
        <f aca="false">IF(OR($C353="",$T353=""),"",$L353-$T353)</f>
        <v/>
      </c>
      <c r="V353" s="11" t="str">
        <f aca="false">IF(OR($U353="",$L353=0),"",$U353/$L353)</f>
        <v/>
      </c>
      <c r="W353" s="8"/>
      <c r="X353" s="19" t="str">
        <f aca="false">IF($C353="","",IF(AND($H353="",N($I353)=0,N($K353)=0),"Dòng chỉ lưu thông tin khách (chưa có đơn); ",IF($B353="","Thiếu ngày đặt; ","")&amp;IF($H353="","Thiếu tên sản phẩm; ",IF($J353="","Sản phẩm chưa có trong BẢNG GIÁ GỐC; ",""))&amp;IF(N($I353)&lt;=0,"Thiếu số lượng; ","")&amp;IF(N($K353)&lt;=0,"Thiếu giá bán; ","")&amp;IF(AND($N353&gt;0,$F353=""),"Khách lấy VAT thiếu mã số thuế; ","")&amp;IF(N($Q353)&gt;$P353,"Đã thu vượt tổng phải thu; ","")&amp;IF(AND($L353&gt;0,$U353&lt;0),"CẢNH BÁO: ĐƠN NÀY ĐANG LỖ; ","")))</f>
        <v/>
      </c>
      <c r="Y353" s="16" t="str">
        <f aca="false">IF(AND($C353&lt;&gt;"",$R353&gt;0),COUNTIFS($C$6:$C353,"&lt;&gt;",$R$6:$R353,"&gt;0"),"")</f>
        <v/>
      </c>
      <c r="Z353" s="16" t="str">
        <f aca="false">IF(AND($H353&lt;&gt;"",N($N353)&gt;0),COUNTIFS($H$6:$H353,"&lt;&gt;",$N$6:$N353,"&gt;0"),"")</f>
        <v/>
      </c>
      <c r="AA353" s="16" t="str">
        <f aca="false">IF(AND($H353&lt;&gt;"",N($N353)=0),COUNTIFS($H$6:$H353,"&lt;&gt;",$N$6:$N353,"&lt;=0"),"")</f>
        <v/>
      </c>
      <c r="AB353" s="16" t="str">
        <f aca="false">IF($C353="","",IF(COUNTIF($C$6:$C353,$C353)&gt;1,"",MAX($AB$5:AB352)+1))</f>
        <v/>
      </c>
      <c r="AC353" s="16" t="str">
        <f aca="false">IF($H353="","",IF(COUNTIF($H$6:$H353,$H353)&gt;1,"",MAX($AC$5:AC352)+1))</f>
        <v/>
      </c>
    </row>
    <row r="354" customFormat="false" ht="15" hidden="false" customHeight="false" outlineLevel="0" collapsed="false">
      <c r="A354" s="16" t="str">
        <f aca="false">IF($C354="","",COUNTA($C$6:$C354))</f>
        <v/>
      </c>
      <c r="B354" s="17"/>
      <c r="C354" s="8"/>
      <c r="D354" s="8"/>
      <c r="E354" s="8"/>
      <c r="F354" s="8"/>
      <c r="G354" s="8"/>
      <c r="H354" s="8"/>
      <c r="I354" s="9"/>
      <c r="J354" s="10" t="str">
        <f aca="false">IF($H354="","",IFERROR(VLOOKUP($H354,'BẢNG GIÁ GỐC'!$A$5:$D$204,3,FALSE()),""))</f>
        <v/>
      </c>
      <c r="K354" s="9"/>
      <c r="L354" s="10" t="str">
        <f aca="false">IF($C354="","",N($I354)*N($K354))</f>
        <v/>
      </c>
      <c r="M354" s="8"/>
      <c r="N354" s="11" t="str">
        <f aca="false">IF($C354="","",IF($M354="VAT 5%",0.05,IF($M354="VAT 8%",0.08,IF($M354="VAT 10%",0.1,0))))</f>
        <v/>
      </c>
      <c r="O354" s="10" t="str">
        <f aca="false">IF($C354="","",$L354*$N354)</f>
        <v/>
      </c>
      <c r="P354" s="10" t="str">
        <f aca="false">IF($C354="","",$L354+$O354)</f>
        <v/>
      </c>
      <c r="Q354" s="9"/>
      <c r="R354" s="10" t="str">
        <f aca="false">IF($C354="","",MAX(0,$P354-N($Q354)))</f>
        <v/>
      </c>
      <c r="S354" s="19" t="str">
        <f aca="false">IF(OR($C354="",$P354=0),"",IF(N($Q354)&lt;=0,"Chưa thanh toán",IF(N($Q354)&lt;$P354,"Thanh toán một phần","Đã thanh toán")))</f>
        <v/>
      </c>
      <c r="T354" s="10" t="str">
        <f aca="false">IF(OR($C354="",$J354=""),"",N($I354)*$J354)</f>
        <v/>
      </c>
      <c r="U354" s="10" t="str">
        <f aca="false">IF(OR($C354="",$T354=""),"",$L354-$T354)</f>
        <v/>
      </c>
      <c r="V354" s="11" t="str">
        <f aca="false">IF(OR($U354="",$L354=0),"",$U354/$L354)</f>
        <v/>
      </c>
      <c r="W354" s="8"/>
      <c r="X354" s="19" t="str">
        <f aca="false">IF($C354="","",IF(AND($H354="",N($I354)=0,N($K354)=0),"Dòng chỉ lưu thông tin khách (chưa có đơn); ",IF($B354="","Thiếu ngày đặt; ","")&amp;IF($H354="","Thiếu tên sản phẩm; ",IF($J354="","Sản phẩm chưa có trong BẢNG GIÁ GỐC; ",""))&amp;IF(N($I354)&lt;=0,"Thiếu số lượng; ","")&amp;IF(N($K354)&lt;=0,"Thiếu giá bán; ","")&amp;IF(AND($N354&gt;0,$F354=""),"Khách lấy VAT thiếu mã số thuế; ","")&amp;IF(N($Q354)&gt;$P354,"Đã thu vượt tổng phải thu; ","")&amp;IF(AND($L354&gt;0,$U354&lt;0),"CẢNH BÁO: ĐƠN NÀY ĐANG LỖ; ","")))</f>
        <v/>
      </c>
      <c r="Y354" s="16" t="str">
        <f aca="false">IF(AND($C354&lt;&gt;"",$R354&gt;0),COUNTIFS($C$6:$C354,"&lt;&gt;",$R$6:$R354,"&gt;0"),"")</f>
        <v/>
      </c>
      <c r="Z354" s="16" t="str">
        <f aca="false">IF(AND($H354&lt;&gt;"",N($N354)&gt;0),COUNTIFS($H$6:$H354,"&lt;&gt;",$N$6:$N354,"&gt;0"),"")</f>
        <v/>
      </c>
      <c r="AA354" s="16" t="str">
        <f aca="false">IF(AND($H354&lt;&gt;"",N($N354)=0),COUNTIFS($H$6:$H354,"&lt;&gt;",$N$6:$N354,"&lt;=0"),"")</f>
        <v/>
      </c>
      <c r="AB354" s="16" t="str">
        <f aca="false">IF($C354="","",IF(COUNTIF($C$6:$C354,$C354)&gt;1,"",MAX($AB$5:AB353)+1))</f>
        <v/>
      </c>
      <c r="AC354" s="16" t="str">
        <f aca="false">IF($H354="","",IF(COUNTIF($H$6:$H354,$H354)&gt;1,"",MAX($AC$5:AC353)+1))</f>
        <v/>
      </c>
    </row>
    <row r="355" customFormat="false" ht="15" hidden="false" customHeight="false" outlineLevel="0" collapsed="false">
      <c r="A355" s="16" t="str">
        <f aca="false">IF($C355="","",COUNTA($C$6:$C355))</f>
        <v/>
      </c>
      <c r="B355" s="17"/>
      <c r="C355" s="8"/>
      <c r="D355" s="8"/>
      <c r="E355" s="8"/>
      <c r="F355" s="8"/>
      <c r="G355" s="8"/>
      <c r="H355" s="8"/>
      <c r="I355" s="9"/>
      <c r="J355" s="10" t="str">
        <f aca="false">IF($H355="","",IFERROR(VLOOKUP($H355,'BẢNG GIÁ GỐC'!$A$5:$D$204,3,FALSE()),""))</f>
        <v/>
      </c>
      <c r="K355" s="9"/>
      <c r="L355" s="10" t="str">
        <f aca="false">IF($C355="","",N($I355)*N($K355))</f>
        <v/>
      </c>
      <c r="M355" s="8"/>
      <c r="N355" s="11" t="str">
        <f aca="false">IF($C355="","",IF($M355="VAT 5%",0.05,IF($M355="VAT 8%",0.08,IF($M355="VAT 10%",0.1,0))))</f>
        <v/>
      </c>
      <c r="O355" s="10" t="str">
        <f aca="false">IF($C355="","",$L355*$N355)</f>
        <v/>
      </c>
      <c r="P355" s="10" t="str">
        <f aca="false">IF($C355="","",$L355+$O355)</f>
        <v/>
      </c>
      <c r="Q355" s="9"/>
      <c r="R355" s="10" t="str">
        <f aca="false">IF($C355="","",MAX(0,$P355-N($Q355)))</f>
        <v/>
      </c>
      <c r="S355" s="19" t="str">
        <f aca="false">IF(OR($C355="",$P355=0),"",IF(N($Q355)&lt;=0,"Chưa thanh toán",IF(N($Q355)&lt;$P355,"Thanh toán một phần","Đã thanh toán")))</f>
        <v/>
      </c>
      <c r="T355" s="10" t="str">
        <f aca="false">IF(OR($C355="",$J355=""),"",N($I355)*$J355)</f>
        <v/>
      </c>
      <c r="U355" s="10" t="str">
        <f aca="false">IF(OR($C355="",$T355=""),"",$L355-$T355)</f>
        <v/>
      </c>
      <c r="V355" s="11" t="str">
        <f aca="false">IF(OR($U355="",$L355=0),"",$U355/$L355)</f>
        <v/>
      </c>
      <c r="W355" s="8"/>
      <c r="X355" s="19" t="str">
        <f aca="false">IF($C355="","",IF(AND($H355="",N($I355)=0,N($K355)=0),"Dòng chỉ lưu thông tin khách (chưa có đơn); ",IF($B355="","Thiếu ngày đặt; ","")&amp;IF($H355="","Thiếu tên sản phẩm; ",IF($J355="","Sản phẩm chưa có trong BẢNG GIÁ GỐC; ",""))&amp;IF(N($I355)&lt;=0,"Thiếu số lượng; ","")&amp;IF(N($K355)&lt;=0,"Thiếu giá bán; ","")&amp;IF(AND($N355&gt;0,$F355=""),"Khách lấy VAT thiếu mã số thuế; ","")&amp;IF(N($Q355)&gt;$P355,"Đã thu vượt tổng phải thu; ","")&amp;IF(AND($L355&gt;0,$U355&lt;0),"CẢNH BÁO: ĐƠN NÀY ĐANG LỖ; ","")))</f>
        <v/>
      </c>
      <c r="Y355" s="16" t="str">
        <f aca="false">IF(AND($C355&lt;&gt;"",$R355&gt;0),COUNTIFS($C$6:$C355,"&lt;&gt;",$R$6:$R355,"&gt;0"),"")</f>
        <v/>
      </c>
      <c r="Z355" s="16" t="str">
        <f aca="false">IF(AND($H355&lt;&gt;"",N($N355)&gt;0),COUNTIFS($H$6:$H355,"&lt;&gt;",$N$6:$N355,"&gt;0"),"")</f>
        <v/>
      </c>
      <c r="AA355" s="16" t="str">
        <f aca="false">IF(AND($H355&lt;&gt;"",N($N355)=0),COUNTIFS($H$6:$H355,"&lt;&gt;",$N$6:$N355,"&lt;=0"),"")</f>
        <v/>
      </c>
      <c r="AB355" s="16" t="str">
        <f aca="false">IF($C355="","",IF(COUNTIF($C$6:$C355,$C355)&gt;1,"",MAX($AB$5:AB354)+1))</f>
        <v/>
      </c>
      <c r="AC355" s="16" t="str">
        <f aca="false">IF($H355="","",IF(COUNTIF($H$6:$H355,$H355)&gt;1,"",MAX($AC$5:AC354)+1))</f>
        <v/>
      </c>
    </row>
    <row r="356" customFormat="false" ht="15" hidden="false" customHeight="false" outlineLevel="0" collapsed="false">
      <c r="A356" s="16" t="str">
        <f aca="false">IF($C356="","",COUNTA($C$6:$C356))</f>
        <v/>
      </c>
      <c r="B356" s="17"/>
      <c r="C356" s="8"/>
      <c r="D356" s="8"/>
      <c r="E356" s="8"/>
      <c r="F356" s="8"/>
      <c r="G356" s="8"/>
      <c r="H356" s="8"/>
      <c r="I356" s="9"/>
      <c r="J356" s="10" t="str">
        <f aca="false">IF($H356="","",IFERROR(VLOOKUP($H356,'BẢNG GIÁ GỐC'!$A$5:$D$204,3,FALSE()),""))</f>
        <v/>
      </c>
      <c r="K356" s="9"/>
      <c r="L356" s="10" t="str">
        <f aca="false">IF($C356="","",N($I356)*N($K356))</f>
        <v/>
      </c>
      <c r="M356" s="8"/>
      <c r="N356" s="11" t="str">
        <f aca="false">IF($C356="","",IF($M356="VAT 5%",0.05,IF($M356="VAT 8%",0.08,IF($M356="VAT 10%",0.1,0))))</f>
        <v/>
      </c>
      <c r="O356" s="10" t="str">
        <f aca="false">IF($C356="","",$L356*$N356)</f>
        <v/>
      </c>
      <c r="P356" s="10" t="str">
        <f aca="false">IF($C356="","",$L356+$O356)</f>
        <v/>
      </c>
      <c r="Q356" s="9"/>
      <c r="R356" s="10" t="str">
        <f aca="false">IF($C356="","",MAX(0,$P356-N($Q356)))</f>
        <v/>
      </c>
      <c r="S356" s="19" t="str">
        <f aca="false">IF(OR($C356="",$P356=0),"",IF(N($Q356)&lt;=0,"Chưa thanh toán",IF(N($Q356)&lt;$P356,"Thanh toán một phần","Đã thanh toán")))</f>
        <v/>
      </c>
      <c r="T356" s="10" t="str">
        <f aca="false">IF(OR($C356="",$J356=""),"",N($I356)*$J356)</f>
        <v/>
      </c>
      <c r="U356" s="10" t="str">
        <f aca="false">IF(OR($C356="",$T356=""),"",$L356-$T356)</f>
        <v/>
      </c>
      <c r="V356" s="11" t="str">
        <f aca="false">IF(OR($U356="",$L356=0),"",$U356/$L356)</f>
        <v/>
      </c>
      <c r="W356" s="8"/>
      <c r="X356" s="19" t="str">
        <f aca="false">IF($C356="","",IF(AND($H356="",N($I356)=0,N($K356)=0),"Dòng chỉ lưu thông tin khách (chưa có đơn); ",IF($B356="","Thiếu ngày đặt; ","")&amp;IF($H356="","Thiếu tên sản phẩm; ",IF($J356="","Sản phẩm chưa có trong BẢNG GIÁ GỐC; ",""))&amp;IF(N($I356)&lt;=0,"Thiếu số lượng; ","")&amp;IF(N($K356)&lt;=0,"Thiếu giá bán; ","")&amp;IF(AND($N356&gt;0,$F356=""),"Khách lấy VAT thiếu mã số thuế; ","")&amp;IF(N($Q356)&gt;$P356,"Đã thu vượt tổng phải thu; ","")&amp;IF(AND($L356&gt;0,$U356&lt;0),"CẢNH BÁO: ĐƠN NÀY ĐANG LỖ; ","")))</f>
        <v/>
      </c>
      <c r="Y356" s="16" t="str">
        <f aca="false">IF(AND($C356&lt;&gt;"",$R356&gt;0),COUNTIFS($C$6:$C356,"&lt;&gt;",$R$6:$R356,"&gt;0"),"")</f>
        <v/>
      </c>
      <c r="Z356" s="16" t="str">
        <f aca="false">IF(AND($H356&lt;&gt;"",N($N356)&gt;0),COUNTIFS($H$6:$H356,"&lt;&gt;",$N$6:$N356,"&gt;0"),"")</f>
        <v/>
      </c>
      <c r="AA356" s="16" t="str">
        <f aca="false">IF(AND($H356&lt;&gt;"",N($N356)=0),COUNTIFS($H$6:$H356,"&lt;&gt;",$N$6:$N356,"&lt;=0"),"")</f>
        <v/>
      </c>
      <c r="AB356" s="16" t="str">
        <f aca="false">IF($C356="","",IF(COUNTIF($C$6:$C356,$C356)&gt;1,"",MAX($AB$5:AB355)+1))</f>
        <v/>
      </c>
      <c r="AC356" s="16" t="str">
        <f aca="false">IF($H356="","",IF(COUNTIF($H$6:$H356,$H356)&gt;1,"",MAX($AC$5:AC355)+1))</f>
        <v/>
      </c>
    </row>
    <row r="357" customFormat="false" ht="15" hidden="false" customHeight="false" outlineLevel="0" collapsed="false">
      <c r="A357" s="16" t="str">
        <f aca="false">IF($C357="","",COUNTA($C$6:$C357))</f>
        <v/>
      </c>
      <c r="B357" s="17"/>
      <c r="C357" s="8"/>
      <c r="D357" s="8"/>
      <c r="E357" s="8"/>
      <c r="F357" s="8"/>
      <c r="G357" s="8"/>
      <c r="H357" s="8"/>
      <c r="I357" s="9"/>
      <c r="J357" s="10" t="str">
        <f aca="false">IF($H357="","",IFERROR(VLOOKUP($H357,'BẢNG GIÁ GỐC'!$A$5:$D$204,3,FALSE()),""))</f>
        <v/>
      </c>
      <c r="K357" s="9"/>
      <c r="L357" s="10" t="str">
        <f aca="false">IF($C357="","",N($I357)*N($K357))</f>
        <v/>
      </c>
      <c r="M357" s="8"/>
      <c r="N357" s="11" t="str">
        <f aca="false">IF($C357="","",IF($M357="VAT 5%",0.05,IF($M357="VAT 8%",0.08,IF($M357="VAT 10%",0.1,0))))</f>
        <v/>
      </c>
      <c r="O357" s="10" t="str">
        <f aca="false">IF($C357="","",$L357*$N357)</f>
        <v/>
      </c>
      <c r="P357" s="10" t="str">
        <f aca="false">IF($C357="","",$L357+$O357)</f>
        <v/>
      </c>
      <c r="Q357" s="9"/>
      <c r="R357" s="10" t="str">
        <f aca="false">IF($C357="","",MAX(0,$P357-N($Q357)))</f>
        <v/>
      </c>
      <c r="S357" s="19" t="str">
        <f aca="false">IF(OR($C357="",$P357=0),"",IF(N($Q357)&lt;=0,"Chưa thanh toán",IF(N($Q357)&lt;$P357,"Thanh toán một phần","Đã thanh toán")))</f>
        <v/>
      </c>
      <c r="T357" s="10" t="str">
        <f aca="false">IF(OR($C357="",$J357=""),"",N($I357)*$J357)</f>
        <v/>
      </c>
      <c r="U357" s="10" t="str">
        <f aca="false">IF(OR($C357="",$T357=""),"",$L357-$T357)</f>
        <v/>
      </c>
      <c r="V357" s="11" t="str">
        <f aca="false">IF(OR($U357="",$L357=0),"",$U357/$L357)</f>
        <v/>
      </c>
      <c r="W357" s="8"/>
      <c r="X357" s="19" t="str">
        <f aca="false">IF($C357="","",IF(AND($H357="",N($I357)=0,N($K357)=0),"Dòng chỉ lưu thông tin khách (chưa có đơn); ",IF($B357="","Thiếu ngày đặt; ","")&amp;IF($H357="","Thiếu tên sản phẩm; ",IF($J357="","Sản phẩm chưa có trong BẢNG GIÁ GỐC; ",""))&amp;IF(N($I357)&lt;=0,"Thiếu số lượng; ","")&amp;IF(N($K357)&lt;=0,"Thiếu giá bán; ","")&amp;IF(AND($N357&gt;0,$F357=""),"Khách lấy VAT thiếu mã số thuế; ","")&amp;IF(N($Q357)&gt;$P357,"Đã thu vượt tổng phải thu; ","")&amp;IF(AND($L357&gt;0,$U357&lt;0),"CẢNH BÁO: ĐƠN NÀY ĐANG LỖ; ","")))</f>
        <v/>
      </c>
      <c r="Y357" s="16" t="str">
        <f aca="false">IF(AND($C357&lt;&gt;"",$R357&gt;0),COUNTIFS($C$6:$C357,"&lt;&gt;",$R$6:$R357,"&gt;0"),"")</f>
        <v/>
      </c>
      <c r="Z357" s="16" t="str">
        <f aca="false">IF(AND($H357&lt;&gt;"",N($N357)&gt;0),COUNTIFS($H$6:$H357,"&lt;&gt;",$N$6:$N357,"&gt;0"),"")</f>
        <v/>
      </c>
      <c r="AA357" s="16" t="str">
        <f aca="false">IF(AND($H357&lt;&gt;"",N($N357)=0),COUNTIFS($H$6:$H357,"&lt;&gt;",$N$6:$N357,"&lt;=0"),"")</f>
        <v/>
      </c>
      <c r="AB357" s="16" t="str">
        <f aca="false">IF($C357="","",IF(COUNTIF($C$6:$C357,$C357)&gt;1,"",MAX($AB$5:AB356)+1))</f>
        <v/>
      </c>
      <c r="AC357" s="16" t="str">
        <f aca="false">IF($H357="","",IF(COUNTIF($H$6:$H357,$H357)&gt;1,"",MAX($AC$5:AC356)+1))</f>
        <v/>
      </c>
    </row>
    <row r="358" customFormat="false" ht="15" hidden="false" customHeight="false" outlineLevel="0" collapsed="false">
      <c r="A358" s="16" t="str">
        <f aca="false">IF($C358="","",COUNTA($C$6:$C358))</f>
        <v/>
      </c>
      <c r="B358" s="17"/>
      <c r="C358" s="8"/>
      <c r="D358" s="8"/>
      <c r="E358" s="8"/>
      <c r="F358" s="8"/>
      <c r="G358" s="8"/>
      <c r="H358" s="8"/>
      <c r="I358" s="9"/>
      <c r="J358" s="10" t="str">
        <f aca="false">IF($H358="","",IFERROR(VLOOKUP($H358,'BẢNG GIÁ GỐC'!$A$5:$D$204,3,FALSE()),""))</f>
        <v/>
      </c>
      <c r="K358" s="9"/>
      <c r="L358" s="10" t="str">
        <f aca="false">IF($C358="","",N($I358)*N($K358))</f>
        <v/>
      </c>
      <c r="M358" s="8"/>
      <c r="N358" s="11" t="str">
        <f aca="false">IF($C358="","",IF($M358="VAT 5%",0.05,IF($M358="VAT 8%",0.08,IF($M358="VAT 10%",0.1,0))))</f>
        <v/>
      </c>
      <c r="O358" s="10" t="str">
        <f aca="false">IF($C358="","",$L358*$N358)</f>
        <v/>
      </c>
      <c r="P358" s="10" t="str">
        <f aca="false">IF($C358="","",$L358+$O358)</f>
        <v/>
      </c>
      <c r="Q358" s="9"/>
      <c r="R358" s="10" t="str">
        <f aca="false">IF($C358="","",MAX(0,$P358-N($Q358)))</f>
        <v/>
      </c>
      <c r="S358" s="19" t="str">
        <f aca="false">IF(OR($C358="",$P358=0),"",IF(N($Q358)&lt;=0,"Chưa thanh toán",IF(N($Q358)&lt;$P358,"Thanh toán một phần","Đã thanh toán")))</f>
        <v/>
      </c>
      <c r="T358" s="10" t="str">
        <f aca="false">IF(OR($C358="",$J358=""),"",N($I358)*$J358)</f>
        <v/>
      </c>
      <c r="U358" s="10" t="str">
        <f aca="false">IF(OR($C358="",$T358=""),"",$L358-$T358)</f>
        <v/>
      </c>
      <c r="V358" s="11" t="str">
        <f aca="false">IF(OR($U358="",$L358=0),"",$U358/$L358)</f>
        <v/>
      </c>
      <c r="W358" s="8"/>
      <c r="X358" s="19" t="str">
        <f aca="false">IF($C358="","",IF(AND($H358="",N($I358)=0,N($K358)=0),"Dòng chỉ lưu thông tin khách (chưa có đơn); ",IF($B358="","Thiếu ngày đặt; ","")&amp;IF($H358="","Thiếu tên sản phẩm; ",IF($J358="","Sản phẩm chưa có trong BẢNG GIÁ GỐC; ",""))&amp;IF(N($I358)&lt;=0,"Thiếu số lượng; ","")&amp;IF(N($K358)&lt;=0,"Thiếu giá bán; ","")&amp;IF(AND($N358&gt;0,$F358=""),"Khách lấy VAT thiếu mã số thuế; ","")&amp;IF(N($Q358)&gt;$P358,"Đã thu vượt tổng phải thu; ","")&amp;IF(AND($L358&gt;0,$U358&lt;0),"CẢNH BÁO: ĐƠN NÀY ĐANG LỖ; ","")))</f>
        <v/>
      </c>
      <c r="Y358" s="16" t="str">
        <f aca="false">IF(AND($C358&lt;&gt;"",$R358&gt;0),COUNTIFS($C$6:$C358,"&lt;&gt;",$R$6:$R358,"&gt;0"),"")</f>
        <v/>
      </c>
      <c r="Z358" s="16" t="str">
        <f aca="false">IF(AND($H358&lt;&gt;"",N($N358)&gt;0),COUNTIFS($H$6:$H358,"&lt;&gt;",$N$6:$N358,"&gt;0"),"")</f>
        <v/>
      </c>
      <c r="AA358" s="16" t="str">
        <f aca="false">IF(AND($H358&lt;&gt;"",N($N358)=0),COUNTIFS($H$6:$H358,"&lt;&gt;",$N$6:$N358,"&lt;=0"),"")</f>
        <v/>
      </c>
      <c r="AB358" s="16" t="str">
        <f aca="false">IF($C358="","",IF(COUNTIF($C$6:$C358,$C358)&gt;1,"",MAX($AB$5:AB357)+1))</f>
        <v/>
      </c>
      <c r="AC358" s="16" t="str">
        <f aca="false">IF($H358="","",IF(COUNTIF($H$6:$H358,$H358)&gt;1,"",MAX($AC$5:AC357)+1))</f>
        <v/>
      </c>
    </row>
    <row r="359" customFormat="false" ht="15" hidden="false" customHeight="false" outlineLevel="0" collapsed="false">
      <c r="A359" s="16" t="str">
        <f aca="false">IF($C359="","",COUNTA($C$6:$C359))</f>
        <v/>
      </c>
      <c r="B359" s="17"/>
      <c r="C359" s="8"/>
      <c r="D359" s="8"/>
      <c r="E359" s="8"/>
      <c r="F359" s="8"/>
      <c r="G359" s="8"/>
      <c r="H359" s="8"/>
      <c r="I359" s="9"/>
      <c r="J359" s="10" t="str">
        <f aca="false">IF($H359="","",IFERROR(VLOOKUP($H359,'BẢNG GIÁ GỐC'!$A$5:$D$204,3,FALSE()),""))</f>
        <v/>
      </c>
      <c r="K359" s="9"/>
      <c r="L359" s="10" t="str">
        <f aca="false">IF($C359="","",N($I359)*N($K359))</f>
        <v/>
      </c>
      <c r="M359" s="8"/>
      <c r="N359" s="11" t="str">
        <f aca="false">IF($C359="","",IF($M359="VAT 5%",0.05,IF($M359="VAT 8%",0.08,IF($M359="VAT 10%",0.1,0))))</f>
        <v/>
      </c>
      <c r="O359" s="10" t="str">
        <f aca="false">IF($C359="","",$L359*$N359)</f>
        <v/>
      </c>
      <c r="P359" s="10" t="str">
        <f aca="false">IF($C359="","",$L359+$O359)</f>
        <v/>
      </c>
      <c r="Q359" s="9"/>
      <c r="R359" s="10" t="str">
        <f aca="false">IF($C359="","",MAX(0,$P359-N($Q359)))</f>
        <v/>
      </c>
      <c r="S359" s="19" t="str">
        <f aca="false">IF(OR($C359="",$P359=0),"",IF(N($Q359)&lt;=0,"Chưa thanh toán",IF(N($Q359)&lt;$P359,"Thanh toán một phần","Đã thanh toán")))</f>
        <v/>
      </c>
      <c r="T359" s="10" t="str">
        <f aca="false">IF(OR($C359="",$J359=""),"",N($I359)*$J359)</f>
        <v/>
      </c>
      <c r="U359" s="10" t="str">
        <f aca="false">IF(OR($C359="",$T359=""),"",$L359-$T359)</f>
        <v/>
      </c>
      <c r="V359" s="11" t="str">
        <f aca="false">IF(OR($U359="",$L359=0),"",$U359/$L359)</f>
        <v/>
      </c>
      <c r="W359" s="8"/>
      <c r="X359" s="19" t="str">
        <f aca="false">IF($C359="","",IF(AND($H359="",N($I359)=0,N($K359)=0),"Dòng chỉ lưu thông tin khách (chưa có đơn); ",IF($B359="","Thiếu ngày đặt; ","")&amp;IF($H359="","Thiếu tên sản phẩm; ",IF($J359="","Sản phẩm chưa có trong BẢNG GIÁ GỐC; ",""))&amp;IF(N($I359)&lt;=0,"Thiếu số lượng; ","")&amp;IF(N($K359)&lt;=0,"Thiếu giá bán; ","")&amp;IF(AND($N359&gt;0,$F359=""),"Khách lấy VAT thiếu mã số thuế; ","")&amp;IF(N($Q359)&gt;$P359,"Đã thu vượt tổng phải thu; ","")&amp;IF(AND($L359&gt;0,$U359&lt;0),"CẢNH BÁO: ĐƠN NÀY ĐANG LỖ; ","")))</f>
        <v/>
      </c>
      <c r="Y359" s="16" t="str">
        <f aca="false">IF(AND($C359&lt;&gt;"",$R359&gt;0),COUNTIFS($C$6:$C359,"&lt;&gt;",$R$6:$R359,"&gt;0"),"")</f>
        <v/>
      </c>
      <c r="Z359" s="16" t="str">
        <f aca="false">IF(AND($H359&lt;&gt;"",N($N359)&gt;0),COUNTIFS($H$6:$H359,"&lt;&gt;",$N$6:$N359,"&gt;0"),"")</f>
        <v/>
      </c>
      <c r="AA359" s="16" t="str">
        <f aca="false">IF(AND($H359&lt;&gt;"",N($N359)=0),COUNTIFS($H$6:$H359,"&lt;&gt;",$N$6:$N359,"&lt;=0"),"")</f>
        <v/>
      </c>
      <c r="AB359" s="16" t="str">
        <f aca="false">IF($C359="","",IF(COUNTIF($C$6:$C359,$C359)&gt;1,"",MAX($AB$5:AB358)+1))</f>
        <v/>
      </c>
      <c r="AC359" s="16" t="str">
        <f aca="false">IF($H359="","",IF(COUNTIF($H$6:$H359,$H359)&gt;1,"",MAX($AC$5:AC358)+1))</f>
        <v/>
      </c>
    </row>
    <row r="360" customFormat="false" ht="15" hidden="false" customHeight="false" outlineLevel="0" collapsed="false">
      <c r="A360" s="16" t="str">
        <f aca="false">IF($C360="","",COUNTA($C$6:$C360))</f>
        <v/>
      </c>
      <c r="B360" s="17"/>
      <c r="C360" s="8"/>
      <c r="D360" s="8"/>
      <c r="E360" s="8"/>
      <c r="F360" s="8"/>
      <c r="G360" s="8"/>
      <c r="H360" s="8"/>
      <c r="I360" s="9"/>
      <c r="J360" s="10" t="str">
        <f aca="false">IF($H360="","",IFERROR(VLOOKUP($H360,'BẢNG GIÁ GỐC'!$A$5:$D$204,3,FALSE()),""))</f>
        <v/>
      </c>
      <c r="K360" s="9"/>
      <c r="L360" s="10" t="str">
        <f aca="false">IF($C360="","",N($I360)*N($K360))</f>
        <v/>
      </c>
      <c r="M360" s="8"/>
      <c r="N360" s="11" t="str">
        <f aca="false">IF($C360="","",IF($M360="VAT 5%",0.05,IF($M360="VAT 8%",0.08,IF($M360="VAT 10%",0.1,0))))</f>
        <v/>
      </c>
      <c r="O360" s="10" t="str">
        <f aca="false">IF($C360="","",$L360*$N360)</f>
        <v/>
      </c>
      <c r="P360" s="10" t="str">
        <f aca="false">IF($C360="","",$L360+$O360)</f>
        <v/>
      </c>
      <c r="Q360" s="9"/>
      <c r="R360" s="10" t="str">
        <f aca="false">IF($C360="","",MAX(0,$P360-N($Q360)))</f>
        <v/>
      </c>
      <c r="S360" s="19" t="str">
        <f aca="false">IF(OR($C360="",$P360=0),"",IF(N($Q360)&lt;=0,"Chưa thanh toán",IF(N($Q360)&lt;$P360,"Thanh toán một phần","Đã thanh toán")))</f>
        <v/>
      </c>
      <c r="T360" s="10" t="str">
        <f aca="false">IF(OR($C360="",$J360=""),"",N($I360)*$J360)</f>
        <v/>
      </c>
      <c r="U360" s="10" t="str">
        <f aca="false">IF(OR($C360="",$T360=""),"",$L360-$T360)</f>
        <v/>
      </c>
      <c r="V360" s="11" t="str">
        <f aca="false">IF(OR($U360="",$L360=0),"",$U360/$L360)</f>
        <v/>
      </c>
      <c r="W360" s="8"/>
      <c r="X360" s="19" t="str">
        <f aca="false">IF($C360="","",IF(AND($H360="",N($I360)=0,N($K360)=0),"Dòng chỉ lưu thông tin khách (chưa có đơn); ",IF($B360="","Thiếu ngày đặt; ","")&amp;IF($H360="","Thiếu tên sản phẩm; ",IF($J360="","Sản phẩm chưa có trong BẢNG GIÁ GỐC; ",""))&amp;IF(N($I360)&lt;=0,"Thiếu số lượng; ","")&amp;IF(N($K360)&lt;=0,"Thiếu giá bán; ","")&amp;IF(AND($N360&gt;0,$F360=""),"Khách lấy VAT thiếu mã số thuế; ","")&amp;IF(N($Q360)&gt;$P360,"Đã thu vượt tổng phải thu; ","")&amp;IF(AND($L360&gt;0,$U360&lt;0),"CẢNH BÁO: ĐƠN NÀY ĐANG LỖ; ","")))</f>
        <v/>
      </c>
      <c r="Y360" s="16" t="str">
        <f aca="false">IF(AND($C360&lt;&gt;"",$R360&gt;0),COUNTIFS($C$6:$C360,"&lt;&gt;",$R$6:$R360,"&gt;0"),"")</f>
        <v/>
      </c>
      <c r="Z360" s="16" t="str">
        <f aca="false">IF(AND($H360&lt;&gt;"",N($N360)&gt;0),COUNTIFS($H$6:$H360,"&lt;&gt;",$N$6:$N360,"&gt;0"),"")</f>
        <v/>
      </c>
      <c r="AA360" s="16" t="str">
        <f aca="false">IF(AND($H360&lt;&gt;"",N($N360)=0),COUNTIFS($H$6:$H360,"&lt;&gt;",$N$6:$N360,"&lt;=0"),"")</f>
        <v/>
      </c>
      <c r="AB360" s="16" t="str">
        <f aca="false">IF($C360="","",IF(COUNTIF($C$6:$C360,$C360)&gt;1,"",MAX($AB$5:AB359)+1))</f>
        <v/>
      </c>
      <c r="AC360" s="16" t="str">
        <f aca="false">IF($H360="","",IF(COUNTIF($H$6:$H360,$H360)&gt;1,"",MAX($AC$5:AC359)+1))</f>
        <v/>
      </c>
    </row>
    <row r="361" customFormat="false" ht="15" hidden="false" customHeight="false" outlineLevel="0" collapsed="false">
      <c r="A361" s="16" t="str">
        <f aca="false">IF($C361="","",COUNTA($C$6:$C361))</f>
        <v/>
      </c>
      <c r="B361" s="17"/>
      <c r="C361" s="8"/>
      <c r="D361" s="8"/>
      <c r="E361" s="8"/>
      <c r="F361" s="8"/>
      <c r="G361" s="8"/>
      <c r="H361" s="8"/>
      <c r="I361" s="9"/>
      <c r="J361" s="10" t="str">
        <f aca="false">IF($H361="","",IFERROR(VLOOKUP($H361,'BẢNG GIÁ GỐC'!$A$5:$D$204,3,FALSE()),""))</f>
        <v/>
      </c>
      <c r="K361" s="9"/>
      <c r="L361" s="10" t="str">
        <f aca="false">IF($C361="","",N($I361)*N($K361))</f>
        <v/>
      </c>
      <c r="M361" s="8"/>
      <c r="N361" s="11" t="str">
        <f aca="false">IF($C361="","",IF($M361="VAT 5%",0.05,IF($M361="VAT 8%",0.08,IF($M361="VAT 10%",0.1,0))))</f>
        <v/>
      </c>
      <c r="O361" s="10" t="str">
        <f aca="false">IF($C361="","",$L361*$N361)</f>
        <v/>
      </c>
      <c r="P361" s="10" t="str">
        <f aca="false">IF($C361="","",$L361+$O361)</f>
        <v/>
      </c>
      <c r="Q361" s="9"/>
      <c r="R361" s="10" t="str">
        <f aca="false">IF($C361="","",MAX(0,$P361-N($Q361)))</f>
        <v/>
      </c>
      <c r="S361" s="19" t="str">
        <f aca="false">IF(OR($C361="",$P361=0),"",IF(N($Q361)&lt;=0,"Chưa thanh toán",IF(N($Q361)&lt;$P361,"Thanh toán một phần","Đã thanh toán")))</f>
        <v/>
      </c>
      <c r="T361" s="10" t="str">
        <f aca="false">IF(OR($C361="",$J361=""),"",N($I361)*$J361)</f>
        <v/>
      </c>
      <c r="U361" s="10" t="str">
        <f aca="false">IF(OR($C361="",$T361=""),"",$L361-$T361)</f>
        <v/>
      </c>
      <c r="V361" s="11" t="str">
        <f aca="false">IF(OR($U361="",$L361=0),"",$U361/$L361)</f>
        <v/>
      </c>
      <c r="W361" s="8"/>
      <c r="X361" s="19" t="str">
        <f aca="false">IF($C361="","",IF(AND($H361="",N($I361)=0,N($K361)=0),"Dòng chỉ lưu thông tin khách (chưa có đơn); ",IF($B361="","Thiếu ngày đặt; ","")&amp;IF($H361="","Thiếu tên sản phẩm; ",IF($J361="","Sản phẩm chưa có trong BẢNG GIÁ GỐC; ",""))&amp;IF(N($I361)&lt;=0,"Thiếu số lượng; ","")&amp;IF(N($K361)&lt;=0,"Thiếu giá bán; ","")&amp;IF(AND($N361&gt;0,$F361=""),"Khách lấy VAT thiếu mã số thuế; ","")&amp;IF(N($Q361)&gt;$P361,"Đã thu vượt tổng phải thu; ","")&amp;IF(AND($L361&gt;0,$U361&lt;0),"CẢNH BÁO: ĐƠN NÀY ĐANG LỖ; ","")))</f>
        <v/>
      </c>
      <c r="Y361" s="16" t="str">
        <f aca="false">IF(AND($C361&lt;&gt;"",$R361&gt;0),COUNTIFS($C$6:$C361,"&lt;&gt;",$R$6:$R361,"&gt;0"),"")</f>
        <v/>
      </c>
      <c r="Z361" s="16" t="str">
        <f aca="false">IF(AND($H361&lt;&gt;"",N($N361)&gt;0),COUNTIFS($H$6:$H361,"&lt;&gt;",$N$6:$N361,"&gt;0"),"")</f>
        <v/>
      </c>
      <c r="AA361" s="16" t="str">
        <f aca="false">IF(AND($H361&lt;&gt;"",N($N361)=0),COUNTIFS($H$6:$H361,"&lt;&gt;",$N$6:$N361,"&lt;=0"),"")</f>
        <v/>
      </c>
      <c r="AB361" s="16" t="str">
        <f aca="false">IF($C361="","",IF(COUNTIF($C$6:$C361,$C361)&gt;1,"",MAX($AB$5:AB360)+1))</f>
        <v/>
      </c>
      <c r="AC361" s="16" t="str">
        <f aca="false">IF($H361="","",IF(COUNTIF($H$6:$H361,$H361)&gt;1,"",MAX($AC$5:AC360)+1))</f>
        <v/>
      </c>
    </row>
    <row r="362" customFormat="false" ht="15" hidden="false" customHeight="false" outlineLevel="0" collapsed="false">
      <c r="A362" s="16" t="str">
        <f aca="false">IF($C362="","",COUNTA($C$6:$C362))</f>
        <v/>
      </c>
      <c r="B362" s="17"/>
      <c r="C362" s="8"/>
      <c r="D362" s="8"/>
      <c r="E362" s="8"/>
      <c r="F362" s="8"/>
      <c r="G362" s="8"/>
      <c r="H362" s="8"/>
      <c r="I362" s="9"/>
      <c r="J362" s="10" t="str">
        <f aca="false">IF($H362="","",IFERROR(VLOOKUP($H362,'BẢNG GIÁ GỐC'!$A$5:$D$204,3,FALSE()),""))</f>
        <v/>
      </c>
      <c r="K362" s="9"/>
      <c r="L362" s="10" t="str">
        <f aca="false">IF($C362="","",N($I362)*N($K362))</f>
        <v/>
      </c>
      <c r="M362" s="8"/>
      <c r="N362" s="11" t="str">
        <f aca="false">IF($C362="","",IF($M362="VAT 5%",0.05,IF($M362="VAT 8%",0.08,IF($M362="VAT 10%",0.1,0))))</f>
        <v/>
      </c>
      <c r="O362" s="10" t="str">
        <f aca="false">IF($C362="","",$L362*$N362)</f>
        <v/>
      </c>
      <c r="P362" s="10" t="str">
        <f aca="false">IF($C362="","",$L362+$O362)</f>
        <v/>
      </c>
      <c r="Q362" s="9"/>
      <c r="R362" s="10" t="str">
        <f aca="false">IF($C362="","",MAX(0,$P362-N($Q362)))</f>
        <v/>
      </c>
      <c r="S362" s="19" t="str">
        <f aca="false">IF(OR($C362="",$P362=0),"",IF(N($Q362)&lt;=0,"Chưa thanh toán",IF(N($Q362)&lt;$P362,"Thanh toán một phần","Đã thanh toán")))</f>
        <v/>
      </c>
      <c r="T362" s="10" t="str">
        <f aca="false">IF(OR($C362="",$J362=""),"",N($I362)*$J362)</f>
        <v/>
      </c>
      <c r="U362" s="10" t="str">
        <f aca="false">IF(OR($C362="",$T362=""),"",$L362-$T362)</f>
        <v/>
      </c>
      <c r="V362" s="11" t="str">
        <f aca="false">IF(OR($U362="",$L362=0),"",$U362/$L362)</f>
        <v/>
      </c>
      <c r="W362" s="8"/>
      <c r="X362" s="19" t="str">
        <f aca="false">IF($C362="","",IF(AND($H362="",N($I362)=0,N($K362)=0),"Dòng chỉ lưu thông tin khách (chưa có đơn); ",IF($B362="","Thiếu ngày đặt; ","")&amp;IF($H362="","Thiếu tên sản phẩm; ",IF($J362="","Sản phẩm chưa có trong BẢNG GIÁ GỐC; ",""))&amp;IF(N($I362)&lt;=0,"Thiếu số lượng; ","")&amp;IF(N($K362)&lt;=0,"Thiếu giá bán; ","")&amp;IF(AND($N362&gt;0,$F362=""),"Khách lấy VAT thiếu mã số thuế; ","")&amp;IF(N($Q362)&gt;$P362,"Đã thu vượt tổng phải thu; ","")&amp;IF(AND($L362&gt;0,$U362&lt;0),"CẢNH BÁO: ĐƠN NÀY ĐANG LỖ; ","")))</f>
        <v/>
      </c>
      <c r="Y362" s="16" t="str">
        <f aca="false">IF(AND($C362&lt;&gt;"",$R362&gt;0),COUNTIFS($C$6:$C362,"&lt;&gt;",$R$6:$R362,"&gt;0"),"")</f>
        <v/>
      </c>
      <c r="Z362" s="16" t="str">
        <f aca="false">IF(AND($H362&lt;&gt;"",N($N362)&gt;0),COUNTIFS($H$6:$H362,"&lt;&gt;",$N$6:$N362,"&gt;0"),"")</f>
        <v/>
      </c>
      <c r="AA362" s="16" t="str">
        <f aca="false">IF(AND($H362&lt;&gt;"",N($N362)=0),COUNTIFS($H$6:$H362,"&lt;&gt;",$N$6:$N362,"&lt;=0"),"")</f>
        <v/>
      </c>
      <c r="AB362" s="16" t="str">
        <f aca="false">IF($C362="","",IF(COUNTIF($C$6:$C362,$C362)&gt;1,"",MAX($AB$5:AB361)+1))</f>
        <v/>
      </c>
      <c r="AC362" s="16" t="str">
        <f aca="false">IF($H362="","",IF(COUNTIF($H$6:$H362,$H362)&gt;1,"",MAX($AC$5:AC361)+1))</f>
        <v/>
      </c>
    </row>
    <row r="363" customFormat="false" ht="15" hidden="false" customHeight="false" outlineLevel="0" collapsed="false">
      <c r="A363" s="16" t="str">
        <f aca="false">IF($C363="","",COUNTA($C$6:$C363))</f>
        <v/>
      </c>
      <c r="B363" s="17"/>
      <c r="C363" s="8"/>
      <c r="D363" s="8"/>
      <c r="E363" s="8"/>
      <c r="F363" s="8"/>
      <c r="G363" s="8"/>
      <c r="H363" s="8"/>
      <c r="I363" s="9"/>
      <c r="J363" s="10" t="str">
        <f aca="false">IF($H363="","",IFERROR(VLOOKUP($H363,'BẢNG GIÁ GỐC'!$A$5:$D$204,3,FALSE()),""))</f>
        <v/>
      </c>
      <c r="K363" s="9"/>
      <c r="L363" s="10" t="str">
        <f aca="false">IF($C363="","",N($I363)*N($K363))</f>
        <v/>
      </c>
      <c r="M363" s="8"/>
      <c r="N363" s="11" t="str">
        <f aca="false">IF($C363="","",IF($M363="VAT 5%",0.05,IF($M363="VAT 8%",0.08,IF($M363="VAT 10%",0.1,0))))</f>
        <v/>
      </c>
      <c r="O363" s="10" t="str">
        <f aca="false">IF($C363="","",$L363*$N363)</f>
        <v/>
      </c>
      <c r="P363" s="10" t="str">
        <f aca="false">IF($C363="","",$L363+$O363)</f>
        <v/>
      </c>
      <c r="Q363" s="9"/>
      <c r="R363" s="10" t="str">
        <f aca="false">IF($C363="","",MAX(0,$P363-N($Q363)))</f>
        <v/>
      </c>
      <c r="S363" s="19" t="str">
        <f aca="false">IF(OR($C363="",$P363=0),"",IF(N($Q363)&lt;=0,"Chưa thanh toán",IF(N($Q363)&lt;$P363,"Thanh toán một phần","Đã thanh toán")))</f>
        <v/>
      </c>
      <c r="T363" s="10" t="str">
        <f aca="false">IF(OR($C363="",$J363=""),"",N($I363)*$J363)</f>
        <v/>
      </c>
      <c r="U363" s="10" t="str">
        <f aca="false">IF(OR($C363="",$T363=""),"",$L363-$T363)</f>
        <v/>
      </c>
      <c r="V363" s="11" t="str">
        <f aca="false">IF(OR($U363="",$L363=0),"",$U363/$L363)</f>
        <v/>
      </c>
      <c r="W363" s="8"/>
      <c r="X363" s="19" t="str">
        <f aca="false">IF($C363="","",IF(AND($H363="",N($I363)=0,N($K363)=0),"Dòng chỉ lưu thông tin khách (chưa có đơn); ",IF($B363="","Thiếu ngày đặt; ","")&amp;IF($H363="","Thiếu tên sản phẩm; ",IF($J363="","Sản phẩm chưa có trong BẢNG GIÁ GỐC; ",""))&amp;IF(N($I363)&lt;=0,"Thiếu số lượng; ","")&amp;IF(N($K363)&lt;=0,"Thiếu giá bán; ","")&amp;IF(AND($N363&gt;0,$F363=""),"Khách lấy VAT thiếu mã số thuế; ","")&amp;IF(N($Q363)&gt;$P363,"Đã thu vượt tổng phải thu; ","")&amp;IF(AND($L363&gt;0,$U363&lt;0),"CẢNH BÁO: ĐƠN NÀY ĐANG LỖ; ","")))</f>
        <v/>
      </c>
      <c r="Y363" s="16" t="str">
        <f aca="false">IF(AND($C363&lt;&gt;"",$R363&gt;0),COUNTIFS($C$6:$C363,"&lt;&gt;",$R$6:$R363,"&gt;0"),"")</f>
        <v/>
      </c>
      <c r="Z363" s="16" t="str">
        <f aca="false">IF(AND($H363&lt;&gt;"",N($N363)&gt;0),COUNTIFS($H$6:$H363,"&lt;&gt;",$N$6:$N363,"&gt;0"),"")</f>
        <v/>
      </c>
      <c r="AA363" s="16" t="str">
        <f aca="false">IF(AND($H363&lt;&gt;"",N($N363)=0),COUNTIFS($H$6:$H363,"&lt;&gt;",$N$6:$N363,"&lt;=0"),"")</f>
        <v/>
      </c>
      <c r="AB363" s="16" t="str">
        <f aca="false">IF($C363="","",IF(COUNTIF($C$6:$C363,$C363)&gt;1,"",MAX($AB$5:AB362)+1))</f>
        <v/>
      </c>
      <c r="AC363" s="16" t="str">
        <f aca="false">IF($H363="","",IF(COUNTIF($H$6:$H363,$H363)&gt;1,"",MAX($AC$5:AC362)+1))</f>
        <v/>
      </c>
    </row>
    <row r="364" customFormat="false" ht="15" hidden="false" customHeight="false" outlineLevel="0" collapsed="false">
      <c r="A364" s="16" t="str">
        <f aca="false">IF($C364="","",COUNTA($C$6:$C364))</f>
        <v/>
      </c>
      <c r="B364" s="17"/>
      <c r="C364" s="8"/>
      <c r="D364" s="8"/>
      <c r="E364" s="8"/>
      <c r="F364" s="8"/>
      <c r="G364" s="8"/>
      <c r="H364" s="8"/>
      <c r="I364" s="9"/>
      <c r="J364" s="10" t="str">
        <f aca="false">IF($H364="","",IFERROR(VLOOKUP($H364,'BẢNG GIÁ GỐC'!$A$5:$D$204,3,FALSE()),""))</f>
        <v/>
      </c>
      <c r="K364" s="9"/>
      <c r="L364" s="10" t="str">
        <f aca="false">IF($C364="","",N($I364)*N($K364))</f>
        <v/>
      </c>
      <c r="M364" s="8"/>
      <c r="N364" s="11" t="str">
        <f aca="false">IF($C364="","",IF($M364="VAT 5%",0.05,IF($M364="VAT 8%",0.08,IF($M364="VAT 10%",0.1,0))))</f>
        <v/>
      </c>
      <c r="O364" s="10" t="str">
        <f aca="false">IF($C364="","",$L364*$N364)</f>
        <v/>
      </c>
      <c r="P364" s="10" t="str">
        <f aca="false">IF($C364="","",$L364+$O364)</f>
        <v/>
      </c>
      <c r="Q364" s="9"/>
      <c r="R364" s="10" t="str">
        <f aca="false">IF($C364="","",MAX(0,$P364-N($Q364)))</f>
        <v/>
      </c>
      <c r="S364" s="19" t="str">
        <f aca="false">IF(OR($C364="",$P364=0),"",IF(N($Q364)&lt;=0,"Chưa thanh toán",IF(N($Q364)&lt;$P364,"Thanh toán một phần","Đã thanh toán")))</f>
        <v/>
      </c>
      <c r="T364" s="10" t="str">
        <f aca="false">IF(OR($C364="",$J364=""),"",N($I364)*$J364)</f>
        <v/>
      </c>
      <c r="U364" s="10" t="str">
        <f aca="false">IF(OR($C364="",$T364=""),"",$L364-$T364)</f>
        <v/>
      </c>
      <c r="V364" s="11" t="str">
        <f aca="false">IF(OR($U364="",$L364=0),"",$U364/$L364)</f>
        <v/>
      </c>
      <c r="W364" s="8"/>
      <c r="X364" s="19" t="str">
        <f aca="false">IF($C364="","",IF(AND($H364="",N($I364)=0,N($K364)=0),"Dòng chỉ lưu thông tin khách (chưa có đơn); ",IF($B364="","Thiếu ngày đặt; ","")&amp;IF($H364="","Thiếu tên sản phẩm; ",IF($J364="","Sản phẩm chưa có trong BẢNG GIÁ GỐC; ",""))&amp;IF(N($I364)&lt;=0,"Thiếu số lượng; ","")&amp;IF(N($K364)&lt;=0,"Thiếu giá bán; ","")&amp;IF(AND($N364&gt;0,$F364=""),"Khách lấy VAT thiếu mã số thuế; ","")&amp;IF(N($Q364)&gt;$P364,"Đã thu vượt tổng phải thu; ","")&amp;IF(AND($L364&gt;0,$U364&lt;0),"CẢNH BÁO: ĐƠN NÀY ĐANG LỖ; ","")))</f>
        <v/>
      </c>
      <c r="Y364" s="16" t="str">
        <f aca="false">IF(AND($C364&lt;&gt;"",$R364&gt;0),COUNTIFS($C$6:$C364,"&lt;&gt;",$R$6:$R364,"&gt;0"),"")</f>
        <v/>
      </c>
      <c r="Z364" s="16" t="str">
        <f aca="false">IF(AND($H364&lt;&gt;"",N($N364)&gt;0),COUNTIFS($H$6:$H364,"&lt;&gt;",$N$6:$N364,"&gt;0"),"")</f>
        <v/>
      </c>
      <c r="AA364" s="16" t="str">
        <f aca="false">IF(AND($H364&lt;&gt;"",N($N364)=0),COUNTIFS($H$6:$H364,"&lt;&gt;",$N$6:$N364,"&lt;=0"),"")</f>
        <v/>
      </c>
      <c r="AB364" s="16" t="str">
        <f aca="false">IF($C364="","",IF(COUNTIF($C$6:$C364,$C364)&gt;1,"",MAX($AB$5:AB363)+1))</f>
        <v/>
      </c>
      <c r="AC364" s="16" t="str">
        <f aca="false">IF($H364="","",IF(COUNTIF($H$6:$H364,$H364)&gt;1,"",MAX($AC$5:AC363)+1))</f>
        <v/>
      </c>
    </row>
    <row r="365" customFormat="false" ht="15" hidden="false" customHeight="false" outlineLevel="0" collapsed="false">
      <c r="A365" s="16" t="str">
        <f aca="false">IF($C365="","",COUNTA($C$6:$C365))</f>
        <v/>
      </c>
      <c r="B365" s="17"/>
      <c r="C365" s="8"/>
      <c r="D365" s="8"/>
      <c r="E365" s="8"/>
      <c r="F365" s="8"/>
      <c r="G365" s="8"/>
      <c r="H365" s="8"/>
      <c r="I365" s="9"/>
      <c r="J365" s="10" t="str">
        <f aca="false">IF($H365="","",IFERROR(VLOOKUP($H365,'BẢNG GIÁ GỐC'!$A$5:$D$204,3,FALSE()),""))</f>
        <v/>
      </c>
      <c r="K365" s="9"/>
      <c r="L365" s="10" t="str">
        <f aca="false">IF($C365="","",N($I365)*N($K365))</f>
        <v/>
      </c>
      <c r="M365" s="8"/>
      <c r="N365" s="11" t="str">
        <f aca="false">IF($C365="","",IF($M365="VAT 5%",0.05,IF($M365="VAT 8%",0.08,IF($M365="VAT 10%",0.1,0))))</f>
        <v/>
      </c>
      <c r="O365" s="10" t="str">
        <f aca="false">IF($C365="","",$L365*$N365)</f>
        <v/>
      </c>
      <c r="P365" s="10" t="str">
        <f aca="false">IF($C365="","",$L365+$O365)</f>
        <v/>
      </c>
      <c r="Q365" s="9"/>
      <c r="R365" s="10" t="str">
        <f aca="false">IF($C365="","",MAX(0,$P365-N($Q365)))</f>
        <v/>
      </c>
      <c r="S365" s="19" t="str">
        <f aca="false">IF(OR($C365="",$P365=0),"",IF(N($Q365)&lt;=0,"Chưa thanh toán",IF(N($Q365)&lt;$P365,"Thanh toán một phần","Đã thanh toán")))</f>
        <v/>
      </c>
      <c r="T365" s="10" t="str">
        <f aca="false">IF(OR($C365="",$J365=""),"",N($I365)*$J365)</f>
        <v/>
      </c>
      <c r="U365" s="10" t="str">
        <f aca="false">IF(OR($C365="",$T365=""),"",$L365-$T365)</f>
        <v/>
      </c>
      <c r="V365" s="11" t="str">
        <f aca="false">IF(OR($U365="",$L365=0),"",$U365/$L365)</f>
        <v/>
      </c>
      <c r="W365" s="8"/>
      <c r="X365" s="19" t="str">
        <f aca="false">IF($C365="","",IF(AND($H365="",N($I365)=0,N($K365)=0),"Dòng chỉ lưu thông tin khách (chưa có đơn); ",IF($B365="","Thiếu ngày đặt; ","")&amp;IF($H365="","Thiếu tên sản phẩm; ",IF($J365="","Sản phẩm chưa có trong BẢNG GIÁ GỐC; ",""))&amp;IF(N($I365)&lt;=0,"Thiếu số lượng; ","")&amp;IF(N($K365)&lt;=0,"Thiếu giá bán; ","")&amp;IF(AND($N365&gt;0,$F365=""),"Khách lấy VAT thiếu mã số thuế; ","")&amp;IF(N($Q365)&gt;$P365,"Đã thu vượt tổng phải thu; ","")&amp;IF(AND($L365&gt;0,$U365&lt;0),"CẢNH BÁO: ĐƠN NÀY ĐANG LỖ; ","")))</f>
        <v/>
      </c>
      <c r="Y365" s="16" t="str">
        <f aca="false">IF(AND($C365&lt;&gt;"",$R365&gt;0),COUNTIFS($C$6:$C365,"&lt;&gt;",$R$6:$R365,"&gt;0"),"")</f>
        <v/>
      </c>
      <c r="Z365" s="16" t="str">
        <f aca="false">IF(AND($H365&lt;&gt;"",N($N365)&gt;0),COUNTIFS($H$6:$H365,"&lt;&gt;",$N$6:$N365,"&gt;0"),"")</f>
        <v/>
      </c>
      <c r="AA365" s="16" t="str">
        <f aca="false">IF(AND($H365&lt;&gt;"",N($N365)=0),COUNTIFS($H$6:$H365,"&lt;&gt;",$N$6:$N365,"&lt;=0"),"")</f>
        <v/>
      </c>
      <c r="AB365" s="16" t="str">
        <f aca="false">IF($C365="","",IF(COUNTIF($C$6:$C365,$C365)&gt;1,"",MAX($AB$5:AB364)+1))</f>
        <v/>
      </c>
      <c r="AC365" s="16" t="str">
        <f aca="false">IF($H365="","",IF(COUNTIF($H$6:$H365,$H365)&gt;1,"",MAX($AC$5:AC364)+1))</f>
        <v/>
      </c>
    </row>
    <row r="366" customFormat="false" ht="15" hidden="false" customHeight="false" outlineLevel="0" collapsed="false">
      <c r="A366" s="16" t="str">
        <f aca="false">IF($C366="","",COUNTA($C$6:$C366))</f>
        <v/>
      </c>
      <c r="B366" s="17"/>
      <c r="C366" s="8"/>
      <c r="D366" s="8"/>
      <c r="E366" s="8"/>
      <c r="F366" s="8"/>
      <c r="G366" s="8"/>
      <c r="H366" s="8"/>
      <c r="I366" s="9"/>
      <c r="J366" s="10" t="str">
        <f aca="false">IF($H366="","",IFERROR(VLOOKUP($H366,'BẢNG GIÁ GỐC'!$A$5:$D$204,3,FALSE()),""))</f>
        <v/>
      </c>
      <c r="K366" s="9"/>
      <c r="L366" s="10" t="str">
        <f aca="false">IF($C366="","",N($I366)*N($K366))</f>
        <v/>
      </c>
      <c r="M366" s="8"/>
      <c r="N366" s="11" t="str">
        <f aca="false">IF($C366="","",IF($M366="VAT 5%",0.05,IF($M366="VAT 8%",0.08,IF($M366="VAT 10%",0.1,0))))</f>
        <v/>
      </c>
      <c r="O366" s="10" t="str">
        <f aca="false">IF($C366="","",$L366*$N366)</f>
        <v/>
      </c>
      <c r="P366" s="10" t="str">
        <f aca="false">IF($C366="","",$L366+$O366)</f>
        <v/>
      </c>
      <c r="Q366" s="9"/>
      <c r="R366" s="10" t="str">
        <f aca="false">IF($C366="","",MAX(0,$P366-N($Q366)))</f>
        <v/>
      </c>
      <c r="S366" s="19" t="str">
        <f aca="false">IF(OR($C366="",$P366=0),"",IF(N($Q366)&lt;=0,"Chưa thanh toán",IF(N($Q366)&lt;$P366,"Thanh toán một phần","Đã thanh toán")))</f>
        <v/>
      </c>
      <c r="T366" s="10" t="str">
        <f aca="false">IF(OR($C366="",$J366=""),"",N($I366)*$J366)</f>
        <v/>
      </c>
      <c r="U366" s="10" t="str">
        <f aca="false">IF(OR($C366="",$T366=""),"",$L366-$T366)</f>
        <v/>
      </c>
      <c r="V366" s="11" t="str">
        <f aca="false">IF(OR($U366="",$L366=0),"",$U366/$L366)</f>
        <v/>
      </c>
      <c r="W366" s="8"/>
      <c r="X366" s="19" t="str">
        <f aca="false">IF($C366="","",IF(AND($H366="",N($I366)=0,N($K366)=0),"Dòng chỉ lưu thông tin khách (chưa có đơn); ",IF($B366="","Thiếu ngày đặt; ","")&amp;IF($H366="","Thiếu tên sản phẩm; ",IF($J366="","Sản phẩm chưa có trong BẢNG GIÁ GỐC; ",""))&amp;IF(N($I366)&lt;=0,"Thiếu số lượng; ","")&amp;IF(N($K366)&lt;=0,"Thiếu giá bán; ","")&amp;IF(AND($N366&gt;0,$F366=""),"Khách lấy VAT thiếu mã số thuế; ","")&amp;IF(N($Q366)&gt;$P366,"Đã thu vượt tổng phải thu; ","")&amp;IF(AND($L366&gt;0,$U366&lt;0),"CẢNH BÁO: ĐƠN NÀY ĐANG LỖ; ","")))</f>
        <v/>
      </c>
      <c r="Y366" s="16" t="str">
        <f aca="false">IF(AND($C366&lt;&gt;"",$R366&gt;0),COUNTIFS($C$6:$C366,"&lt;&gt;",$R$6:$R366,"&gt;0"),"")</f>
        <v/>
      </c>
      <c r="Z366" s="16" t="str">
        <f aca="false">IF(AND($H366&lt;&gt;"",N($N366)&gt;0),COUNTIFS($H$6:$H366,"&lt;&gt;",$N$6:$N366,"&gt;0"),"")</f>
        <v/>
      </c>
      <c r="AA366" s="16" t="str">
        <f aca="false">IF(AND($H366&lt;&gt;"",N($N366)=0),COUNTIFS($H$6:$H366,"&lt;&gt;",$N$6:$N366,"&lt;=0"),"")</f>
        <v/>
      </c>
      <c r="AB366" s="16" t="str">
        <f aca="false">IF($C366="","",IF(COUNTIF($C$6:$C366,$C366)&gt;1,"",MAX($AB$5:AB365)+1))</f>
        <v/>
      </c>
      <c r="AC366" s="16" t="str">
        <f aca="false">IF($H366="","",IF(COUNTIF($H$6:$H366,$H366)&gt;1,"",MAX($AC$5:AC365)+1))</f>
        <v/>
      </c>
    </row>
    <row r="367" customFormat="false" ht="15" hidden="false" customHeight="false" outlineLevel="0" collapsed="false">
      <c r="A367" s="16" t="str">
        <f aca="false">IF($C367="","",COUNTA($C$6:$C367))</f>
        <v/>
      </c>
      <c r="B367" s="17"/>
      <c r="C367" s="8"/>
      <c r="D367" s="8"/>
      <c r="E367" s="8"/>
      <c r="F367" s="8"/>
      <c r="G367" s="8"/>
      <c r="H367" s="8"/>
      <c r="I367" s="9"/>
      <c r="J367" s="10" t="str">
        <f aca="false">IF($H367="","",IFERROR(VLOOKUP($H367,'BẢNG GIÁ GỐC'!$A$5:$D$204,3,FALSE()),""))</f>
        <v/>
      </c>
      <c r="K367" s="9"/>
      <c r="L367" s="10" t="str">
        <f aca="false">IF($C367="","",N($I367)*N($K367))</f>
        <v/>
      </c>
      <c r="M367" s="8"/>
      <c r="N367" s="11" t="str">
        <f aca="false">IF($C367="","",IF($M367="VAT 5%",0.05,IF($M367="VAT 8%",0.08,IF($M367="VAT 10%",0.1,0))))</f>
        <v/>
      </c>
      <c r="O367" s="10" t="str">
        <f aca="false">IF($C367="","",$L367*$N367)</f>
        <v/>
      </c>
      <c r="P367" s="10" t="str">
        <f aca="false">IF($C367="","",$L367+$O367)</f>
        <v/>
      </c>
      <c r="Q367" s="9"/>
      <c r="R367" s="10" t="str">
        <f aca="false">IF($C367="","",MAX(0,$P367-N($Q367)))</f>
        <v/>
      </c>
      <c r="S367" s="19" t="str">
        <f aca="false">IF(OR($C367="",$P367=0),"",IF(N($Q367)&lt;=0,"Chưa thanh toán",IF(N($Q367)&lt;$P367,"Thanh toán một phần","Đã thanh toán")))</f>
        <v/>
      </c>
      <c r="T367" s="10" t="str">
        <f aca="false">IF(OR($C367="",$J367=""),"",N($I367)*$J367)</f>
        <v/>
      </c>
      <c r="U367" s="10" t="str">
        <f aca="false">IF(OR($C367="",$T367=""),"",$L367-$T367)</f>
        <v/>
      </c>
      <c r="V367" s="11" t="str">
        <f aca="false">IF(OR($U367="",$L367=0),"",$U367/$L367)</f>
        <v/>
      </c>
      <c r="W367" s="8"/>
      <c r="X367" s="19" t="str">
        <f aca="false">IF($C367="","",IF(AND($H367="",N($I367)=0,N($K367)=0),"Dòng chỉ lưu thông tin khách (chưa có đơn); ",IF($B367="","Thiếu ngày đặt; ","")&amp;IF($H367="","Thiếu tên sản phẩm; ",IF($J367="","Sản phẩm chưa có trong BẢNG GIÁ GỐC; ",""))&amp;IF(N($I367)&lt;=0,"Thiếu số lượng; ","")&amp;IF(N($K367)&lt;=0,"Thiếu giá bán; ","")&amp;IF(AND($N367&gt;0,$F367=""),"Khách lấy VAT thiếu mã số thuế; ","")&amp;IF(N($Q367)&gt;$P367,"Đã thu vượt tổng phải thu; ","")&amp;IF(AND($L367&gt;0,$U367&lt;0),"CẢNH BÁO: ĐƠN NÀY ĐANG LỖ; ","")))</f>
        <v/>
      </c>
      <c r="Y367" s="16" t="str">
        <f aca="false">IF(AND($C367&lt;&gt;"",$R367&gt;0),COUNTIFS($C$6:$C367,"&lt;&gt;",$R$6:$R367,"&gt;0"),"")</f>
        <v/>
      </c>
      <c r="Z367" s="16" t="str">
        <f aca="false">IF(AND($H367&lt;&gt;"",N($N367)&gt;0),COUNTIFS($H$6:$H367,"&lt;&gt;",$N$6:$N367,"&gt;0"),"")</f>
        <v/>
      </c>
      <c r="AA367" s="16" t="str">
        <f aca="false">IF(AND($H367&lt;&gt;"",N($N367)=0),COUNTIFS($H$6:$H367,"&lt;&gt;",$N$6:$N367,"&lt;=0"),"")</f>
        <v/>
      </c>
      <c r="AB367" s="16" t="str">
        <f aca="false">IF($C367="","",IF(COUNTIF($C$6:$C367,$C367)&gt;1,"",MAX($AB$5:AB366)+1))</f>
        <v/>
      </c>
      <c r="AC367" s="16" t="str">
        <f aca="false">IF($H367="","",IF(COUNTIF($H$6:$H367,$H367)&gt;1,"",MAX($AC$5:AC366)+1))</f>
        <v/>
      </c>
    </row>
    <row r="368" customFormat="false" ht="15" hidden="false" customHeight="false" outlineLevel="0" collapsed="false">
      <c r="A368" s="16" t="str">
        <f aca="false">IF($C368="","",COUNTA($C$6:$C368))</f>
        <v/>
      </c>
      <c r="B368" s="17"/>
      <c r="C368" s="8"/>
      <c r="D368" s="8"/>
      <c r="E368" s="8"/>
      <c r="F368" s="8"/>
      <c r="G368" s="8"/>
      <c r="H368" s="8"/>
      <c r="I368" s="9"/>
      <c r="J368" s="10" t="str">
        <f aca="false">IF($H368="","",IFERROR(VLOOKUP($H368,'BẢNG GIÁ GỐC'!$A$5:$D$204,3,FALSE()),""))</f>
        <v/>
      </c>
      <c r="K368" s="9"/>
      <c r="L368" s="10" t="str">
        <f aca="false">IF($C368="","",N($I368)*N($K368))</f>
        <v/>
      </c>
      <c r="M368" s="8"/>
      <c r="N368" s="11" t="str">
        <f aca="false">IF($C368="","",IF($M368="VAT 5%",0.05,IF($M368="VAT 8%",0.08,IF($M368="VAT 10%",0.1,0))))</f>
        <v/>
      </c>
      <c r="O368" s="10" t="str">
        <f aca="false">IF($C368="","",$L368*$N368)</f>
        <v/>
      </c>
      <c r="P368" s="10" t="str">
        <f aca="false">IF($C368="","",$L368+$O368)</f>
        <v/>
      </c>
      <c r="Q368" s="9"/>
      <c r="R368" s="10" t="str">
        <f aca="false">IF($C368="","",MAX(0,$P368-N($Q368)))</f>
        <v/>
      </c>
      <c r="S368" s="19" t="str">
        <f aca="false">IF(OR($C368="",$P368=0),"",IF(N($Q368)&lt;=0,"Chưa thanh toán",IF(N($Q368)&lt;$P368,"Thanh toán một phần","Đã thanh toán")))</f>
        <v/>
      </c>
      <c r="T368" s="10" t="str">
        <f aca="false">IF(OR($C368="",$J368=""),"",N($I368)*$J368)</f>
        <v/>
      </c>
      <c r="U368" s="10" t="str">
        <f aca="false">IF(OR($C368="",$T368=""),"",$L368-$T368)</f>
        <v/>
      </c>
      <c r="V368" s="11" t="str">
        <f aca="false">IF(OR($U368="",$L368=0),"",$U368/$L368)</f>
        <v/>
      </c>
      <c r="W368" s="8"/>
      <c r="X368" s="19" t="str">
        <f aca="false">IF($C368="","",IF(AND($H368="",N($I368)=0,N($K368)=0),"Dòng chỉ lưu thông tin khách (chưa có đơn); ",IF($B368="","Thiếu ngày đặt; ","")&amp;IF($H368="","Thiếu tên sản phẩm; ",IF($J368="","Sản phẩm chưa có trong BẢNG GIÁ GỐC; ",""))&amp;IF(N($I368)&lt;=0,"Thiếu số lượng; ","")&amp;IF(N($K368)&lt;=0,"Thiếu giá bán; ","")&amp;IF(AND($N368&gt;0,$F368=""),"Khách lấy VAT thiếu mã số thuế; ","")&amp;IF(N($Q368)&gt;$P368,"Đã thu vượt tổng phải thu; ","")&amp;IF(AND($L368&gt;0,$U368&lt;0),"CẢNH BÁO: ĐƠN NÀY ĐANG LỖ; ","")))</f>
        <v/>
      </c>
      <c r="Y368" s="16" t="str">
        <f aca="false">IF(AND($C368&lt;&gt;"",$R368&gt;0),COUNTIFS($C$6:$C368,"&lt;&gt;",$R$6:$R368,"&gt;0"),"")</f>
        <v/>
      </c>
      <c r="Z368" s="16" t="str">
        <f aca="false">IF(AND($H368&lt;&gt;"",N($N368)&gt;0),COUNTIFS($H$6:$H368,"&lt;&gt;",$N$6:$N368,"&gt;0"),"")</f>
        <v/>
      </c>
      <c r="AA368" s="16" t="str">
        <f aca="false">IF(AND($H368&lt;&gt;"",N($N368)=0),COUNTIFS($H$6:$H368,"&lt;&gt;",$N$6:$N368,"&lt;=0"),"")</f>
        <v/>
      </c>
      <c r="AB368" s="16" t="str">
        <f aca="false">IF($C368="","",IF(COUNTIF($C$6:$C368,$C368)&gt;1,"",MAX($AB$5:AB367)+1))</f>
        <v/>
      </c>
      <c r="AC368" s="16" t="str">
        <f aca="false">IF($H368="","",IF(COUNTIF($H$6:$H368,$H368)&gt;1,"",MAX($AC$5:AC367)+1))</f>
        <v/>
      </c>
    </row>
    <row r="369" customFormat="false" ht="15" hidden="false" customHeight="false" outlineLevel="0" collapsed="false">
      <c r="A369" s="16" t="str">
        <f aca="false">IF($C369="","",COUNTA($C$6:$C369))</f>
        <v/>
      </c>
      <c r="B369" s="17"/>
      <c r="C369" s="8"/>
      <c r="D369" s="8"/>
      <c r="E369" s="8"/>
      <c r="F369" s="8"/>
      <c r="G369" s="8"/>
      <c r="H369" s="8"/>
      <c r="I369" s="9"/>
      <c r="J369" s="10" t="str">
        <f aca="false">IF($H369="","",IFERROR(VLOOKUP($H369,'BẢNG GIÁ GỐC'!$A$5:$D$204,3,FALSE()),""))</f>
        <v/>
      </c>
      <c r="K369" s="9"/>
      <c r="L369" s="10" t="str">
        <f aca="false">IF($C369="","",N($I369)*N($K369))</f>
        <v/>
      </c>
      <c r="M369" s="8"/>
      <c r="N369" s="11" t="str">
        <f aca="false">IF($C369="","",IF($M369="VAT 5%",0.05,IF($M369="VAT 8%",0.08,IF($M369="VAT 10%",0.1,0))))</f>
        <v/>
      </c>
      <c r="O369" s="10" t="str">
        <f aca="false">IF($C369="","",$L369*$N369)</f>
        <v/>
      </c>
      <c r="P369" s="10" t="str">
        <f aca="false">IF($C369="","",$L369+$O369)</f>
        <v/>
      </c>
      <c r="Q369" s="9"/>
      <c r="R369" s="10" t="str">
        <f aca="false">IF($C369="","",MAX(0,$P369-N($Q369)))</f>
        <v/>
      </c>
      <c r="S369" s="19" t="str">
        <f aca="false">IF(OR($C369="",$P369=0),"",IF(N($Q369)&lt;=0,"Chưa thanh toán",IF(N($Q369)&lt;$P369,"Thanh toán một phần","Đã thanh toán")))</f>
        <v/>
      </c>
      <c r="T369" s="10" t="str">
        <f aca="false">IF(OR($C369="",$J369=""),"",N($I369)*$J369)</f>
        <v/>
      </c>
      <c r="U369" s="10" t="str">
        <f aca="false">IF(OR($C369="",$T369=""),"",$L369-$T369)</f>
        <v/>
      </c>
      <c r="V369" s="11" t="str">
        <f aca="false">IF(OR($U369="",$L369=0),"",$U369/$L369)</f>
        <v/>
      </c>
      <c r="W369" s="8"/>
      <c r="X369" s="19" t="str">
        <f aca="false">IF($C369="","",IF(AND($H369="",N($I369)=0,N($K369)=0),"Dòng chỉ lưu thông tin khách (chưa có đơn); ",IF($B369="","Thiếu ngày đặt; ","")&amp;IF($H369="","Thiếu tên sản phẩm; ",IF($J369="","Sản phẩm chưa có trong BẢNG GIÁ GỐC; ",""))&amp;IF(N($I369)&lt;=0,"Thiếu số lượng; ","")&amp;IF(N($K369)&lt;=0,"Thiếu giá bán; ","")&amp;IF(AND($N369&gt;0,$F369=""),"Khách lấy VAT thiếu mã số thuế; ","")&amp;IF(N($Q369)&gt;$P369,"Đã thu vượt tổng phải thu; ","")&amp;IF(AND($L369&gt;0,$U369&lt;0),"CẢNH BÁO: ĐƠN NÀY ĐANG LỖ; ","")))</f>
        <v/>
      </c>
      <c r="Y369" s="16" t="str">
        <f aca="false">IF(AND($C369&lt;&gt;"",$R369&gt;0),COUNTIFS($C$6:$C369,"&lt;&gt;",$R$6:$R369,"&gt;0"),"")</f>
        <v/>
      </c>
      <c r="Z369" s="16" t="str">
        <f aca="false">IF(AND($H369&lt;&gt;"",N($N369)&gt;0),COUNTIFS($H$6:$H369,"&lt;&gt;",$N$6:$N369,"&gt;0"),"")</f>
        <v/>
      </c>
      <c r="AA369" s="16" t="str">
        <f aca="false">IF(AND($H369&lt;&gt;"",N($N369)=0),COUNTIFS($H$6:$H369,"&lt;&gt;",$N$6:$N369,"&lt;=0"),"")</f>
        <v/>
      </c>
      <c r="AB369" s="16" t="str">
        <f aca="false">IF($C369="","",IF(COUNTIF($C$6:$C369,$C369)&gt;1,"",MAX($AB$5:AB368)+1))</f>
        <v/>
      </c>
      <c r="AC369" s="16" t="str">
        <f aca="false">IF($H369="","",IF(COUNTIF($H$6:$H369,$H369)&gt;1,"",MAX($AC$5:AC368)+1))</f>
        <v/>
      </c>
    </row>
    <row r="370" customFormat="false" ht="15" hidden="false" customHeight="false" outlineLevel="0" collapsed="false">
      <c r="A370" s="16" t="str">
        <f aca="false">IF($C370="","",COUNTA($C$6:$C370))</f>
        <v/>
      </c>
      <c r="B370" s="17"/>
      <c r="C370" s="8"/>
      <c r="D370" s="8"/>
      <c r="E370" s="8"/>
      <c r="F370" s="8"/>
      <c r="G370" s="8"/>
      <c r="H370" s="8"/>
      <c r="I370" s="9"/>
      <c r="J370" s="10" t="str">
        <f aca="false">IF($H370="","",IFERROR(VLOOKUP($H370,'BẢNG GIÁ GỐC'!$A$5:$D$204,3,FALSE()),""))</f>
        <v/>
      </c>
      <c r="K370" s="9"/>
      <c r="L370" s="10" t="str">
        <f aca="false">IF($C370="","",N($I370)*N($K370))</f>
        <v/>
      </c>
      <c r="M370" s="8"/>
      <c r="N370" s="11" t="str">
        <f aca="false">IF($C370="","",IF($M370="VAT 5%",0.05,IF($M370="VAT 8%",0.08,IF($M370="VAT 10%",0.1,0))))</f>
        <v/>
      </c>
      <c r="O370" s="10" t="str">
        <f aca="false">IF($C370="","",$L370*$N370)</f>
        <v/>
      </c>
      <c r="P370" s="10" t="str">
        <f aca="false">IF($C370="","",$L370+$O370)</f>
        <v/>
      </c>
      <c r="Q370" s="9"/>
      <c r="R370" s="10" t="str">
        <f aca="false">IF($C370="","",MAX(0,$P370-N($Q370)))</f>
        <v/>
      </c>
      <c r="S370" s="19" t="str">
        <f aca="false">IF(OR($C370="",$P370=0),"",IF(N($Q370)&lt;=0,"Chưa thanh toán",IF(N($Q370)&lt;$P370,"Thanh toán một phần","Đã thanh toán")))</f>
        <v/>
      </c>
      <c r="T370" s="10" t="str">
        <f aca="false">IF(OR($C370="",$J370=""),"",N($I370)*$J370)</f>
        <v/>
      </c>
      <c r="U370" s="10" t="str">
        <f aca="false">IF(OR($C370="",$T370=""),"",$L370-$T370)</f>
        <v/>
      </c>
      <c r="V370" s="11" t="str">
        <f aca="false">IF(OR($U370="",$L370=0),"",$U370/$L370)</f>
        <v/>
      </c>
      <c r="W370" s="8"/>
      <c r="X370" s="19" t="str">
        <f aca="false">IF($C370="","",IF(AND($H370="",N($I370)=0,N($K370)=0),"Dòng chỉ lưu thông tin khách (chưa có đơn); ",IF($B370="","Thiếu ngày đặt; ","")&amp;IF($H370="","Thiếu tên sản phẩm; ",IF($J370="","Sản phẩm chưa có trong BẢNG GIÁ GỐC; ",""))&amp;IF(N($I370)&lt;=0,"Thiếu số lượng; ","")&amp;IF(N($K370)&lt;=0,"Thiếu giá bán; ","")&amp;IF(AND($N370&gt;0,$F370=""),"Khách lấy VAT thiếu mã số thuế; ","")&amp;IF(N($Q370)&gt;$P370,"Đã thu vượt tổng phải thu; ","")&amp;IF(AND($L370&gt;0,$U370&lt;0),"CẢNH BÁO: ĐƠN NÀY ĐANG LỖ; ","")))</f>
        <v/>
      </c>
      <c r="Y370" s="16" t="str">
        <f aca="false">IF(AND($C370&lt;&gt;"",$R370&gt;0),COUNTIFS($C$6:$C370,"&lt;&gt;",$R$6:$R370,"&gt;0"),"")</f>
        <v/>
      </c>
      <c r="Z370" s="16" t="str">
        <f aca="false">IF(AND($H370&lt;&gt;"",N($N370)&gt;0),COUNTIFS($H$6:$H370,"&lt;&gt;",$N$6:$N370,"&gt;0"),"")</f>
        <v/>
      </c>
      <c r="AA370" s="16" t="str">
        <f aca="false">IF(AND($H370&lt;&gt;"",N($N370)=0),COUNTIFS($H$6:$H370,"&lt;&gt;",$N$6:$N370,"&lt;=0"),"")</f>
        <v/>
      </c>
      <c r="AB370" s="16" t="str">
        <f aca="false">IF($C370="","",IF(COUNTIF($C$6:$C370,$C370)&gt;1,"",MAX($AB$5:AB369)+1))</f>
        <v/>
      </c>
      <c r="AC370" s="16" t="str">
        <f aca="false">IF($H370="","",IF(COUNTIF($H$6:$H370,$H370)&gt;1,"",MAX($AC$5:AC369)+1))</f>
        <v/>
      </c>
    </row>
    <row r="371" customFormat="false" ht="15" hidden="false" customHeight="false" outlineLevel="0" collapsed="false">
      <c r="A371" s="16" t="str">
        <f aca="false">IF($C371="","",COUNTA($C$6:$C371))</f>
        <v/>
      </c>
      <c r="B371" s="17"/>
      <c r="C371" s="8"/>
      <c r="D371" s="8"/>
      <c r="E371" s="8"/>
      <c r="F371" s="8"/>
      <c r="G371" s="8"/>
      <c r="H371" s="8"/>
      <c r="I371" s="9"/>
      <c r="J371" s="10" t="str">
        <f aca="false">IF($H371="","",IFERROR(VLOOKUP($H371,'BẢNG GIÁ GỐC'!$A$5:$D$204,3,FALSE()),""))</f>
        <v/>
      </c>
      <c r="K371" s="9"/>
      <c r="L371" s="10" t="str">
        <f aca="false">IF($C371="","",N($I371)*N($K371))</f>
        <v/>
      </c>
      <c r="M371" s="8"/>
      <c r="N371" s="11" t="str">
        <f aca="false">IF($C371="","",IF($M371="VAT 5%",0.05,IF($M371="VAT 8%",0.08,IF($M371="VAT 10%",0.1,0))))</f>
        <v/>
      </c>
      <c r="O371" s="10" t="str">
        <f aca="false">IF($C371="","",$L371*$N371)</f>
        <v/>
      </c>
      <c r="P371" s="10" t="str">
        <f aca="false">IF($C371="","",$L371+$O371)</f>
        <v/>
      </c>
      <c r="Q371" s="9"/>
      <c r="R371" s="10" t="str">
        <f aca="false">IF($C371="","",MAX(0,$P371-N($Q371)))</f>
        <v/>
      </c>
      <c r="S371" s="19" t="str">
        <f aca="false">IF(OR($C371="",$P371=0),"",IF(N($Q371)&lt;=0,"Chưa thanh toán",IF(N($Q371)&lt;$P371,"Thanh toán một phần","Đã thanh toán")))</f>
        <v/>
      </c>
      <c r="T371" s="10" t="str">
        <f aca="false">IF(OR($C371="",$J371=""),"",N($I371)*$J371)</f>
        <v/>
      </c>
      <c r="U371" s="10" t="str">
        <f aca="false">IF(OR($C371="",$T371=""),"",$L371-$T371)</f>
        <v/>
      </c>
      <c r="V371" s="11" t="str">
        <f aca="false">IF(OR($U371="",$L371=0),"",$U371/$L371)</f>
        <v/>
      </c>
      <c r="W371" s="8"/>
      <c r="X371" s="19" t="str">
        <f aca="false">IF($C371="","",IF(AND($H371="",N($I371)=0,N($K371)=0),"Dòng chỉ lưu thông tin khách (chưa có đơn); ",IF($B371="","Thiếu ngày đặt; ","")&amp;IF($H371="","Thiếu tên sản phẩm; ",IF($J371="","Sản phẩm chưa có trong BẢNG GIÁ GỐC; ",""))&amp;IF(N($I371)&lt;=0,"Thiếu số lượng; ","")&amp;IF(N($K371)&lt;=0,"Thiếu giá bán; ","")&amp;IF(AND($N371&gt;0,$F371=""),"Khách lấy VAT thiếu mã số thuế; ","")&amp;IF(N($Q371)&gt;$P371,"Đã thu vượt tổng phải thu; ","")&amp;IF(AND($L371&gt;0,$U371&lt;0),"CẢNH BÁO: ĐƠN NÀY ĐANG LỖ; ","")))</f>
        <v/>
      </c>
      <c r="Y371" s="16" t="str">
        <f aca="false">IF(AND($C371&lt;&gt;"",$R371&gt;0),COUNTIFS($C$6:$C371,"&lt;&gt;",$R$6:$R371,"&gt;0"),"")</f>
        <v/>
      </c>
      <c r="Z371" s="16" t="str">
        <f aca="false">IF(AND($H371&lt;&gt;"",N($N371)&gt;0),COUNTIFS($H$6:$H371,"&lt;&gt;",$N$6:$N371,"&gt;0"),"")</f>
        <v/>
      </c>
      <c r="AA371" s="16" t="str">
        <f aca="false">IF(AND($H371&lt;&gt;"",N($N371)=0),COUNTIFS($H$6:$H371,"&lt;&gt;",$N$6:$N371,"&lt;=0"),"")</f>
        <v/>
      </c>
      <c r="AB371" s="16" t="str">
        <f aca="false">IF($C371="","",IF(COUNTIF($C$6:$C371,$C371)&gt;1,"",MAX($AB$5:AB370)+1))</f>
        <v/>
      </c>
      <c r="AC371" s="16" t="str">
        <f aca="false">IF($H371="","",IF(COUNTIF($H$6:$H371,$H371)&gt;1,"",MAX($AC$5:AC370)+1))</f>
        <v/>
      </c>
    </row>
    <row r="372" customFormat="false" ht="15" hidden="false" customHeight="false" outlineLevel="0" collapsed="false">
      <c r="A372" s="16" t="str">
        <f aca="false">IF($C372="","",COUNTA($C$6:$C372))</f>
        <v/>
      </c>
      <c r="B372" s="17"/>
      <c r="C372" s="8"/>
      <c r="D372" s="8"/>
      <c r="E372" s="8"/>
      <c r="F372" s="8"/>
      <c r="G372" s="8"/>
      <c r="H372" s="8"/>
      <c r="I372" s="9"/>
      <c r="J372" s="10" t="str">
        <f aca="false">IF($H372="","",IFERROR(VLOOKUP($H372,'BẢNG GIÁ GỐC'!$A$5:$D$204,3,FALSE()),""))</f>
        <v/>
      </c>
      <c r="K372" s="9"/>
      <c r="L372" s="10" t="str">
        <f aca="false">IF($C372="","",N($I372)*N($K372))</f>
        <v/>
      </c>
      <c r="M372" s="8"/>
      <c r="N372" s="11" t="str">
        <f aca="false">IF($C372="","",IF($M372="VAT 5%",0.05,IF($M372="VAT 8%",0.08,IF($M372="VAT 10%",0.1,0))))</f>
        <v/>
      </c>
      <c r="O372" s="10" t="str">
        <f aca="false">IF($C372="","",$L372*$N372)</f>
        <v/>
      </c>
      <c r="P372" s="10" t="str">
        <f aca="false">IF($C372="","",$L372+$O372)</f>
        <v/>
      </c>
      <c r="Q372" s="9"/>
      <c r="R372" s="10" t="str">
        <f aca="false">IF($C372="","",MAX(0,$P372-N($Q372)))</f>
        <v/>
      </c>
      <c r="S372" s="19" t="str">
        <f aca="false">IF(OR($C372="",$P372=0),"",IF(N($Q372)&lt;=0,"Chưa thanh toán",IF(N($Q372)&lt;$P372,"Thanh toán một phần","Đã thanh toán")))</f>
        <v/>
      </c>
      <c r="T372" s="10" t="str">
        <f aca="false">IF(OR($C372="",$J372=""),"",N($I372)*$J372)</f>
        <v/>
      </c>
      <c r="U372" s="10" t="str">
        <f aca="false">IF(OR($C372="",$T372=""),"",$L372-$T372)</f>
        <v/>
      </c>
      <c r="V372" s="11" t="str">
        <f aca="false">IF(OR($U372="",$L372=0),"",$U372/$L372)</f>
        <v/>
      </c>
      <c r="W372" s="8"/>
      <c r="X372" s="19" t="str">
        <f aca="false">IF($C372="","",IF(AND($H372="",N($I372)=0,N($K372)=0),"Dòng chỉ lưu thông tin khách (chưa có đơn); ",IF($B372="","Thiếu ngày đặt; ","")&amp;IF($H372="","Thiếu tên sản phẩm; ",IF($J372="","Sản phẩm chưa có trong BẢNG GIÁ GỐC; ",""))&amp;IF(N($I372)&lt;=0,"Thiếu số lượng; ","")&amp;IF(N($K372)&lt;=0,"Thiếu giá bán; ","")&amp;IF(AND($N372&gt;0,$F372=""),"Khách lấy VAT thiếu mã số thuế; ","")&amp;IF(N($Q372)&gt;$P372,"Đã thu vượt tổng phải thu; ","")&amp;IF(AND($L372&gt;0,$U372&lt;0),"CẢNH BÁO: ĐƠN NÀY ĐANG LỖ; ","")))</f>
        <v/>
      </c>
      <c r="Y372" s="16" t="str">
        <f aca="false">IF(AND($C372&lt;&gt;"",$R372&gt;0),COUNTIFS($C$6:$C372,"&lt;&gt;",$R$6:$R372,"&gt;0"),"")</f>
        <v/>
      </c>
      <c r="Z372" s="16" t="str">
        <f aca="false">IF(AND($H372&lt;&gt;"",N($N372)&gt;0),COUNTIFS($H$6:$H372,"&lt;&gt;",$N$6:$N372,"&gt;0"),"")</f>
        <v/>
      </c>
      <c r="AA372" s="16" t="str">
        <f aca="false">IF(AND($H372&lt;&gt;"",N($N372)=0),COUNTIFS($H$6:$H372,"&lt;&gt;",$N$6:$N372,"&lt;=0"),"")</f>
        <v/>
      </c>
      <c r="AB372" s="16" t="str">
        <f aca="false">IF($C372="","",IF(COUNTIF($C$6:$C372,$C372)&gt;1,"",MAX($AB$5:AB371)+1))</f>
        <v/>
      </c>
      <c r="AC372" s="16" t="str">
        <f aca="false">IF($H372="","",IF(COUNTIF($H$6:$H372,$H372)&gt;1,"",MAX($AC$5:AC371)+1))</f>
        <v/>
      </c>
    </row>
    <row r="373" customFormat="false" ht="15" hidden="false" customHeight="false" outlineLevel="0" collapsed="false">
      <c r="A373" s="16" t="str">
        <f aca="false">IF($C373="","",COUNTA($C$6:$C373))</f>
        <v/>
      </c>
      <c r="B373" s="17"/>
      <c r="C373" s="8"/>
      <c r="D373" s="8"/>
      <c r="E373" s="8"/>
      <c r="F373" s="8"/>
      <c r="G373" s="8"/>
      <c r="H373" s="8"/>
      <c r="I373" s="9"/>
      <c r="J373" s="10" t="str">
        <f aca="false">IF($H373="","",IFERROR(VLOOKUP($H373,'BẢNG GIÁ GỐC'!$A$5:$D$204,3,FALSE()),""))</f>
        <v/>
      </c>
      <c r="K373" s="9"/>
      <c r="L373" s="10" t="str">
        <f aca="false">IF($C373="","",N($I373)*N($K373))</f>
        <v/>
      </c>
      <c r="M373" s="8"/>
      <c r="N373" s="11" t="str">
        <f aca="false">IF($C373="","",IF($M373="VAT 5%",0.05,IF($M373="VAT 8%",0.08,IF($M373="VAT 10%",0.1,0))))</f>
        <v/>
      </c>
      <c r="O373" s="10" t="str">
        <f aca="false">IF($C373="","",$L373*$N373)</f>
        <v/>
      </c>
      <c r="P373" s="10" t="str">
        <f aca="false">IF($C373="","",$L373+$O373)</f>
        <v/>
      </c>
      <c r="Q373" s="9"/>
      <c r="R373" s="10" t="str">
        <f aca="false">IF($C373="","",MAX(0,$P373-N($Q373)))</f>
        <v/>
      </c>
      <c r="S373" s="19" t="str">
        <f aca="false">IF(OR($C373="",$P373=0),"",IF(N($Q373)&lt;=0,"Chưa thanh toán",IF(N($Q373)&lt;$P373,"Thanh toán một phần","Đã thanh toán")))</f>
        <v/>
      </c>
      <c r="T373" s="10" t="str">
        <f aca="false">IF(OR($C373="",$J373=""),"",N($I373)*$J373)</f>
        <v/>
      </c>
      <c r="U373" s="10" t="str">
        <f aca="false">IF(OR($C373="",$T373=""),"",$L373-$T373)</f>
        <v/>
      </c>
      <c r="V373" s="11" t="str">
        <f aca="false">IF(OR($U373="",$L373=0),"",$U373/$L373)</f>
        <v/>
      </c>
      <c r="W373" s="8"/>
      <c r="X373" s="19" t="str">
        <f aca="false">IF($C373="","",IF(AND($H373="",N($I373)=0,N($K373)=0),"Dòng chỉ lưu thông tin khách (chưa có đơn); ",IF($B373="","Thiếu ngày đặt; ","")&amp;IF($H373="","Thiếu tên sản phẩm; ",IF($J373="","Sản phẩm chưa có trong BẢNG GIÁ GỐC; ",""))&amp;IF(N($I373)&lt;=0,"Thiếu số lượng; ","")&amp;IF(N($K373)&lt;=0,"Thiếu giá bán; ","")&amp;IF(AND($N373&gt;0,$F373=""),"Khách lấy VAT thiếu mã số thuế; ","")&amp;IF(N($Q373)&gt;$P373,"Đã thu vượt tổng phải thu; ","")&amp;IF(AND($L373&gt;0,$U373&lt;0),"CẢNH BÁO: ĐƠN NÀY ĐANG LỖ; ","")))</f>
        <v/>
      </c>
      <c r="Y373" s="16" t="str">
        <f aca="false">IF(AND($C373&lt;&gt;"",$R373&gt;0),COUNTIFS($C$6:$C373,"&lt;&gt;",$R$6:$R373,"&gt;0"),"")</f>
        <v/>
      </c>
      <c r="Z373" s="16" t="str">
        <f aca="false">IF(AND($H373&lt;&gt;"",N($N373)&gt;0),COUNTIFS($H$6:$H373,"&lt;&gt;",$N$6:$N373,"&gt;0"),"")</f>
        <v/>
      </c>
      <c r="AA373" s="16" t="str">
        <f aca="false">IF(AND($H373&lt;&gt;"",N($N373)=0),COUNTIFS($H$6:$H373,"&lt;&gt;",$N$6:$N373,"&lt;=0"),"")</f>
        <v/>
      </c>
      <c r="AB373" s="16" t="str">
        <f aca="false">IF($C373="","",IF(COUNTIF($C$6:$C373,$C373)&gt;1,"",MAX($AB$5:AB372)+1))</f>
        <v/>
      </c>
      <c r="AC373" s="16" t="str">
        <f aca="false">IF($H373="","",IF(COUNTIF($H$6:$H373,$H373)&gt;1,"",MAX($AC$5:AC372)+1))</f>
        <v/>
      </c>
    </row>
    <row r="374" customFormat="false" ht="15" hidden="false" customHeight="false" outlineLevel="0" collapsed="false">
      <c r="A374" s="16" t="str">
        <f aca="false">IF($C374="","",COUNTA($C$6:$C374))</f>
        <v/>
      </c>
      <c r="B374" s="17"/>
      <c r="C374" s="8"/>
      <c r="D374" s="8"/>
      <c r="E374" s="8"/>
      <c r="F374" s="8"/>
      <c r="G374" s="8"/>
      <c r="H374" s="8"/>
      <c r="I374" s="9"/>
      <c r="J374" s="10" t="str">
        <f aca="false">IF($H374="","",IFERROR(VLOOKUP($H374,'BẢNG GIÁ GỐC'!$A$5:$D$204,3,FALSE()),""))</f>
        <v/>
      </c>
      <c r="K374" s="9"/>
      <c r="L374" s="10" t="str">
        <f aca="false">IF($C374="","",N($I374)*N($K374))</f>
        <v/>
      </c>
      <c r="M374" s="8"/>
      <c r="N374" s="11" t="str">
        <f aca="false">IF($C374="","",IF($M374="VAT 5%",0.05,IF($M374="VAT 8%",0.08,IF($M374="VAT 10%",0.1,0))))</f>
        <v/>
      </c>
      <c r="O374" s="10" t="str">
        <f aca="false">IF($C374="","",$L374*$N374)</f>
        <v/>
      </c>
      <c r="P374" s="10" t="str">
        <f aca="false">IF($C374="","",$L374+$O374)</f>
        <v/>
      </c>
      <c r="Q374" s="9"/>
      <c r="R374" s="10" t="str">
        <f aca="false">IF($C374="","",MAX(0,$P374-N($Q374)))</f>
        <v/>
      </c>
      <c r="S374" s="19" t="str">
        <f aca="false">IF(OR($C374="",$P374=0),"",IF(N($Q374)&lt;=0,"Chưa thanh toán",IF(N($Q374)&lt;$P374,"Thanh toán một phần","Đã thanh toán")))</f>
        <v/>
      </c>
      <c r="T374" s="10" t="str">
        <f aca="false">IF(OR($C374="",$J374=""),"",N($I374)*$J374)</f>
        <v/>
      </c>
      <c r="U374" s="10" t="str">
        <f aca="false">IF(OR($C374="",$T374=""),"",$L374-$T374)</f>
        <v/>
      </c>
      <c r="V374" s="11" t="str">
        <f aca="false">IF(OR($U374="",$L374=0),"",$U374/$L374)</f>
        <v/>
      </c>
      <c r="W374" s="8"/>
      <c r="X374" s="19" t="str">
        <f aca="false">IF($C374="","",IF(AND($H374="",N($I374)=0,N($K374)=0),"Dòng chỉ lưu thông tin khách (chưa có đơn); ",IF($B374="","Thiếu ngày đặt; ","")&amp;IF($H374="","Thiếu tên sản phẩm; ",IF($J374="","Sản phẩm chưa có trong BẢNG GIÁ GỐC; ",""))&amp;IF(N($I374)&lt;=0,"Thiếu số lượng; ","")&amp;IF(N($K374)&lt;=0,"Thiếu giá bán; ","")&amp;IF(AND($N374&gt;0,$F374=""),"Khách lấy VAT thiếu mã số thuế; ","")&amp;IF(N($Q374)&gt;$P374,"Đã thu vượt tổng phải thu; ","")&amp;IF(AND($L374&gt;0,$U374&lt;0),"CẢNH BÁO: ĐƠN NÀY ĐANG LỖ; ","")))</f>
        <v/>
      </c>
      <c r="Y374" s="16" t="str">
        <f aca="false">IF(AND($C374&lt;&gt;"",$R374&gt;0),COUNTIFS($C$6:$C374,"&lt;&gt;",$R$6:$R374,"&gt;0"),"")</f>
        <v/>
      </c>
      <c r="Z374" s="16" t="str">
        <f aca="false">IF(AND($H374&lt;&gt;"",N($N374)&gt;0),COUNTIFS($H$6:$H374,"&lt;&gt;",$N$6:$N374,"&gt;0"),"")</f>
        <v/>
      </c>
      <c r="AA374" s="16" t="str">
        <f aca="false">IF(AND($H374&lt;&gt;"",N($N374)=0),COUNTIFS($H$6:$H374,"&lt;&gt;",$N$6:$N374,"&lt;=0"),"")</f>
        <v/>
      </c>
      <c r="AB374" s="16" t="str">
        <f aca="false">IF($C374="","",IF(COUNTIF($C$6:$C374,$C374)&gt;1,"",MAX($AB$5:AB373)+1))</f>
        <v/>
      </c>
      <c r="AC374" s="16" t="str">
        <f aca="false">IF($H374="","",IF(COUNTIF($H$6:$H374,$H374)&gt;1,"",MAX($AC$5:AC373)+1))</f>
        <v/>
      </c>
    </row>
    <row r="375" customFormat="false" ht="15" hidden="false" customHeight="false" outlineLevel="0" collapsed="false">
      <c r="A375" s="16" t="str">
        <f aca="false">IF($C375="","",COUNTA($C$6:$C375))</f>
        <v/>
      </c>
      <c r="B375" s="17"/>
      <c r="C375" s="8"/>
      <c r="D375" s="8"/>
      <c r="E375" s="8"/>
      <c r="F375" s="8"/>
      <c r="G375" s="8"/>
      <c r="H375" s="8"/>
      <c r="I375" s="9"/>
      <c r="J375" s="10" t="str">
        <f aca="false">IF($H375="","",IFERROR(VLOOKUP($H375,'BẢNG GIÁ GỐC'!$A$5:$D$204,3,FALSE()),""))</f>
        <v/>
      </c>
      <c r="K375" s="9"/>
      <c r="L375" s="10" t="str">
        <f aca="false">IF($C375="","",N($I375)*N($K375))</f>
        <v/>
      </c>
      <c r="M375" s="8"/>
      <c r="N375" s="11" t="str">
        <f aca="false">IF($C375="","",IF($M375="VAT 5%",0.05,IF($M375="VAT 8%",0.08,IF($M375="VAT 10%",0.1,0))))</f>
        <v/>
      </c>
      <c r="O375" s="10" t="str">
        <f aca="false">IF($C375="","",$L375*$N375)</f>
        <v/>
      </c>
      <c r="P375" s="10" t="str">
        <f aca="false">IF($C375="","",$L375+$O375)</f>
        <v/>
      </c>
      <c r="Q375" s="9"/>
      <c r="R375" s="10" t="str">
        <f aca="false">IF($C375="","",MAX(0,$P375-N($Q375)))</f>
        <v/>
      </c>
      <c r="S375" s="19" t="str">
        <f aca="false">IF(OR($C375="",$P375=0),"",IF(N($Q375)&lt;=0,"Chưa thanh toán",IF(N($Q375)&lt;$P375,"Thanh toán một phần","Đã thanh toán")))</f>
        <v/>
      </c>
      <c r="T375" s="10" t="str">
        <f aca="false">IF(OR($C375="",$J375=""),"",N($I375)*$J375)</f>
        <v/>
      </c>
      <c r="U375" s="10" t="str">
        <f aca="false">IF(OR($C375="",$T375=""),"",$L375-$T375)</f>
        <v/>
      </c>
      <c r="V375" s="11" t="str">
        <f aca="false">IF(OR($U375="",$L375=0),"",$U375/$L375)</f>
        <v/>
      </c>
      <c r="W375" s="8"/>
      <c r="X375" s="19" t="str">
        <f aca="false">IF($C375="","",IF(AND($H375="",N($I375)=0,N($K375)=0),"Dòng chỉ lưu thông tin khách (chưa có đơn); ",IF($B375="","Thiếu ngày đặt; ","")&amp;IF($H375="","Thiếu tên sản phẩm; ",IF($J375="","Sản phẩm chưa có trong BẢNG GIÁ GỐC; ",""))&amp;IF(N($I375)&lt;=0,"Thiếu số lượng; ","")&amp;IF(N($K375)&lt;=0,"Thiếu giá bán; ","")&amp;IF(AND($N375&gt;0,$F375=""),"Khách lấy VAT thiếu mã số thuế; ","")&amp;IF(N($Q375)&gt;$P375,"Đã thu vượt tổng phải thu; ","")&amp;IF(AND($L375&gt;0,$U375&lt;0),"CẢNH BÁO: ĐƠN NÀY ĐANG LỖ; ","")))</f>
        <v/>
      </c>
      <c r="Y375" s="16" t="str">
        <f aca="false">IF(AND($C375&lt;&gt;"",$R375&gt;0),COUNTIFS($C$6:$C375,"&lt;&gt;",$R$6:$R375,"&gt;0"),"")</f>
        <v/>
      </c>
      <c r="Z375" s="16" t="str">
        <f aca="false">IF(AND($H375&lt;&gt;"",N($N375)&gt;0),COUNTIFS($H$6:$H375,"&lt;&gt;",$N$6:$N375,"&gt;0"),"")</f>
        <v/>
      </c>
      <c r="AA375" s="16" t="str">
        <f aca="false">IF(AND($H375&lt;&gt;"",N($N375)=0),COUNTIFS($H$6:$H375,"&lt;&gt;",$N$6:$N375,"&lt;=0"),"")</f>
        <v/>
      </c>
      <c r="AB375" s="16" t="str">
        <f aca="false">IF($C375="","",IF(COUNTIF($C$6:$C375,$C375)&gt;1,"",MAX($AB$5:AB374)+1))</f>
        <v/>
      </c>
      <c r="AC375" s="16" t="str">
        <f aca="false">IF($H375="","",IF(COUNTIF($H$6:$H375,$H375)&gt;1,"",MAX($AC$5:AC374)+1))</f>
        <v/>
      </c>
    </row>
    <row r="376" customFormat="false" ht="15" hidden="false" customHeight="false" outlineLevel="0" collapsed="false">
      <c r="A376" s="16" t="str">
        <f aca="false">IF($C376="","",COUNTA($C$6:$C376))</f>
        <v/>
      </c>
      <c r="B376" s="17"/>
      <c r="C376" s="8"/>
      <c r="D376" s="8"/>
      <c r="E376" s="8"/>
      <c r="F376" s="8"/>
      <c r="G376" s="8"/>
      <c r="H376" s="8"/>
      <c r="I376" s="9"/>
      <c r="J376" s="10" t="str">
        <f aca="false">IF($H376="","",IFERROR(VLOOKUP($H376,'BẢNG GIÁ GỐC'!$A$5:$D$204,3,FALSE()),""))</f>
        <v/>
      </c>
      <c r="K376" s="9"/>
      <c r="L376" s="10" t="str">
        <f aca="false">IF($C376="","",N($I376)*N($K376))</f>
        <v/>
      </c>
      <c r="M376" s="8"/>
      <c r="N376" s="11" t="str">
        <f aca="false">IF($C376="","",IF($M376="VAT 5%",0.05,IF($M376="VAT 8%",0.08,IF($M376="VAT 10%",0.1,0))))</f>
        <v/>
      </c>
      <c r="O376" s="10" t="str">
        <f aca="false">IF($C376="","",$L376*$N376)</f>
        <v/>
      </c>
      <c r="P376" s="10" t="str">
        <f aca="false">IF($C376="","",$L376+$O376)</f>
        <v/>
      </c>
      <c r="Q376" s="9"/>
      <c r="R376" s="10" t="str">
        <f aca="false">IF($C376="","",MAX(0,$P376-N($Q376)))</f>
        <v/>
      </c>
      <c r="S376" s="19" t="str">
        <f aca="false">IF(OR($C376="",$P376=0),"",IF(N($Q376)&lt;=0,"Chưa thanh toán",IF(N($Q376)&lt;$P376,"Thanh toán một phần","Đã thanh toán")))</f>
        <v/>
      </c>
      <c r="T376" s="10" t="str">
        <f aca="false">IF(OR($C376="",$J376=""),"",N($I376)*$J376)</f>
        <v/>
      </c>
      <c r="U376" s="10" t="str">
        <f aca="false">IF(OR($C376="",$T376=""),"",$L376-$T376)</f>
        <v/>
      </c>
      <c r="V376" s="11" t="str">
        <f aca="false">IF(OR($U376="",$L376=0),"",$U376/$L376)</f>
        <v/>
      </c>
      <c r="W376" s="8"/>
      <c r="X376" s="19" t="str">
        <f aca="false">IF($C376="","",IF(AND($H376="",N($I376)=0,N($K376)=0),"Dòng chỉ lưu thông tin khách (chưa có đơn); ",IF($B376="","Thiếu ngày đặt; ","")&amp;IF($H376="","Thiếu tên sản phẩm; ",IF($J376="","Sản phẩm chưa có trong BẢNG GIÁ GỐC; ",""))&amp;IF(N($I376)&lt;=0,"Thiếu số lượng; ","")&amp;IF(N($K376)&lt;=0,"Thiếu giá bán; ","")&amp;IF(AND($N376&gt;0,$F376=""),"Khách lấy VAT thiếu mã số thuế; ","")&amp;IF(N($Q376)&gt;$P376,"Đã thu vượt tổng phải thu; ","")&amp;IF(AND($L376&gt;0,$U376&lt;0),"CẢNH BÁO: ĐƠN NÀY ĐANG LỖ; ","")))</f>
        <v/>
      </c>
      <c r="Y376" s="16" t="str">
        <f aca="false">IF(AND($C376&lt;&gt;"",$R376&gt;0),COUNTIFS($C$6:$C376,"&lt;&gt;",$R$6:$R376,"&gt;0"),"")</f>
        <v/>
      </c>
      <c r="Z376" s="16" t="str">
        <f aca="false">IF(AND($H376&lt;&gt;"",N($N376)&gt;0),COUNTIFS($H$6:$H376,"&lt;&gt;",$N$6:$N376,"&gt;0"),"")</f>
        <v/>
      </c>
      <c r="AA376" s="16" t="str">
        <f aca="false">IF(AND($H376&lt;&gt;"",N($N376)=0),COUNTIFS($H$6:$H376,"&lt;&gt;",$N$6:$N376,"&lt;=0"),"")</f>
        <v/>
      </c>
      <c r="AB376" s="16" t="str">
        <f aca="false">IF($C376="","",IF(COUNTIF($C$6:$C376,$C376)&gt;1,"",MAX($AB$5:AB375)+1))</f>
        <v/>
      </c>
      <c r="AC376" s="16" t="str">
        <f aca="false">IF($H376="","",IF(COUNTIF($H$6:$H376,$H376)&gt;1,"",MAX($AC$5:AC375)+1))</f>
        <v/>
      </c>
    </row>
    <row r="377" customFormat="false" ht="15" hidden="false" customHeight="false" outlineLevel="0" collapsed="false">
      <c r="A377" s="16" t="str">
        <f aca="false">IF($C377="","",COUNTA($C$6:$C377))</f>
        <v/>
      </c>
      <c r="B377" s="17"/>
      <c r="C377" s="8"/>
      <c r="D377" s="8"/>
      <c r="E377" s="8"/>
      <c r="F377" s="8"/>
      <c r="G377" s="8"/>
      <c r="H377" s="8"/>
      <c r="I377" s="9"/>
      <c r="J377" s="10" t="str">
        <f aca="false">IF($H377="","",IFERROR(VLOOKUP($H377,'BẢNG GIÁ GỐC'!$A$5:$D$204,3,FALSE()),""))</f>
        <v/>
      </c>
      <c r="K377" s="9"/>
      <c r="L377" s="10" t="str">
        <f aca="false">IF($C377="","",N($I377)*N($K377))</f>
        <v/>
      </c>
      <c r="M377" s="8"/>
      <c r="N377" s="11" t="str">
        <f aca="false">IF($C377="","",IF($M377="VAT 5%",0.05,IF($M377="VAT 8%",0.08,IF($M377="VAT 10%",0.1,0))))</f>
        <v/>
      </c>
      <c r="O377" s="10" t="str">
        <f aca="false">IF($C377="","",$L377*$N377)</f>
        <v/>
      </c>
      <c r="P377" s="10" t="str">
        <f aca="false">IF($C377="","",$L377+$O377)</f>
        <v/>
      </c>
      <c r="Q377" s="9"/>
      <c r="R377" s="10" t="str">
        <f aca="false">IF($C377="","",MAX(0,$P377-N($Q377)))</f>
        <v/>
      </c>
      <c r="S377" s="19" t="str">
        <f aca="false">IF(OR($C377="",$P377=0),"",IF(N($Q377)&lt;=0,"Chưa thanh toán",IF(N($Q377)&lt;$P377,"Thanh toán một phần","Đã thanh toán")))</f>
        <v/>
      </c>
      <c r="T377" s="10" t="str">
        <f aca="false">IF(OR($C377="",$J377=""),"",N($I377)*$J377)</f>
        <v/>
      </c>
      <c r="U377" s="10" t="str">
        <f aca="false">IF(OR($C377="",$T377=""),"",$L377-$T377)</f>
        <v/>
      </c>
      <c r="V377" s="11" t="str">
        <f aca="false">IF(OR($U377="",$L377=0),"",$U377/$L377)</f>
        <v/>
      </c>
      <c r="W377" s="8"/>
      <c r="X377" s="19" t="str">
        <f aca="false">IF($C377="","",IF(AND($H377="",N($I377)=0,N($K377)=0),"Dòng chỉ lưu thông tin khách (chưa có đơn); ",IF($B377="","Thiếu ngày đặt; ","")&amp;IF($H377="","Thiếu tên sản phẩm; ",IF($J377="","Sản phẩm chưa có trong BẢNG GIÁ GỐC; ",""))&amp;IF(N($I377)&lt;=0,"Thiếu số lượng; ","")&amp;IF(N($K377)&lt;=0,"Thiếu giá bán; ","")&amp;IF(AND($N377&gt;0,$F377=""),"Khách lấy VAT thiếu mã số thuế; ","")&amp;IF(N($Q377)&gt;$P377,"Đã thu vượt tổng phải thu; ","")&amp;IF(AND($L377&gt;0,$U377&lt;0),"CẢNH BÁO: ĐƠN NÀY ĐANG LỖ; ","")))</f>
        <v/>
      </c>
      <c r="Y377" s="16" t="str">
        <f aca="false">IF(AND($C377&lt;&gt;"",$R377&gt;0),COUNTIFS($C$6:$C377,"&lt;&gt;",$R$6:$R377,"&gt;0"),"")</f>
        <v/>
      </c>
      <c r="Z377" s="16" t="str">
        <f aca="false">IF(AND($H377&lt;&gt;"",N($N377)&gt;0),COUNTIFS($H$6:$H377,"&lt;&gt;",$N$6:$N377,"&gt;0"),"")</f>
        <v/>
      </c>
      <c r="AA377" s="16" t="str">
        <f aca="false">IF(AND($H377&lt;&gt;"",N($N377)=0),COUNTIFS($H$6:$H377,"&lt;&gt;",$N$6:$N377,"&lt;=0"),"")</f>
        <v/>
      </c>
      <c r="AB377" s="16" t="str">
        <f aca="false">IF($C377="","",IF(COUNTIF($C$6:$C377,$C377)&gt;1,"",MAX($AB$5:AB376)+1))</f>
        <v/>
      </c>
      <c r="AC377" s="16" t="str">
        <f aca="false">IF($H377="","",IF(COUNTIF($H$6:$H377,$H377)&gt;1,"",MAX($AC$5:AC376)+1))</f>
        <v/>
      </c>
    </row>
    <row r="378" customFormat="false" ht="15" hidden="false" customHeight="false" outlineLevel="0" collapsed="false">
      <c r="A378" s="16" t="str">
        <f aca="false">IF($C378="","",COUNTA($C$6:$C378))</f>
        <v/>
      </c>
      <c r="B378" s="17"/>
      <c r="C378" s="8"/>
      <c r="D378" s="8"/>
      <c r="E378" s="8"/>
      <c r="F378" s="8"/>
      <c r="G378" s="8"/>
      <c r="H378" s="8"/>
      <c r="I378" s="9"/>
      <c r="J378" s="10" t="str">
        <f aca="false">IF($H378="","",IFERROR(VLOOKUP($H378,'BẢNG GIÁ GỐC'!$A$5:$D$204,3,FALSE()),""))</f>
        <v/>
      </c>
      <c r="K378" s="9"/>
      <c r="L378" s="10" t="str">
        <f aca="false">IF($C378="","",N($I378)*N($K378))</f>
        <v/>
      </c>
      <c r="M378" s="8"/>
      <c r="N378" s="11" t="str">
        <f aca="false">IF($C378="","",IF($M378="VAT 5%",0.05,IF($M378="VAT 8%",0.08,IF($M378="VAT 10%",0.1,0))))</f>
        <v/>
      </c>
      <c r="O378" s="10" t="str">
        <f aca="false">IF($C378="","",$L378*$N378)</f>
        <v/>
      </c>
      <c r="P378" s="10" t="str">
        <f aca="false">IF($C378="","",$L378+$O378)</f>
        <v/>
      </c>
      <c r="Q378" s="9"/>
      <c r="R378" s="10" t="str">
        <f aca="false">IF($C378="","",MAX(0,$P378-N($Q378)))</f>
        <v/>
      </c>
      <c r="S378" s="19" t="str">
        <f aca="false">IF(OR($C378="",$P378=0),"",IF(N($Q378)&lt;=0,"Chưa thanh toán",IF(N($Q378)&lt;$P378,"Thanh toán một phần","Đã thanh toán")))</f>
        <v/>
      </c>
      <c r="T378" s="10" t="str">
        <f aca="false">IF(OR($C378="",$J378=""),"",N($I378)*$J378)</f>
        <v/>
      </c>
      <c r="U378" s="10" t="str">
        <f aca="false">IF(OR($C378="",$T378=""),"",$L378-$T378)</f>
        <v/>
      </c>
      <c r="V378" s="11" t="str">
        <f aca="false">IF(OR($U378="",$L378=0),"",$U378/$L378)</f>
        <v/>
      </c>
      <c r="W378" s="8"/>
      <c r="X378" s="19" t="str">
        <f aca="false">IF($C378="","",IF(AND($H378="",N($I378)=0,N($K378)=0),"Dòng chỉ lưu thông tin khách (chưa có đơn); ",IF($B378="","Thiếu ngày đặt; ","")&amp;IF($H378="","Thiếu tên sản phẩm; ",IF($J378="","Sản phẩm chưa có trong BẢNG GIÁ GỐC; ",""))&amp;IF(N($I378)&lt;=0,"Thiếu số lượng; ","")&amp;IF(N($K378)&lt;=0,"Thiếu giá bán; ","")&amp;IF(AND($N378&gt;0,$F378=""),"Khách lấy VAT thiếu mã số thuế; ","")&amp;IF(N($Q378)&gt;$P378,"Đã thu vượt tổng phải thu; ","")&amp;IF(AND($L378&gt;0,$U378&lt;0),"CẢNH BÁO: ĐƠN NÀY ĐANG LỖ; ","")))</f>
        <v/>
      </c>
      <c r="Y378" s="16" t="str">
        <f aca="false">IF(AND($C378&lt;&gt;"",$R378&gt;0),COUNTIFS($C$6:$C378,"&lt;&gt;",$R$6:$R378,"&gt;0"),"")</f>
        <v/>
      </c>
      <c r="Z378" s="16" t="str">
        <f aca="false">IF(AND($H378&lt;&gt;"",N($N378)&gt;0),COUNTIFS($H$6:$H378,"&lt;&gt;",$N$6:$N378,"&gt;0"),"")</f>
        <v/>
      </c>
      <c r="AA378" s="16" t="str">
        <f aca="false">IF(AND($H378&lt;&gt;"",N($N378)=0),COUNTIFS($H$6:$H378,"&lt;&gt;",$N$6:$N378,"&lt;=0"),"")</f>
        <v/>
      </c>
      <c r="AB378" s="16" t="str">
        <f aca="false">IF($C378="","",IF(COUNTIF($C$6:$C378,$C378)&gt;1,"",MAX($AB$5:AB377)+1))</f>
        <v/>
      </c>
      <c r="AC378" s="16" t="str">
        <f aca="false">IF($H378="","",IF(COUNTIF($H$6:$H378,$H378)&gt;1,"",MAX($AC$5:AC377)+1))</f>
        <v/>
      </c>
    </row>
    <row r="379" customFormat="false" ht="15" hidden="false" customHeight="false" outlineLevel="0" collapsed="false">
      <c r="A379" s="16" t="str">
        <f aca="false">IF($C379="","",COUNTA($C$6:$C379))</f>
        <v/>
      </c>
      <c r="B379" s="17"/>
      <c r="C379" s="8"/>
      <c r="D379" s="8"/>
      <c r="E379" s="8"/>
      <c r="F379" s="8"/>
      <c r="G379" s="8"/>
      <c r="H379" s="8"/>
      <c r="I379" s="9"/>
      <c r="J379" s="10" t="str">
        <f aca="false">IF($H379="","",IFERROR(VLOOKUP($H379,'BẢNG GIÁ GỐC'!$A$5:$D$204,3,FALSE()),""))</f>
        <v/>
      </c>
      <c r="K379" s="9"/>
      <c r="L379" s="10" t="str">
        <f aca="false">IF($C379="","",N($I379)*N($K379))</f>
        <v/>
      </c>
      <c r="M379" s="8"/>
      <c r="N379" s="11" t="str">
        <f aca="false">IF($C379="","",IF($M379="VAT 5%",0.05,IF($M379="VAT 8%",0.08,IF($M379="VAT 10%",0.1,0))))</f>
        <v/>
      </c>
      <c r="O379" s="10" t="str">
        <f aca="false">IF($C379="","",$L379*$N379)</f>
        <v/>
      </c>
      <c r="P379" s="10" t="str">
        <f aca="false">IF($C379="","",$L379+$O379)</f>
        <v/>
      </c>
      <c r="Q379" s="9"/>
      <c r="R379" s="10" t="str">
        <f aca="false">IF($C379="","",MAX(0,$P379-N($Q379)))</f>
        <v/>
      </c>
      <c r="S379" s="19" t="str">
        <f aca="false">IF(OR($C379="",$P379=0),"",IF(N($Q379)&lt;=0,"Chưa thanh toán",IF(N($Q379)&lt;$P379,"Thanh toán một phần","Đã thanh toán")))</f>
        <v/>
      </c>
      <c r="T379" s="10" t="str">
        <f aca="false">IF(OR($C379="",$J379=""),"",N($I379)*$J379)</f>
        <v/>
      </c>
      <c r="U379" s="10" t="str">
        <f aca="false">IF(OR($C379="",$T379=""),"",$L379-$T379)</f>
        <v/>
      </c>
      <c r="V379" s="11" t="str">
        <f aca="false">IF(OR($U379="",$L379=0),"",$U379/$L379)</f>
        <v/>
      </c>
      <c r="W379" s="8"/>
      <c r="X379" s="19" t="str">
        <f aca="false">IF($C379="","",IF(AND($H379="",N($I379)=0,N($K379)=0),"Dòng chỉ lưu thông tin khách (chưa có đơn); ",IF($B379="","Thiếu ngày đặt; ","")&amp;IF($H379="","Thiếu tên sản phẩm; ",IF($J379="","Sản phẩm chưa có trong BẢNG GIÁ GỐC; ",""))&amp;IF(N($I379)&lt;=0,"Thiếu số lượng; ","")&amp;IF(N($K379)&lt;=0,"Thiếu giá bán; ","")&amp;IF(AND($N379&gt;0,$F379=""),"Khách lấy VAT thiếu mã số thuế; ","")&amp;IF(N($Q379)&gt;$P379,"Đã thu vượt tổng phải thu; ","")&amp;IF(AND($L379&gt;0,$U379&lt;0),"CẢNH BÁO: ĐƠN NÀY ĐANG LỖ; ","")))</f>
        <v/>
      </c>
      <c r="Y379" s="16" t="str">
        <f aca="false">IF(AND($C379&lt;&gt;"",$R379&gt;0),COUNTIFS($C$6:$C379,"&lt;&gt;",$R$6:$R379,"&gt;0"),"")</f>
        <v/>
      </c>
      <c r="Z379" s="16" t="str">
        <f aca="false">IF(AND($H379&lt;&gt;"",N($N379)&gt;0),COUNTIFS($H$6:$H379,"&lt;&gt;",$N$6:$N379,"&gt;0"),"")</f>
        <v/>
      </c>
      <c r="AA379" s="16" t="str">
        <f aca="false">IF(AND($H379&lt;&gt;"",N($N379)=0),COUNTIFS($H$6:$H379,"&lt;&gt;",$N$6:$N379,"&lt;=0"),"")</f>
        <v/>
      </c>
      <c r="AB379" s="16" t="str">
        <f aca="false">IF($C379="","",IF(COUNTIF($C$6:$C379,$C379)&gt;1,"",MAX($AB$5:AB378)+1))</f>
        <v/>
      </c>
      <c r="AC379" s="16" t="str">
        <f aca="false">IF($H379="","",IF(COUNTIF($H$6:$H379,$H379)&gt;1,"",MAX($AC$5:AC378)+1))</f>
        <v/>
      </c>
    </row>
    <row r="380" customFormat="false" ht="15" hidden="false" customHeight="false" outlineLevel="0" collapsed="false">
      <c r="A380" s="16" t="str">
        <f aca="false">IF($C380="","",COUNTA($C$6:$C380))</f>
        <v/>
      </c>
      <c r="B380" s="17"/>
      <c r="C380" s="8"/>
      <c r="D380" s="8"/>
      <c r="E380" s="8"/>
      <c r="F380" s="8"/>
      <c r="G380" s="8"/>
      <c r="H380" s="8"/>
      <c r="I380" s="9"/>
      <c r="J380" s="10" t="str">
        <f aca="false">IF($H380="","",IFERROR(VLOOKUP($H380,'BẢNG GIÁ GỐC'!$A$5:$D$204,3,FALSE()),""))</f>
        <v/>
      </c>
      <c r="K380" s="9"/>
      <c r="L380" s="10" t="str">
        <f aca="false">IF($C380="","",N($I380)*N($K380))</f>
        <v/>
      </c>
      <c r="M380" s="8"/>
      <c r="N380" s="11" t="str">
        <f aca="false">IF($C380="","",IF($M380="VAT 5%",0.05,IF($M380="VAT 8%",0.08,IF($M380="VAT 10%",0.1,0))))</f>
        <v/>
      </c>
      <c r="O380" s="10" t="str">
        <f aca="false">IF($C380="","",$L380*$N380)</f>
        <v/>
      </c>
      <c r="P380" s="10" t="str">
        <f aca="false">IF($C380="","",$L380+$O380)</f>
        <v/>
      </c>
      <c r="Q380" s="9"/>
      <c r="R380" s="10" t="str">
        <f aca="false">IF($C380="","",MAX(0,$P380-N($Q380)))</f>
        <v/>
      </c>
      <c r="S380" s="19" t="str">
        <f aca="false">IF(OR($C380="",$P380=0),"",IF(N($Q380)&lt;=0,"Chưa thanh toán",IF(N($Q380)&lt;$P380,"Thanh toán một phần","Đã thanh toán")))</f>
        <v/>
      </c>
      <c r="T380" s="10" t="str">
        <f aca="false">IF(OR($C380="",$J380=""),"",N($I380)*$J380)</f>
        <v/>
      </c>
      <c r="U380" s="10" t="str">
        <f aca="false">IF(OR($C380="",$T380=""),"",$L380-$T380)</f>
        <v/>
      </c>
      <c r="V380" s="11" t="str">
        <f aca="false">IF(OR($U380="",$L380=0),"",$U380/$L380)</f>
        <v/>
      </c>
      <c r="W380" s="8"/>
      <c r="X380" s="19" t="str">
        <f aca="false">IF($C380="","",IF(AND($H380="",N($I380)=0,N($K380)=0),"Dòng chỉ lưu thông tin khách (chưa có đơn); ",IF($B380="","Thiếu ngày đặt; ","")&amp;IF($H380="","Thiếu tên sản phẩm; ",IF($J380="","Sản phẩm chưa có trong BẢNG GIÁ GỐC; ",""))&amp;IF(N($I380)&lt;=0,"Thiếu số lượng; ","")&amp;IF(N($K380)&lt;=0,"Thiếu giá bán; ","")&amp;IF(AND($N380&gt;0,$F380=""),"Khách lấy VAT thiếu mã số thuế; ","")&amp;IF(N($Q380)&gt;$P380,"Đã thu vượt tổng phải thu; ","")&amp;IF(AND($L380&gt;0,$U380&lt;0),"CẢNH BÁO: ĐƠN NÀY ĐANG LỖ; ","")))</f>
        <v/>
      </c>
      <c r="Y380" s="16" t="str">
        <f aca="false">IF(AND($C380&lt;&gt;"",$R380&gt;0),COUNTIFS($C$6:$C380,"&lt;&gt;",$R$6:$R380,"&gt;0"),"")</f>
        <v/>
      </c>
      <c r="Z380" s="16" t="str">
        <f aca="false">IF(AND($H380&lt;&gt;"",N($N380)&gt;0),COUNTIFS($H$6:$H380,"&lt;&gt;",$N$6:$N380,"&gt;0"),"")</f>
        <v/>
      </c>
      <c r="AA380" s="16" t="str">
        <f aca="false">IF(AND($H380&lt;&gt;"",N($N380)=0),COUNTIFS($H$6:$H380,"&lt;&gt;",$N$6:$N380,"&lt;=0"),"")</f>
        <v/>
      </c>
      <c r="AB380" s="16" t="str">
        <f aca="false">IF($C380="","",IF(COUNTIF($C$6:$C380,$C380)&gt;1,"",MAX($AB$5:AB379)+1))</f>
        <v/>
      </c>
      <c r="AC380" s="16" t="str">
        <f aca="false">IF($H380="","",IF(COUNTIF($H$6:$H380,$H380)&gt;1,"",MAX($AC$5:AC379)+1))</f>
        <v/>
      </c>
    </row>
    <row r="381" customFormat="false" ht="15" hidden="false" customHeight="false" outlineLevel="0" collapsed="false">
      <c r="A381" s="16" t="str">
        <f aca="false">IF($C381="","",COUNTA($C$6:$C381))</f>
        <v/>
      </c>
      <c r="B381" s="17"/>
      <c r="C381" s="8"/>
      <c r="D381" s="8"/>
      <c r="E381" s="8"/>
      <c r="F381" s="8"/>
      <c r="G381" s="8"/>
      <c r="H381" s="8"/>
      <c r="I381" s="9"/>
      <c r="J381" s="10" t="str">
        <f aca="false">IF($H381="","",IFERROR(VLOOKUP($H381,'BẢNG GIÁ GỐC'!$A$5:$D$204,3,FALSE()),""))</f>
        <v/>
      </c>
      <c r="K381" s="9"/>
      <c r="L381" s="10" t="str">
        <f aca="false">IF($C381="","",N($I381)*N($K381))</f>
        <v/>
      </c>
      <c r="M381" s="8"/>
      <c r="N381" s="11" t="str">
        <f aca="false">IF($C381="","",IF($M381="VAT 5%",0.05,IF($M381="VAT 8%",0.08,IF($M381="VAT 10%",0.1,0))))</f>
        <v/>
      </c>
      <c r="O381" s="10" t="str">
        <f aca="false">IF($C381="","",$L381*$N381)</f>
        <v/>
      </c>
      <c r="P381" s="10" t="str">
        <f aca="false">IF($C381="","",$L381+$O381)</f>
        <v/>
      </c>
      <c r="Q381" s="9"/>
      <c r="R381" s="10" t="str">
        <f aca="false">IF($C381="","",MAX(0,$P381-N($Q381)))</f>
        <v/>
      </c>
      <c r="S381" s="19" t="str">
        <f aca="false">IF(OR($C381="",$P381=0),"",IF(N($Q381)&lt;=0,"Chưa thanh toán",IF(N($Q381)&lt;$P381,"Thanh toán một phần","Đã thanh toán")))</f>
        <v/>
      </c>
      <c r="T381" s="10" t="str">
        <f aca="false">IF(OR($C381="",$J381=""),"",N($I381)*$J381)</f>
        <v/>
      </c>
      <c r="U381" s="10" t="str">
        <f aca="false">IF(OR($C381="",$T381=""),"",$L381-$T381)</f>
        <v/>
      </c>
      <c r="V381" s="11" t="str">
        <f aca="false">IF(OR($U381="",$L381=0),"",$U381/$L381)</f>
        <v/>
      </c>
      <c r="W381" s="8"/>
      <c r="X381" s="19" t="str">
        <f aca="false">IF($C381="","",IF(AND($H381="",N($I381)=0,N($K381)=0),"Dòng chỉ lưu thông tin khách (chưa có đơn); ",IF($B381="","Thiếu ngày đặt; ","")&amp;IF($H381="","Thiếu tên sản phẩm; ",IF($J381="","Sản phẩm chưa có trong BẢNG GIÁ GỐC; ",""))&amp;IF(N($I381)&lt;=0,"Thiếu số lượng; ","")&amp;IF(N($K381)&lt;=0,"Thiếu giá bán; ","")&amp;IF(AND($N381&gt;0,$F381=""),"Khách lấy VAT thiếu mã số thuế; ","")&amp;IF(N($Q381)&gt;$P381,"Đã thu vượt tổng phải thu; ","")&amp;IF(AND($L381&gt;0,$U381&lt;0),"CẢNH BÁO: ĐƠN NÀY ĐANG LỖ; ","")))</f>
        <v/>
      </c>
      <c r="Y381" s="16" t="str">
        <f aca="false">IF(AND($C381&lt;&gt;"",$R381&gt;0),COUNTIFS($C$6:$C381,"&lt;&gt;",$R$6:$R381,"&gt;0"),"")</f>
        <v/>
      </c>
      <c r="Z381" s="16" t="str">
        <f aca="false">IF(AND($H381&lt;&gt;"",N($N381)&gt;0),COUNTIFS($H$6:$H381,"&lt;&gt;",$N$6:$N381,"&gt;0"),"")</f>
        <v/>
      </c>
      <c r="AA381" s="16" t="str">
        <f aca="false">IF(AND($H381&lt;&gt;"",N($N381)=0),COUNTIFS($H$6:$H381,"&lt;&gt;",$N$6:$N381,"&lt;=0"),"")</f>
        <v/>
      </c>
      <c r="AB381" s="16" t="str">
        <f aca="false">IF($C381="","",IF(COUNTIF($C$6:$C381,$C381)&gt;1,"",MAX($AB$5:AB380)+1))</f>
        <v/>
      </c>
      <c r="AC381" s="16" t="str">
        <f aca="false">IF($H381="","",IF(COUNTIF($H$6:$H381,$H381)&gt;1,"",MAX($AC$5:AC380)+1))</f>
        <v/>
      </c>
    </row>
    <row r="382" customFormat="false" ht="15" hidden="false" customHeight="false" outlineLevel="0" collapsed="false">
      <c r="A382" s="16" t="str">
        <f aca="false">IF($C382="","",COUNTA($C$6:$C382))</f>
        <v/>
      </c>
      <c r="B382" s="17"/>
      <c r="C382" s="8"/>
      <c r="D382" s="8"/>
      <c r="E382" s="8"/>
      <c r="F382" s="8"/>
      <c r="G382" s="8"/>
      <c r="H382" s="8"/>
      <c r="I382" s="9"/>
      <c r="J382" s="10" t="str">
        <f aca="false">IF($H382="","",IFERROR(VLOOKUP($H382,'BẢNG GIÁ GỐC'!$A$5:$D$204,3,FALSE()),""))</f>
        <v/>
      </c>
      <c r="K382" s="9"/>
      <c r="L382" s="10" t="str">
        <f aca="false">IF($C382="","",N($I382)*N($K382))</f>
        <v/>
      </c>
      <c r="M382" s="8"/>
      <c r="N382" s="11" t="str">
        <f aca="false">IF($C382="","",IF($M382="VAT 5%",0.05,IF($M382="VAT 8%",0.08,IF($M382="VAT 10%",0.1,0))))</f>
        <v/>
      </c>
      <c r="O382" s="10" t="str">
        <f aca="false">IF($C382="","",$L382*$N382)</f>
        <v/>
      </c>
      <c r="P382" s="10" t="str">
        <f aca="false">IF($C382="","",$L382+$O382)</f>
        <v/>
      </c>
      <c r="Q382" s="9"/>
      <c r="R382" s="10" t="str">
        <f aca="false">IF($C382="","",MAX(0,$P382-N($Q382)))</f>
        <v/>
      </c>
      <c r="S382" s="19" t="str">
        <f aca="false">IF(OR($C382="",$P382=0),"",IF(N($Q382)&lt;=0,"Chưa thanh toán",IF(N($Q382)&lt;$P382,"Thanh toán một phần","Đã thanh toán")))</f>
        <v/>
      </c>
      <c r="T382" s="10" t="str">
        <f aca="false">IF(OR($C382="",$J382=""),"",N($I382)*$J382)</f>
        <v/>
      </c>
      <c r="U382" s="10" t="str">
        <f aca="false">IF(OR($C382="",$T382=""),"",$L382-$T382)</f>
        <v/>
      </c>
      <c r="V382" s="11" t="str">
        <f aca="false">IF(OR($U382="",$L382=0),"",$U382/$L382)</f>
        <v/>
      </c>
      <c r="W382" s="8"/>
      <c r="X382" s="19" t="str">
        <f aca="false">IF($C382="","",IF(AND($H382="",N($I382)=0,N($K382)=0),"Dòng chỉ lưu thông tin khách (chưa có đơn); ",IF($B382="","Thiếu ngày đặt; ","")&amp;IF($H382="","Thiếu tên sản phẩm; ",IF($J382="","Sản phẩm chưa có trong BẢNG GIÁ GỐC; ",""))&amp;IF(N($I382)&lt;=0,"Thiếu số lượng; ","")&amp;IF(N($K382)&lt;=0,"Thiếu giá bán; ","")&amp;IF(AND($N382&gt;0,$F382=""),"Khách lấy VAT thiếu mã số thuế; ","")&amp;IF(N($Q382)&gt;$P382,"Đã thu vượt tổng phải thu; ","")&amp;IF(AND($L382&gt;0,$U382&lt;0),"CẢNH BÁO: ĐƠN NÀY ĐANG LỖ; ","")))</f>
        <v/>
      </c>
      <c r="Y382" s="16" t="str">
        <f aca="false">IF(AND($C382&lt;&gt;"",$R382&gt;0),COUNTIFS($C$6:$C382,"&lt;&gt;",$R$6:$R382,"&gt;0"),"")</f>
        <v/>
      </c>
      <c r="Z382" s="16" t="str">
        <f aca="false">IF(AND($H382&lt;&gt;"",N($N382)&gt;0),COUNTIFS($H$6:$H382,"&lt;&gt;",$N$6:$N382,"&gt;0"),"")</f>
        <v/>
      </c>
      <c r="AA382" s="16" t="str">
        <f aca="false">IF(AND($H382&lt;&gt;"",N($N382)=0),COUNTIFS($H$6:$H382,"&lt;&gt;",$N$6:$N382,"&lt;=0"),"")</f>
        <v/>
      </c>
      <c r="AB382" s="16" t="str">
        <f aca="false">IF($C382="","",IF(COUNTIF($C$6:$C382,$C382)&gt;1,"",MAX($AB$5:AB381)+1))</f>
        <v/>
      </c>
      <c r="AC382" s="16" t="str">
        <f aca="false">IF($H382="","",IF(COUNTIF($H$6:$H382,$H382)&gt;1,"",MAX($AC$5:AC381)+1))</f>
        <v/>
      </c>
    </row>
    <row r="383" customFormat="false" ht="15" hidden="false" customHeight="false" outlineLevel="0" collapsed="false">
      <c r="A383" s="16" t="str">
        <f aca="false">IF($C383="","",COUNTA($C$6:$C383))</f>
        <v/>
      </c>
      <c r="B383" s="17"/>
      <c r="C383" s="8"/>
      <c r="D383" s="8"/>
      <c r="E383" s="8"/>
      <c r="F383" s="8"/>
      <c r="G383" s="8"/>
      <c r="H383" s="8"/>
      <c r="I383" s="9"/>
      <c r="J383" s="10" t="str">
        <f aca="false">IF($H383="","",IFERROR(VLOOKUP($H383,'BẢNG GIÁ GỐC'!$A$5:$D$204,3,FALSE()),""))</f>
        <v/>
      </c>
      <c r="K383" s="9"/>
      <c r="L383" s="10" t="str">
        <f aca="false">IF($C383="","",N($I383)*N($K383))</f>
        <v/>
      </c>
      <c r="M383" s="8"/>
      <c r="N383" s="11" t="str">
        <f aca="false">IF($C383="","",IF($M383="VAT 5%",0.05,IF($M383="VAT 8%",0.08,IF($M383="VAT 10%",0.1,0))))</f>
        <v/>
      </c>
      <c r="O383" s="10" t="str">
        <f aca="false">IF($C383="","",$L383*$N383)</f>
        <v/>
      </c>
      <c r="P383" s="10" t="str">
        <f aca="false">IF($C383="","",$L383+$O383)</f>
        <v/>
      </c>
      <c r="Q383" s="9"/>
      <c r="R383" s="10" t="str">
        <f aca="false">IF($C383="","",MAX(0,$P383-N($Q383)))</f>
        <v/>
      </c>
      <c r="S383" s="19" t="str">
        <f aca="false">IF(OR($C383="",$P383=0),"",IF(N($Q383)&lt;=0,"Chưa thanh toán",IF(N($Q383)&lt;$P383,"Thanh toán một phần","Đã thanh toán")))</f>
        <v/>
      </c>
      <c r="T383" s="10" t="str">
        <f aca="false">IF(OR($C383="",$J383=""),"",N($I383)*$J383)</f>
        <v/>
      </c>
      <c r="U383" s="10" t="str">
        <f aca="false">IF(OR($C383="",$T383=""),"",$L383-$T383)</f>
        <v/>
      </c>
      <c r="V383" s="11" t="str">
        <f aca="false">IF(OR($U383="",$L383=0),"",$U383/$L383)</f>
        <v/>
      </c>
      <c r="W383" s="8"/>
      <c r="X383" s="19" t="str">
        <f aca="false">IF($C383="","",IF(AND($H383="",N($I383)=0,N($K383)=0),"Dòng chỉ lưu thông tin khách (chưa có đơn); ",IF($B383="","Thiếu ngày đặt; ","")&amp;IF($H383="","Thiếu tên sản phẩm; ",IF($J383="","Sản phẩm chưa có trong BẢNG GIÁ GỐC; ",""))&amp;IF(N($I383)&lt;=0,"Thiếu số lượng; ","")&amp;IF(N($K383)&lt;=0,"Thiếu giá bán; ","")&amp;IF(AND($N383&gt;0,$F383=""),"Khách lấy VAT thiếu mã số thuế; ","")&amp;IF(N($Q383)&gt;$P383,"Đã thu vượt tổng phải thu; ","")&amp;IF(AND($L383&gt;0,$U383&lt;0),"CẢNH BÁO: ĐƠN NÀY ĐANG LỖ; ","")))</f>
        <v/>
      </c>
      <c r="Y383" s="16" t="str">
        <f aca="false">IF(AND($C383&lt;&gt;"",$R383&gt;0),COUNTIFS($C$6:$C383,"&lt;&gt;",$R$6:$R383,"&gt;0"),"")</f>
        <v/>
      </c>
      <c r="Z383" s="16" t="str">
        <f aca="false">IF(AND($H383&lt;&gt;"",N($N383)&gt;0),COUNTIFS($H$6:$H383,"&lt;&gt;",$N$6:$N383,"&gt;0"),"")</f>
        <v/>
      </c>
      <c r="AA383" s="16" t="str">
        <f aca="false">IF(AND($H383&lt;&gt;"",N($N383)=0),COUNTIFS($H$6:$H383,"&lt;&gt;",$N$6:$N383,"&lt;=0"),"")</f>
        <v/>
      </c>
      <c r="AB383" s="16" t="str">
        <f aca="false">IF($C383="","",IF(COUNTIF($C$6:$C383,$C383)&gt;1,"",MAX($AB$5:AB382)+1))</f>
        <v/>
      </c>
      <c r="AC383" s="16" t="str">
        <f aca="false">IF($H383="","",IF(COUNTIF($H$6:$H383,$H383)&gt;1,"",MAX($AC$5:AC382)+1))</f>
        <v/>
      </c>
    </row>
    <row r="384" customFormat="false" ht="15" hidden="false" customHeight="false" outlineLevel="0" collapsed="false">
      <c r="A384" s="16" t="str">
        <f aca="false">IF($C384="","",COUNTA($C$6:$C384))</f>
        <v/>
      </c>
      <c r="B384" s="17"/>
      <c r="C384" s="8"/>
      <c r="D384" s="8"/>
      <c r="E384" s="8"/>
      <c r="F384" s="8"/>
      <c r="G384" s="8"/>
      <c r="H384" s="8"/>
      <c r="I384" s="9"/>
      <c r="J384" s="10" t="str">
        <f aca="false">IF($H384="","",IFERROR(VLOOKUP($H384,'BẢNG GIÁ GỐC'!$A$5:$D$204,3,FALSE()),""))</f>
        <v/>
      </c>
      <c r="K384" s="9"/>
      <c r="L384" s="10" t="str">
        <f aca="false">IF($C384="","",N($I384)*N($K384))</f>
        <v/>
      </c>
      <c r="M384" s="8"/>
      <c r="N384" s="11" t="str">
        <f aca="false">IF($C384="","",IF($M384="VAT 5%",0.05,IF($M384="VAT 8%",0.08,IF($M384="VAT 10%",0.1,0))))</f>
        <v/>
      </c>
      <c r="O384" s="10" t="str">
        <f aca="false">IF($C384="","",$L384*$N384)</f>
        <v/>
      </c>
      <c r="P384" s="10" t="str">
        <f aca="false">IF($C384="","",$L384+$O384)</f>
        <v/>
      </c>
      <c r="Q384" s="9"/>
      <c r="R384" s="10" t="str">
        <f aca="false">IF($C384="","",MAX(0,$P384-N($Q384)))</f>
        <v/>
      </c>
      <c r="S384" s="19" t="str">
        <f aca="false">IF(OR($C384="",$P384=0),"",IF(N($Q384)&lt;=0,"Chưa thanh toán",IF(N($Q384)&lt;$P384,"Thanh toán một phần","Đã thanh toán")))</f>
        <v/>
      </c>
      <c r="T384" s="10" t="str">
        <f aca="false">IF(OR($C384="",$J384=""),"",N($I384)*$J384)</f>
        <v/>
      </c>
      <c r="U384" s="10" t="str">
        <f aca="false">IF(OR($C384="",$T384=""),"",$L384-$T384)</f>
        <v/>
      </c>
      <c r="V384" s="11" t="str">
        <f aca="false">IF(OR($U384="",$L384=0),"",$U384/$L384)</f>
        <v/>
      </c>
      <c r="W384" s="8"/>
      <c r="X384" s="19" t="str">
        <f aca="false">IF($C384="","",IF(AND($H384="",N($I384)=0,N($K384)=0),"Dòng chỉ lưu thông tin khách (chưa có đơn); ",IF($B384="","Thiếu ngày đặt; ","")&amp;IF($H384="","Thiếu tên sản phẩm; ",IF($J384="","Sản phẩm chưa có trong BẢNG GIÁ GỐC; ",""))&amp;IF(N($I384)&lt;=0,"Thiếu số lượng; ","")&amp;IF(N($K384)&lt;=0,"Thiếu giá bán; ","")&amp;IF(AND($N384&gt;0,$F384=""),"Khách lấy VAT thiếu mã số thuế; ","")&amp;IF(N($Q384)&gt;$P384,"Đã thu vượt tổng phải thu; ","")&amp;IF(AND($L384&gt;0,$U384&lt;0),"CẢNH BÁO: ĐƠN NÀY ĐANG LỖ; ","")))</f>
        <v/>
      </c>
      <c r="Y384" s="16" t="str">
        <f aca="false">IF(AND($C384&lt;&gt;"",$R384&gt;0),COUNTIFS($C$6:$C384,"&lt;&gt;",$R$6:$R384,"&gt;0"),"")</f>
        <v/>
      </c>
      <c r="Z384" s="16" t="str">
        <f aca="false">IF(AND($H384&lt;&gt;"",N($N384)&gt;0),COUNTIFS($H$6:$H384,"&lt;&gt;",$N$6:$N384,"&gt;0"),"")</f>
        <v/>
      </c>
      <c r="AA384" s="16" t="str">
        <f aca="false">IF(AND($H384&lt;&gt;"",N($N384)=0),COUNTIFS($H$6:$H384,"&lt;&gt;",$N$6:$N384,"&lt;=0"),"")</f>
        <v/>
      </c>
      <c r="AB384" s="16" t="str">
        <f aca="false">IF($C384="","",IF(COUNTIF($C$6:$C384,$C384)&gt;1,"",MAX($AB$5:AB383)+1))</f>
        <v/>
      </c>
      <c r="AC384" s="16" t="str">
        <f aca="false">IF($H384="","",IF(COUNTIF($H$6:$H384,$H384)&gt;1,"",MAX($AC$5:AC383)+1))</f>
        <v/>
      </c>
    </row>
    <row r="385" customFormat="false" ht="15" hidden="false" customHeight="false" outlineLevel="0" collapsed="false">
      <c r="A385" s="16" t="str">
        <f aca="false">IF($C385="","",COUNTA($C$6:$C385))</f>
        <v/>
      </c>
      <c r="B385" s="17"/>
      <c r="C385" s="8"/>
      <c r="D385" s="8"/>
      <c r="E385" s="8"/>
      <c r="F385" s="8"/>
      <c r="G385" s="8"/>
      <c r="H385" s="8"/>
      <c r="I385" s="9"/>
      <c r="J385" s="10" t="str">
        <f aca="false">IF($H385="","",IFERROR(VLOOKUP($H385,'BẢNG GIÁ GỐC'!$A$5:$D$204,3,FALSE()),""))</f>
        <v/>
      </c>
      <c r="K385" s="9"/>
      <c r="L385" s="10" t="str">
        <f aca="false">IF($C385="","",N($I385)*N($K385))</f>
        <v/>
      </c>
      <c r="M385" s="8"/>
      <c r="N385" s="11" t="str">
        <f aca="false">IF($C385="","",IF($M385="VAT 5%",0.05,IF($M385="VAT 8%",0.08,IF($M385="VAT 10%",0.1,0))))</f>
        <v/>
      </c>
      <c r="O385" s="10" t="str">
        <f aca="false">IF($C385="","",$L385*$N385)</f>
        <v/>
      </c>
      <c r="P385" s="10" t="str">
        <f aca="false">IF($C385="","",$L385+$O385)</f>
        <v/>
      </c>
      <c r="Q385" s="9"/>
      <c r="R385" s="10" t="str">
        <f aca="false">IF($C385="","",MAX(0,$P385-N($Q385)))</f>
        <v/>
      </c>
      <c r="S385" s="19" t="str">
        <f aca="false">IF(OR($C385="",$P385=0),"",IF(N($Q385)&lt;=0,"Chưa thanh toán",IF(N($Q385)&lt;$P385,"Thanh toán một phần","Đã thanh toán")))</f>
        <v/>
      </c>
      <c r="T385" s="10" t="str">
        <f aca="false">IF(OR($C385="",$J385=""),"",N($I385)*$J385)</f>
        <v/>
      </c>
      <c r="U385" s="10" t="str">
        <f aca="false">IF(OR($C385="",$T385=""),"",$L385-$T385)</f>
        <v/>
      </c>
      <c r="V385" s="11" t="str">
        <f aca="false">IF(OR($U385="",$L385=0),"",$U385/$L385)</f>
        <v/>
      </c>
      <c r="W385" s="8"/>
      <c r="X385" s="19" t="str">
        <f aca="false">IF($C385="","",IF(AND($H385="",N($I385)=0,N($K385)=0),"Dòng chỉ lưu thông tin khách (chưa có đơn); ",IF($B385="","Thiếu ngày đặt; ","")&amp;IF($H385="","Thiếu tên sản phẩm; ",IF($J385="","Sản phẩm chưa có trong BẢNG GIÁ GỐC; ",""))&amp;IF(N($I385)&lt;=0,"Thiếu số lượng; ","")&amp;IF(N($K385)&lt;=0,"Thiếu giá bán; ","")&amp;IF(AND($N385&gt;0,$F385=""),"Khách lấy VAT thiếu mã số thuế; ","")&amp;IF(N($Q385)&gt;$P385,"Đã thu vượt tổng phải thu; ","")&amp;IF(AND($L385&gt;0,$U385&lt;0),"CẢNH BÁO: ĐƠN NÀY ĐANG LỖ; ","")))</f>
        <v/>
      </c>
      <c r="Y385" s="16" t="str">
        <f aca="false">IF(AND($C385&lt;&gt;"",$R385&gt;0),COUNTIFS($C$6:$C385,"&lt;&gt;",$R$6:$R385,"&gt;0"),"")</f>
        <v/>
      </c>
      <c r="Z385" s="16" t="str">
        <f aca="false">IF(AND($H385&lt;&gt;"",N($N385)&gt;0),COUNTIFS($H$6:$H385,"&lt;&gt;",$N$6:$N385,"&gt;0"),"")</f>
        <v/>
      </c>
      <c r="AA385" s="16" t="str">
        <f aca="false">IF(AND($H385&lt;&gt;"",N($N385)=0),COUNTIFS($H$6:$H385,"&lt;&gt;",$N$6:$N385,"&lt;=0"),"")</f>
        <v/>
      </c>
      <c r="AB385" s="16" t="str">
        <f aca="false">IF($C385="","",IF(COUNTIF($C$6:$C385,$C385)&gt;1,"",MAX($AB$5:AB384)+1))</f>
        <v/>
      </c>
      <c r="AC385" s="16" t="str">
        <f aca="false">IF($H385="","",IF(COUNTIF($H$6:$H385,$H385)&gt;1,"",MAX($AC$5:AC384)+1))</f>
        <v/>
      </c>
    </row>
    <row r="386" customFormat="false" ht="15" hidden="false" customHeight="false" outlineLevel="0" collapsed="false">
      <c r="A386" s="16" t="str">
        <f aca="false">IF($C386="","",COUNTA($C$6:$C386))</f>
        <v/>
      </c>
      <c r="B386" s="17"/>
      <c r="C386" s="8"/>
      <c r="D386" s="8"/>
      <c r="E386" s="8"/>
      <c r="F386" s="8"/>
      <c r="G386" s="8"/>
      <c r="H386" s="8"/>
      <c r="I386" s="9"/>
      <c r="J386" s="10" t="str">
        <f aca="false">IF($H386="","",IFERROR(VLOOKUP($H386,'BẢNG GIÁ GỐC'!$A$5:$D$204,3,FALSE()),""))</f>
        <v/>
      </c>
      <c r="K386" s="9"/>
      <c r="L386" s="10" t="str">
        <f aca="false">IF($C386="","",N($I386)*N($K386))</f>
        <v/>
      </c>
      <c r="M386" s="8"/>
      <c r="N386" s="11" t="str">
        <f aca="false">IF($C386="","",IF($M386="VAT 5%",0.05,IF($M386="VAT 8%",0.08,IF($M386="VAT 10%",0.1,0))))</f>
        <v/>
      </c>
      <c r="O386" s="10" t="str">
        <f aca="false">IF($C386="","",$L386*$N386)</f>
        <v/>
      </c>
      <c r="P386" s="10" t="str">
        <f aca="false">IF($C386="","",$L386+$O386)</f>
        <v/>
      </c>
      <c r="Q386" s="9"/>
      <c r="R386" s="10" t="str">
        <f aca="false">IF($C386="","",MAX(0,$P386-N($Q386)))</f>
        <v/>
      </c>
      <c r="S386" s="19" t="str">
        <f aca="false">IF(OR($C386="",$P386=0),"",IF(N($Q386)&lt;=0,"Chưa thanh toán",IF(N($Q386)&lt;$P386,"Thanh toán một phần","Đã thanh toán")))</f>
        <v/>
      </c>
      <c r="T386" s="10" t="str">
        <f aca="false">IF(OR($C386="",$J386=""),"",N($I386)*$J386)</f>
        <v/>
      </c>
      <c r="U386" s="10" t="str">
        <f aca="false">IF(OR($C386="",$T386=""),"",$L386-$T386)</f>
        <v/>
      </c>
      <c r="V386" s="11" t="str">
        <f aca="false">IF(OR($U386="",$L386=0),"",$U386/$L386)</f>
        <v/>
      </c>
      <c r="W386" s="8"/>
      <c r="X386" s="19" t="str">
        <f aca="false">IF($C386="","",IF(AND($H386="",N($I386)=0,N($K386)=0),"Dòng chỉ lưu thông tin khách (chưa có đơn); ",IF($B386="","Thiếu ngày đặt; ","")&amp;IF($H386="","Thiếu tên sản phẩm; ",IF($J386="","Sản phẩm chưa có trong BẢNG GIÁ GỐC; ",""))&amp;IF(N($I386)&lt;=0,"Thiếu số lượng; ","")&amp;IF(N($K386)&lt;=0,"Thiếu giá bán; ","")&amp;IF(AND($N386&gt;0,$F386=""),"Khách lấy VAT thiếu mã số thuế; ","")&amp;IF(N($Q386)&gt;$P386,"Đã thu vượt tổng phải thu; ","")&amp;IF(AND($L386&gt;0,$U386&lt;0),"CẢNH BÁO: ĐƠN NÀY ĐANG LỖ; ","")))</f>
        <v/>
      </c>
      <c r="Y386" s="16" t="str">
        <f aca="false">IF(AND($C386&lt;&gt;"",$R386&gt;0),COUNTIFS($C$6:$C386,"&lt;&gt;",$R$6:$R386,"&gt;0"),"")</f>
        <v/>
      </c>
      <c r="Z386" s="16" t="str">
        <f aca="false">IF(AND($H386&lt;&gt;"",N($N386)&gt;0),COUNTIFS($H$6:$H386,"&lt;&gt;",$N$6:$N386,"&gt;0"),"")</f>
        <v/>
      </c>
      <c r="AA386" s="16" t="str">
        <f aca="false">IF(AND($H386&lt;&gt;"",N($N386)=0),COUNTIFS($H$6:$H386,"&lt;&gt;",$N$6:$N386,"&lt;=0"),"")</f>
        <v/>
      </c>
      <c r="AB386" s="16" t="str">
        <f aca="false">IF($C386="","",IF(COUNTIF($C$6:$C386,$C386)&gt;1,"",MAX($AB$5:AB385)+1))</f>
        <v/>
      </c>
      <c r="AC386" s="16" t="str">
        <f aca="false">IF($H386="","",IF(COUNTIF($H$6:$H386,$H386)&gt;1,"",MAX($AC$5:AC385)+1))</f>
        <v/>
      </c>
    </row>
    <row r="387" customFormat="false" ht="15" hidden="false" customHeight="false" outlineLevel="0" collapsed="false">
      <c r="A387" s="16" t="str">
        <f aca="false">IF($C387="","",COUNTA($C$6:$C387))</f>
        <v/>
      </c>
      <c r="B387" s="17"/>
      <c r="C387" s="8"/>
      <c r="D387" s="8"/>
      <c r="E387" s="8"/>
      <c r="F387" s="8"/>
      <c r="G387" s="8"/>
      <c r="H387" s="8"/>
      <c r="I387" s="9"/>
      <c r="J387" s="10" t="str">
        <f aca="false">IF($H387="","",IFERROR(VLOOKUP($H387,'BẢNG GIÁ GỐC'!$A$5:$D$204,3,FALSE()),""))</f>
        <v/>
      </c>
      <c r="K387" s="9"/>
      <c r="L387" s="10" t="str">
        <f aca="false">IF($C387="","",N($I387)*N($K387))</f>
        <v/>
      </c>
      <c r="M387" s="8"/>
      <c r="N387" s="11" t="str">
        <f aca="false">IF($C387="","",IF($M387="VAT 5%",0.05,IF($M387="VAT 8%",0.08,IF($M387="VAT 10%",0.1,0))))</f>
        <v/>
      </c>
      <c r="O387" s="10" t="str">
        <f aca="false">IF($C387="","",$L387*$N387)</f>
        <v/>
      </c>
      <c r="P387" s="10" t="str">
        <f aca="false">IF($C387="","",$L387+$O387)</f>
        <v/>
      </c>
      <c r="Q387" s="9"/>
      <c r="R387" s="10" t="str">
        <f aca="false">IF($C387="","",MAX(0,$P387-N($Q387)))</f>
        <v/>
      </c>
      <c r="S387" s="19" t="str">
        <f aca="false">IF(OR($C387="",$P387=0),"",IF(N($Q387)&lt;=0,"Chưa thanh toán",IF(N($Q387)&lt;$P387,"Thanh toán một phần","Đã thanh toán")))</f>
        <v/>
      </c>
      <c r="T387" s="10" t="str">
        <f aca="false">IF(OR($C387="",$J387=""),"",N($I387)*$J387)</f>
        <v/>
      </c>
      <c r="U387" s="10" t="str">
        <f aca="false">IF(OR($C387="",$T387=""),"",$L387-$T387)</f>
        <v/>
      </c>
      <c r="V387" s="11" t="str">
        <f aca="false">IF(OR($U387="",$L387=0),"",$U387/$L387)</f>
        <v/>
      </c>
      <c r="W387" s="8"/>
      <c r="X387" s="19" t="str">
        <f aca="false">IF($C387="","",IF(AND($H387="",N($I387)=0,N($K387)=0),"Dòng chỉ lưu thông tin khách (chưa có đơn); ",IF($B387="","Thiếu ngày đặt; ","")&amp;IF($H387="","Thiếu tên sản phẩm; ",IF($J387="","Sản phẩm chưa có trong BẢNG GIÁ GỐC; ",""))&amp;IF(N($I387)&lt;=0,"Thiếu số lượng; ","")&amp;IF(N($K387)&lt;=0,"Thiếu giá bán; ","")&amp;IF(AND($N387&gt;0,$F387=""),"Khách lấy VAT thiếu mã số thuế; ","")&amp;IF(N($Q387)&gt;$P387,"Đã thu vượt tổng phải thu; ","")&amp;IF(AND($L387&gt;0,$U387&lt;0),"CẢNH BÁO: ĐƠN NÀY ĐANG LỖ; ","")))</f>
        <v/>
      </c>
      <c r="Y387" s="16" t="str">
        <f aca="false">IF(AND($C387&lt;&gt;"",$R387&gt;0),COUNTIFS($C$6:$C387,"&lt;&gt;",$R$6:$R387,"&gt;0"),"")</f>
        <v/>
      </c>
      <c r="Z387" s="16" t="str">
        <f aca="false">IF(AND($H387&lt;&gt;"",N($N387)&gt;0),COUNTIFS($H$6:$H387,"&lt;&gt;",$N$6:$N387,"&gt;0"),"")</f>
        <v/>
      </c>
      <c r="AA387" s="16" t="str">
        <f aca="false">IF(AND($H387&lt;&gt;"",N($N387)=0),COUNTIFS($H$6:$H387,"&lt;&gt;",$N$6:$N387,"&lt;=0"),"")</f>
        <v/>
      </c>
      <c r="AB387" s="16" t="str">
        <f aca="false">IF($C387="","",IF(COUNTIF($C$6:$C387,$C387)&gt;1,"",MAX($AB$5:AB386)+1))</f>
        <v/>
      </c>
      <c r="AC387" s="16" t="str">
        <f aca="false">IF($H387="","",IF(COUNTIF($H$6:$H387,$H387)&gt;1,"",MAX($AC$5:AC386)+1))</f>
        <v/>
      </c>
    </row>
    <row r="388" customFormat="false" ht="15" hidden="false" customHeight="false" outlineLevel="0" collapsed="false">
      <c r="A388" s="16" t="str">
        <f aca="false">IF($C388="","",COUNTA($C$6:$C388))</f>
        <v/>
      </c>
      <c r="B388" s="17"/>
      <c r="C388" s="8"/>
      <c r="D388" s="8"/>
      <c r="E388" s="8"/>
      <c r="F388" s="8"/>
      <c r="G388" s="8"/>
      <c r="H388" s="8"/>
      <c r="I388" s="9"/>
      <c r="J388" s="10" t="str">
        <f aca="false">IF($H388="","",IFERROR(VLOOKUP($H388,'BẢNG GIÁ GỐC'!$A$5:$D$204,3,FALSE()),""))</f>
        <v/>
      </c>
      <c r="K388" s="9"/>
      <c r="L388" s="10" t="str">
        <f aca="false">IF($C388="","",N($I388)*N($K388))</f>
        <v/>
      </c>
      <c r="M388" s="8"/>
      <c r="N388" s="11" t="str">
        <f aca="false">IF($C388="","",IF($M388="VAT 5%",0.05,IF($M388="VAT 8%",0.08,IF($M388="VAT 10%",0.1,0))))</f>
        <v/>
      </c>
      <c r="O388" s="10" t="str">
        <f aca="false">IF($C388="","",$L388*$N388)</f>
        <v/>
      </c>
      <c r="P388" s="10" t="str">
        <f aca="false">IF($C388="","",$L388+$O388)</f>
        <v/>
      </c>
      <c r="Q388" s="9"/>
      <c r="R388" s="10" t="str">
        <f aca="false">IF($C388="","",MAX(0,$P388-N($Q388)))</f>
        <v/>
      </c>
      <c r="S388" s="19" t="str">
        <f aca="false">IF(OR($C388="",$P388=0),"",IF(N($Q388)&lt;=0,"Chưa thanh toán",IF(N($Q388)&lt;$P388,"Thanh toán một phần","Đã thanh toán")))</f>
        <v/>
      </c>
      <c r="T388" s="10" t="str">
        <f aca="false">IF(OR($C388="",$J388=""),"",N($I388)*$J388)</f>
        <v/>
      </c>
      <c r="U388" s="10" t="str">
        <f aca="false">IF(OR($C388="",$T388=""),"",$L388-$T388)</f>
        <v/>
      </c>
      <c r="V388" s="11" t="str">
        <f aca="false">IF(OR($U388="",$L388=0),"",$U388/$L388)</f>
        <v/>
      </c>
      <c r="W388" s="8"/>
      <c r="X388" s="19" t="str">
        <f aca="false">IF($C388="","",IF(AND($H388="",N($I388)=0,N($K388)=0),"Dòng chỉ lưu thông tin khách (chưa có đơn); ",IF($B388="","Thiếu ngày đặt; ","")&amp;IF($H388="","Thiếu tên sản phẩm; ",IF($J388="","Sản phẩm chưa có trong BẢNG GIÁ GỐC; ",""))&amp;IF(N($I388)&lt;=0,"Thiếu số lượng; ","")&amp;IF(N($K388)&lt;=0,"Thiếu giá bán; ","")&amp;IF(AND($N388&gt;0,$F388=""),"Khách lấy VAT thiếu mã số thuế; ","")&amp;IF(N($Q388)&gt;$P388,"Đã thu vượt tổng phải thu; ","")&amp;IF(AND($L388&gt;0,$U388&lt;0),"CẢNH BÁO: ĐƠN NÀY ĐANG LỖ; ","")))</f>
        <v/>
      </c>
      <c r="Y388" s="16" t="str">
        <f aca="false">IF(AND($C388&lt;&gt;"",$R388&gt;0),COUNTIFS($C$6:$C388,"&lt;&gt;",$R$6:$R388,"&gt;0"),"")</f>
        <v/>
      </c>
      <c r="Z388" s="16" t="str">
        <f aca="false">IF(AND($H388&lt;&gt;"",N($N388)&gt;0),COUNTIFS($H$6:$H388,"&lt;&gt;",$N$6:$N388,"&gt;0"),"")</f>
        <v/>
      </c>
      <c r="AA388" s="16" t="str">
        <f aca="false">IF(AND($H388&lt;&gt;"",N($N388)=0),COUNTIFS($H$6:$H388,"&lt;&gt;",$N$6:$N388,"&lt;=0"),"")</f>
        <v/>
      </c>
      <c r="AB388" s="16" t="str">
        <f aca="false">IF($C388="","",IF(COUNTIF($C$6:$C388,$C388)&gt;1,"",MAX($AB$5:AB387)+1))</f>
        <v/>
      </c>
      <c r="AC388" s="16" t="str">
        <f aca="false">IF($H388="","",IF(COUNTIF($H$6:$H388,$H388)&gt;1,"",MAX($AC$5:AC387)+1))</f>
        <v/>
      </c>
    </row>
    <row r="389" customFormat="false" ht="15" hidden="false" customHeight="false" outlineLevel="0" collapsed="false">
      <c r="A389" s="16" t="str">
        <f aca="false">IF($C389="","",COUNTA($C$6:$C389))</f>
        <v/>
      </c>
      <c r="B389" s="17"/>
      <c r="C389" s="8"/>
      <c r="D389" s="8"/>
      <c r="E389" s="8"/>
      <c r="F389" s="8"/>
      <c r="G389" s="8"/>
      <c r="H389" s="8"/>
      <c r="I389" s="9"/>
      <c r="J389" s="10" t="str">
        <f aca="false">IF($H389="","",IFERROR(VLOOKUP($H389,'BẢNG GIÁ GỐC'!$A$5:$D$204,3,FALSE()),""))</f>
        <v/>
      </c>
      <c r="K389" s="9"/>
      <c r="L389" s="10" t="str">
        <f aca="false">IF($C389="","",N($I389)*N($K389))</f>
        <v/>
      </c>
      <c r="M389" s="8"/>
      <c r="N389" s="11" t="str">
        <f aca="false">IF($C389="","",IF($M389="VAT 5%",0.05,IF($M389="VAT 8%",0.08,IF($M389="VAT 10%",0.1,0))))</f>
        <v/>
      </c>
      <c r="O389" s="10" t="str">
        <f aca="false">IF($C389="","",$L389*$N389)</f>
        <v/>
      </c>
      <c r="P389" s="10" t="str">
        <f aca="false">IF($C389="","",$L389+$O389)</f>
        <v/>
      </c>
      <c r="Q389" s="9"/>
      <c r="R389" s="10" t="str">
        <f aca="false">IF($C389="","",MAX(0,$P389-N($Q389)))</f>
        <v/>
      </c>
      <c r="S389" s="19" t="str">
        <f aca="false">IF(OR($C389="",$P389=0),"",IF(N($Q389)&lt;=0,"Chưa thanh toán",IF(N($Q389)&lt;$P389,"Thanh toán một phần","Đã thanh toán")))</f>
        <v/>
      </c>
      <c r="T389" s="10" t="str">
        <f aca="false">IF(OR($C389="",$J389=""),"",N($I389)*$J389)</f>
        <v/>
      </c>
      <c r="U389" s="10" t="str">
        <f aca="false">IF(OR($C389="",$T389=""),"",$L389-$T389)</f>
        <v/>
      </c>
      <c r="V389" s="11" t="str">
        <f aca="false">IF(OR($U389="",$L389=0),"",$U389/$L389)</f>
        <v/>
      </c>
      <c r="W389" s="8"/>
      <c r="X389" s="19" t="str">
        <f aca="false">IF($C389="","",IF(AND($H389="",N($I389)=0,N($K389)=0),"Dòng chỉ lưu thông tin khách (chưa có đơn); ",IF($B389="","Thiếu ngày đặt; ","")&amp;IF($H389="","Thiếu tên sản phẩm; ",IF($J389="","Sản phẩm chưa có trong BẢNG GIÁ GỐC; ",""))&amp;IF(N($I389)&lt;=0,"Thiếu số lượng; ","")&amp;IF(N($K389)&lt;=0,"Thiếu giá bán; ","")&amp;IF(AND($N389&gt;0,$F389=""),"Khách lấy VAT thiếu mã số thuế; ","")&amp;IF(N($Q389)&gt;$P389,"Đã thu vượt tổng phải thu; ","")&amp;IF(AND($L389&gt;0,$U389&lt;0),"CẢNH BÁO: ĐƠN NÀY ĐANG LỖ; ","")))</f>
        <v/>
      </c>
      <c r="Y389" s="16" t="str">
        <f aca="false">IF(AND($C389&lt;&gt;"",$R389&gt;0),COUNTIFS($C$6:$C389,"&lt;&gt;",$R$6:$R389,"&gt;0"),"")</f>
        <v/>
      </c>
      <c r="Z389" s="16" t="str">
        <f aca="false">IF(AND($H389&lt;&gt;"",N($N389)&gt;0),COUNTIFS($H$6:$H389,"&lt;&gt;",$N$6:$N389,"&gt;0"),"")</f>
        <v/>
      </c>
      <c r="AA389" s="16" t="str">
        <f aca="false">IF(AND($H389&lt;&gt;"",N($N389)=0),COUNTIFS($H$6:$H389,"&lt;&gt;",$N$6:$N389,"&lt;=0"),"")</f>
        <v/>
      </c>
      <c r="AB389" s="16" t="str">
        <f aca="false">IF($C389="","",IF(COUNTIF($C$6:$C389,$C389)&gt;1,"",MAX($AB$5:AB388)+1))</f>
        <v/>
      </c>
      <c r="AC389" s="16" t="str">
        <f aca="false">IF($H389="","",IF(COUNTIF($H$6:$H389,$H389)&gt;1,"",MAX($AC$5:AC388)+1))</f>
        <v/>
      </c>
    </row>
    <row r="390" customFormat="false" ht="15" hidden="false" customHeight="false" outlineLevel="0" collapsed="false">
      <c r="A390" s="16" t="str">
        <f aca="false">IF($C390="","",COUNTA($C$6:$C390))</f>
        <v/>
      </c>
      <c r="B390" s="17"/>
      <c r="C390" s="8"/>
      <c r="D390" s="8"/>
      <c r="E390" s="8"/>
      <c r="F390" s="8"/>
      <c r="G390" s="8"/>
      <c r="H390" s="8"/>
      <c r="I390" s="9"/>
      <c r="J390" s="10" t="str">
        <f aca="false">IF($H390="","",IFERROR(VLOOKUP($H390,'BẢNG GIÁ GỐC'!$A$5:$D$204,3,FALSE()),""))</f>
        <v/>
      </c>
      <c r="K390" s="9"/>
      <c r="L390" s="10" t="str">
        <f aca="false">IF($C390="","",N($I390)*N($K390))</f>
        <v/>
      </c>
      <c r="M390" s="8"/>
      <c r="N390" s="11" t="str">
        <f aca="false">IF($C390="","",IF($M390="VAT 5%",0.05,IF($M390="VAT 8%",0.08,IF($M390="VAT 10%",0.1,0))))</f>
        <v/>
      </c>
      <c r="O390" s="10" t="str">
        <f aca="false">IF($C390="","",$L390*$N390)</f>
        <v/>
      </c>
      <c r="P390" s="10" t="str">
        <f aca="false">IF($C390="","",$L390+$O390)</f>
        <v/>
      </c>
      <c r="Q390" s="9"/>
      <c r="R390" s="10" t="str">
        <f aca="false">IF($C390="","",MAX(0,$P390-N($Q390)))</f>
        <v/>
      </c>
      <c r="S390" s="19" t="str">
        <f aca="false">IF(OR($C390="",$P390=0),"",IF(N($Q390)&lt;=0,"Chưa thanh toán",IF(N($Q390)&lt;$P390,"Thanh toán một phần","Đã thanh toán")))</f>
        <v/>
      </c>
      <c r="T390" s="10" t="str">
        <f aca="false">IF(OR($C390="",$J390=""),"",N($I390)*$J390)</f>
        <v/>
      </c>
      <c r="U390" s="10" t="str">
        <f aca="false">IF(OR($C390="",$T390=""),"",$L390-$T390)</f>
        <v/>
      </c>
      <c r="V390" s="11" t="str">
        <f aca="false">IF(OR($U390="",$L390=0),"",$U390/$L390)</f>
        <v/>
      </c>
      <c r="W390" s="8"/>
      <c r="X390" s="19" t="str">
        <f aca="false">IF($C390="","",IF(AND($H390="",N($I390)=0,N($K390)=0),"Dòng chỉ lưu thông tin khách (chưa có đơn); ",IF($B390="","Thiếu ngày đặt; ","")&amp;IF($H390="","Thiếu tên sản phẩm; ",IF($J390="","Sản phẩm chưa có trong BẢNG GIÁ GỐC; ",""))&amp;IF(N($I390)&lt;=0,"Thiếu số lượng; ","")&amp;IF(N($K390)&lt;=0,"Thiếu giá bán; ","")&amp;IF(AND($N390&gt;0,$F390=""),"Khách lấy VAT thiếu mã số thuế; ","")&amp;IF(N($Q390)&gt;$P390,"Đã thu vượt tổng phải thu; ","")&amp;IF(AND($L390&gt;0,$U390&lt;0),"CẢNH BÁO: ĐƠN NÀY ĐANG LỖ; ","")))</f>
        <v/>
      </c>
      <c r="Y390" s="16" t="str">
        <f aca="false">IF(AND($C390&lt;&gt;"",$R390&gt;0),COUNTIFS($C$6:$C390,"&lt;&gt;",$R$6:$R390,"&gt;0"),"")</f>
        <v/>
      </c>
      <c r="Z390" s="16" t="str">
        <f aca="false">IF(AND($H390&lt;&gt;"",N($N390)&gt;0),COUNTIFS($H$6:$H390,"&lt;&gt;",$N$6:$N390,"&gt;0"),"")</f>
        <v/>
      </c>
      <c r="AA390" s="16" t="str">
        <f aca="false">IF(AND($H390&lt;&gt;"",N($N390)=0),COUNTIFS($H$6:$H390,"&lt;&gt;",$N$6:$N390,"&lt;=0"),"")</f>
        <v/>
      </c>
      <c r="AB390" s="16" t="str">
        <f aca="false">IF($C390="","",IF(COUNTIF($C$6:$C390,$C390)&gt;1,"",MAX($AB$5:AB389)+1))</f>
        <v/>
      </c>
      <c r="AC390" s="16" t="str">
        <f aca="false">IF($H390="","",IF(COUNTIF($H$6:$H390,$H390)&gt;1,"",MAX($AC$5:AC389)+1))</f>
        <v/>
      </c>
    </row>
    <row r="391" customFormat="false" ht="15" hidden="false" customHeight="false" outlineLevel="0" collapsed="false">
      <c r="A391" s="16" t="str">
        <f aca="false">IF($C391="","",COUNTA($C$6:$C391))</f>
        <v/>
      </c>
      <c r="B391" s="17"/>
      <c r="C391" s="8"/>
      <c r="D391" s="8"/>
      <c r="E391" s="8"/>
      <c r="F391" s="8"/>
      <c r="G391" s="8"/>
      <c r="H391" s="8"/>
      <c r="I391" s="9"/>
      <c r="J391" s="10" t="str">
        <f aca="false">IF($H391="","",IFERROR(VLOOKUP($H391,'BẢNG GIÁ GỐC'!$A$5:$D$204,3,FALSE()),""))</f>
        <v/>
      </c>
      <c r="K391" s="9"/>
      <c r="L391" s="10" t="str">
        <f aca="false">IF($C391="","",N($I391)*N($K391))</f>
        <v/>
      </c>
      <c r="M391" s="8"/>
      <c r="N391" s="11" t="str">
        <f aca="false">IF($C391="","",IF($M391="VAT 5%",0.05,IF($M391="VAT 8%",0.08,IF($M391="VAT 10%",0.1,0))))</f>
        <v/>
      </c>
      <c r="O391" s="10" t="str">
        <f aca="false">IF($C391="","",$L391*$N391)</f>
        <v/>
      </c>
      <c r="P391" s="10" t="str">
        <f aca="false">IF($C391="","",$L391+$O391)</f>
        <v/>
      </c>
      <c r="Q391" s="9"/>
      <c r="R391" s="10" t="str">
        <f aca="false">IF($C391="","",MAX(0,$P391-N($Q391)))</f>
        <v/>
      </c>
      <c r="S391" s="19" t="str">
        <f aca="false">IF(OR($C391="",$P391=0),"",IF(N($Q391)&lt;=0,"Chưa thanh toán",IF(N($Q391)&lt;$P391,"Thanh toán một phần","Đã thanh toán")))</f>
        <v/>
      </c>
      <c r="T391" s="10" t="str">
        <f aca="false">IF(OR($C391="",$J391=""),"",N($I391)*$J391)</f>
        <v/>
      </c>
      <c r="U391" s="10" t="str">
        <f aca="false">IF(OR($C391="",$T391=""),"",$L391-$T391)</f>
        <v/>
      </c>
      <c r="V391" s="11" t="str">
        <f aca="false">IF(OR($U391="",$L391=0),"",$U391/$L391)</f>
        <v/>
      </c>
      <c r="W391" s="8"/>
      <c r="X391" s="19" t="str">
        <f aca="false">IF($C391="","",IF(AND($H391="",N($I391)=0,N($K391)=0),"Dòng chỉ lưu thông tin khách (chưa có đơn); ",IF($B391="","Thiếu ngày đặt; ","")&amp;IF($H391="","Thiếu tên sản phẩm; ",IF($J391="","Sản phẩm chưa có trong BẢNG GIÁ GỐC; ",""))&amp;IF(N($I391)&lt;=0,"Thiếu số lượng; ","")&amp;IF(N($K391)&lt;=0,"Thiếu giá bán; ","")&amp;IF(AND($N391&gt;0,$F391=""),"Khách lấy VAT thiếu mã số thuế; ","")&amp;IF(N($Q391)&gt;$P391,"Đã thu vượt tổng phải thu; ","")&amp;IF(AND($L391&gt;0,$U391&lt;0),"CẢNH BÁO: ĐƠN NÀY ĐANG LỖ; ","")))</f>
        <v/>
      </c>
      <c r="Y391" s="16" t="str">
        <f aca="false">IF(AND($C391&lt;&gt;"",$R391&gt;0),COUNTIFS($C$6:$C391,"&lt;&gt;",$R$6:$R391,"&gt;0"),"")</f>
        <v/>
      </c>
      <c r="Z391" s="16" t="str">
        <f aca="false">IF(AND($H391&lt;&gt;"",N($N391)&gt;0),COUNTIFS($H$6:$H391,"&lt;&gt;",$N$6:$N391,"&gt;0"),"")</f>
        <v/>
      </c>
      <c r="AA391" s="16" t="str">
        <f aca="false">IF(AND($H391&lt;&gt;"",N($N391)=0),COUNTIFS($H$6:$H391,"&lt;&gt;",$N$6:$N391,"&lt;=0"),"")</f>
        <v/>
      </c>
      <c r="AB391" s="16" t="str">
        <f aca="false">IF($C391="","",IF(COUNTIF($C$6:$C391,$C391)&gt;1,"",MAX($AB$5:AB390)+1))</f>
        <v/>
      </c>
      <c r="AC391" s="16" t="str">
        <f aca="false">IF($H391="","",IF(COUNTIF($H$6:$H391,$H391)&gt;1,"",MAX($AC$5:AC390)+1))</f>
        <v/>
      </c>
    </row>
    <row r="392" customFormat="false" ht="15" hidden="false" customHeight="false" outlineLevel="0" collapsed="false">
      <c r="A392" s="16" t="str">
        <f aca="false">IF($C392="","",COUNTA($C$6:$C392))</f>
        <v/>
      </c>
      <c r="B392" s="17"/>
      <c r="C392" s="8"/>
      <c r="D392" s="8"/>
      <c r="E392" s="8"/>
      <c r="F392" s="8"/>
      <c r="G392" s="8"/>
      <c r="H392" s="8"/>
      <c r="I392" s="9"/>
      <c r="J392" s="10" t="str">
        <f aca="false">IF($H392="","",IFERROR(VLOOKUP($H392,'BẢNG GIÁ GỐC'!$A$5:$D$204,3,FALSE()),""))</f>
        <v/>
      </c>
      <c r="K392" s="9"/>
      <c r="L392" s="10" t="str">
        <f aca="false">IF($C392="","",N($I392)*N($K392))</f>
        <v/>
      </c>
      <c r="M392" s="8"/>
      <c r="N392" s="11" t="str">
        <f aca="false">IF($C392="","",IF($M392="VAT 5%",0.05,IF($M392="VAT 8%",0.08,IF($M392="VAT 10%",0.1,0))))</f>
        <v/>
      </c>
      <c r="O392" s="10" t="str">
        <f aca="false">IF($C392="","",$L392*$N392)</f>
        <v/>
      </c>
      <c r="P392" s="10" t="str">
        <f aca="false">IF($C392="","",$L392+$O392)</f>
        <v/>
      </c>
      <c r="Q392" s="9"/>
      <c r="R392" s="10" t="str">
        <f aca="false">IF($C392="","",MAX(0,$P392-N($Q392)))</f>
        <v/>
      </c>
      <c r="S392" s="19" t="str">
        <f aca="false">IF(OR($C392="",$P392=0),"",IF(N($Q392)&lt;=0,"Chưa thanh toán",IF(N($Q392)&lt;$P392,"Thanh toán một phần","Đã thanh toán")))</f>
        <v/>
      </c>
      <c r="T392" s="10" t="str">
        <f aca="false">IF(OR($C392="",$J392=""),"",N($I392)*$J392)</f>
        <v/>
      </c>
      <c r="U392" s="10" t="str">
        <f aca="false">IF(OR($C392="",$T392=""),"",$L392-$T392)</f>
        <v/>
      </c>
      <c r="V392" s="11" t="str">
        <f aca="false">IF(OR($U392="",$L392=0),"",$U392/$L392)</f>
        <v/>
      </c>
      <c r="W392" s="8"/>
      <c r="X392" s="19" t="str">
        <f aca="false">IF($C392="","",IF(AND($H392="",N($I392)=0,N($K392)=0),"Dòng chỉ lưu thông tin khách (chưa có đơn); ",IF($B392="","Thiếu ngày đặt; ","")&amp;IF($H392="","Thiếu tên sản phẩm; ",IF($J392="","Sản phẩm chưa có trong BẢNG GIÁ GỐC; ",""))&amp;IF(N($I392)&lt;=0,"Thiếu số lượng; ","")&amp;IF(N($K392)&lt;=0,"Thiếu giá bán; ","")&amp;IF(AND($N392&gt;0,$F392=""),"Khách lấy VAT thiếu mã số thuế; ","")&amp;IF(N($Q392)&gt;$P392,"Đã thu vượt tổng phải thu; ","")&amp;IF(AND($L392&gt;0,$U392&lt;0),"CẢNH BÁO: ĐƠN NÀY ĐANG LỖ; ","")))</f>
        <v/>
      </c>
      <c r="Y392" s="16" t="str">
        <f aca="false">IF(AND($C392&lt;&gt;"",$R392&gt;0),COUNTIFS($C$6:$C392,"&lt;&gt;",$R$6:$R392,"&gt;0"),"")</f>
        <v/>
      </c>
      <c r="Z392" s="16" t="str">
        <f aca="false">IF(AND($H392&lt;&gt;"",N($N392)&gt;0),COUNTIFS($H$6:$H392,"&lt;&gt;",$N$6:$N392,"&gt;0"),"")</f>
        <v/>
      </c>
      <c r="AA392" s="16" t="str">
        <f aca="false">IF(AND($H392&lt;&gt;"",N($N392)=0),COUNTIFS($H$6:$H392,"&lt;&gt;",$N$6:$N392,"&lt;=0"),"")</f>
        <v/>
      </c>
      <c r="AB392" s="16" t="str">
        <f aca="false">IF($C392="","",IF(COUNTIF($C$6:$C392,$C392)&gt;1,"",MAX($AB$5:AB391)+1))</f>
        <v/>
      </c>
      <c r="AC392" s="16" t="str">
        <f aca="false">IF($H392="","",IF(COUNTIF($H$6:$H392,$H392)&gt;1,"",MAX($AC$5:AC391)+1))</f>
        <v/>
      </c>
    </row>
    <row r="393" customFormat="false" ht="15" hidden="false" customHeight="false" outlineLevel="0" collapsed="false">
      <c r="A393" s="16" t="str">
        <f aca="false">IF($C393="","",COUNTA($C$6:$C393))</f>
        <v/>
      </c>
      <c r="B393" s="17"/>
      <c r="C393" s="8"/>
      <c r="D393" s="8"/>
      <c r="E393" s="8"/>
      <c r="F393" s="8"/>
      <c r="G393" s="8"/>
      <c r="H393" s="8"/>
      <c r="I393" s="9"/>
      <c r="J393" s="10" t="str">
        <f aca="false">IF($H393="","",IFERROR(VLOOKUP($H393,'BẢNG GIÁ GỐC'!$A$5:$D$204,3,FALSE()),""))</f>
        <v/>
      </c>
      <c r="K393" s="9"/>
      <c r="L393" s="10" t="str">
        <f aca="false">IF($C393="","",N($I393)*N($K393))</f>
        <v/>
      </c>
      <c r="M393" s="8"/>
      <c r="N393" s="11" t="str">
        <f aca="false">IF($C393="","",IF($M393="VAT 5%",0.05,IF($M393="VAT 8%",0.08,IF($M393="VAT 10%",0.1,0))))</f>
        <v/>
      </c>
      <c r="O393" s="10" t="str">
        <f aca="false">IF($C393="","",$L393*$N393)</f>
        <v/>
      </c>
      <c r="P393" s="10" t="str">
        <f aca="false">IF($C393="","",$L393+$O393)</f>
        <v/>
      </c>
      <c r="Q393" s="9"/>
      <c r="R393" s="10" t="str">
        <f aca="false">IF($C393="","",MAX(0,$P393-N($Q393)))</f>
        <v/>
      </c>
      <c r="S393" s="19" t="str">
        <f aca="false">IF(OR($C393="",$P393=0),"",IF(N($Q393)&lt;=0,"Chưa thanh toán",IF(N($Q393)&lt;$P393,"Thanh toán một phần","Đã thanh toán")))</f>
        <v/>
      </c>
      <c r="T393" s="10" t="str">
        <f aca="false">IF(OR($C393="",$J393=""),"",N($I393)*$J393)</f>
        <v/>
      </c>
      <c r="U393" s="10" t="str">
        <f aca="false">IF(OR($C393="",$T393=""),"",$L393-$T393)</f>
        <v/>
      </c>
      <c r="V393" s="11" t="str">
        <f aca="false">IF(OR($U393="",$L393=0),"",$U393/$L393)</f>
        <v/>
      </c>
      <c r="W393" s="8"/>
      <c r="X393" s="19" t="str">
        <f aca="false">IF($C393="","",IF(AND($H393="",N($I393)=0,N($K393)=0),"Dòng chỉ lưu thông tin khách (chưa có đơn); ",IF($B393="","Thiếu ngày đặt; ","")&amp;IF($H393="","Thiếu tên sản phẩm; ",IF($J393="","Sản phẩm chưa có trong BẢNG GIÁ GỐC; ",""))&amp;IF(N($I393)&lt;=0,"Thiếu số lượng; ","")&amp;IF(N($K393)&lt;=0,"Thiếu giá bán; ","")&amp;IF(AND($N393&gt;0,$F393=""),"Khách lấy VAT thiếu mã số thuế; ","")&amp;IF(N($Q393)&gt;$P393,"Đã thu vượt tổng phải thu; ","")&amp;IF(AND($L393&gt;0,$U393&lt;0),"CẢNH BÁO: ĐƠN NÀY ĐANG LỖ; ","")))</f>
        <v/>
      </c>
      <c r="Y393" s="16" t="str">
        <f aca="false">IF(AND($C393&lt;&gt;"",$R393&gt;0),COUNTIFS($C$6:$C393,"&lt;&gt;",$R$6:$R393,"&gt;0"),"")</f>
        <v/>
      </c>
      <c r="Z393" s="16" t="str">
        <f aca="false">IF(AND($H393&lt;&gt;"",N($N393)&gt;0),COUNTIFS($H$6:$H393,"&lt;&gt;",$N$6:$N393,"&gt;0"),"")</f>
        <v/>
      </c>
      <c r="AA393" s="16" t="str">
        <f aca="false">IF(AND($H393&lt;&gt;"",N($N393)=0),COUNTIFS($H$6:$H393,"&lt;&gt;",$N$6:$N393,"&lt;=0"),"")</f>
        <v/>
      </c>
      <c r="AB393" s="16" t="str">
        <f aca="false">IF($C393="","",IF(COUNTIF($C$6:$C393,$C393)&gt;1,"",MAX($AB$5:AB392)+1))</f>
        <v/>
      </c>
      <c r="AC393" s="16" t="str">
        <f aca="false">IF($H393="","",IF(COUNTIF($H$6:$H393,$H393)&gt;1,"",MAX($AC$5:AC392)+1))</f>
        <v/>
      </c>
    </row>
    <row r="394" customFormat="false" ht="15" hidden="false" customHeight="false" outlineLevel="0" collapsed="false">
      <c r="A394" s="16" t="str">
        <f aca="false">IF($C394="","",COUNTA($C$6:$C394))</f>
        <v/>
      </c>
      <c r="B394" s="17"/>
      <c r="C394" s="8"/>
      <c r="D394" s="8"/>
      <c r="E394" s="8"/>
      <c r="F394" s="8"/>
      <c r="G394" s="8"/>
      <c r="H394" s="8"/>
      <c r="I394" s="9"/>
      <c r="J394" s="10" t="str">
        <f aca="false">IF($H394="","",IFERROR(VLOOKUP($H394,'BẢNG GIÁ GỐC'!$A$5:$D$204,3,FALSE()),""))</f>
        <v/>
      </c>
      <c r="K394" s="9"/>
      <c r="L394" s="10" t="str">
        <f aca="false">IF($C394="","",N($I394)*N($K394))</f>
        <v/>
      </c>
      <c r="M394" s="8"/>
      <c r="N394" s="11" t="str">
        <f aca="false">IF($C394="","",IF($M394="VAT 5%",0.05,IF($M394="VAT 8%",0.08,IF($M394="VAT 10%",0.1,0))))</f>
        <v/>
      </c>
      <c r="O394" s="10" t="str">
        <f aca="false">IF($C394="","",$L394*$N394)</f>
        <v/>
      </c>
      <c r="P394" s="10" t="str">
        <f aca="false">IF($C394="","",$L394+$O394)</f>
        <v/>
      </c>
      <c r="Q394" s="9"/>
      <c r="R394" s="10" t="str">
        <f aca="false">IF($C394="","",MAX(0,$P394-N($Q394)))</f>
        <v/>
      </c>
      <c r="S394" s="19" t="str">
        <f aca="false">IF(OR($C394="",$P394=0),"",IF(N($Q394)&lt;=0,"Chưa thanh toán",IF(N($Q394)&lt;$P394,"Thanh toán một phần","Đã thanh toán")))</f>
        <v/>
      </c>
      <c r="T394" s="10" t="str">
        <f aca="false">IF(OR($C394="",$J394=""),"",N($I394)*$J394)</f>
        <v/>
      </c>
      <c r="U394" s="10" t="str">
        <f aca="false">IF(OR($C394="",$T394=""),"",$L394-$T394)</f>
        <v/>
      </c>
      <c r="V394" s="11" t="str">
        <f aca="false">IF(OR($U394="",$L394=0),"",$U394/$L394)</f>
        <v/>
      </c>
      <c r="W394" s="8"/>
      <c r="X394" s="19" t="str">
        <f aca="false">IF($C394="","",IF(AND($H394="",N($I394)=0,N($K394)=0),"Dòng chỉ lưu thông tin khách (chưa có đơn); ",IF($B394="","Thiếu ngày đặt; ","")&amp;IF($H394="","Thiếu tên sản phẩm; ",IF($J394="","Sản phẩm chưa có trong BẢNG GIÁ GỐC; ",""))&amp;IF(N($I394)&lt;=0,"Thiếu số lượng; ","")&amp;IF(N($K394)&lt;=0,"Thiếu giá bán; ","")&amp;IF(AND($N394&gt;0,$F394=""),"Khách lấy VAT thiếu mã số thuế; ","")&amp;IF(N($Q394)&gt;$P394,"Đã thu vượt tổng phải thu; ","")&amp;IF(AND($L394&gt;0,$U394&lt;0),"CẢNH BÁO: ĐƠN NÀY ĐANG LỖ; ","")))</f>
        <v/>
      </c>
      <c r="Y394" s="16" t="str">
        <f aca="false">IF(AND($C394&lt;&gt;"",$R394&gt;0),COUNTIFS($C$6:$C394,"&lt;&gt;",$R$6:$R394,"&gt;0"),"")</f>
        <v/>
      </c>
      <c r="Z394" s="16" t="str">
        <f aca="false">IF(AND($H394&lt;&gt;"",N($N394)&gt;0),COUNTIFS($H$6:$H394,"&lt;&gt;",$N$6:$N394,"&gt;0"),"")</f>
        <v/>
      </c>
      <c r="AA394" s="16" t="str">
        <f aca="false">IF(AND($H394&lt;&gt;"",N($N394)=0),COUNTIFS($H$6:$H394,"&lt;&gt;",$N$6:$N394,"&lt;=0"),"")</f>
        <v/>
      </c>
      <c r="AB394" s="16" t="str">
        <f aca="false">IF($C394="","",IF(COUNTIF($C$6:$C394,$C394)&gt;1,"",MAX($AB$5:AB393)+1))</f>
        <v/>
      </c>
      <c r="AC394" s="16" t="str">
        <f aca="false">IF($H394="","",IF(COUNTIF($H$6:$H394,$H394)&gt;1,"",MAX($AC$5:AC393)+1))</f>
        <v/>
      </c>
    </row>
    <row r="395" customFormat="false" ht="15" hidden="false" customHeight="false" outlineLevel="0" collapsed="false">
      <c r="A395" s="16" t="str">
        <f aca="false">IF($C395="","",COUNTA($C$6:$C395))</f>
        <v/>
      </c>
      <c r="B395" s="17"/>
      <c r="C395" s="8"/>
      <c r="D395" s="8"/>
      <c r="E395" s="8"/>
      <c r="F395" s="8"/>
      <c r="G395" s="8"/>
      <c r="H395" s="8"/>
      <c r="I395" s="9"/>
      <c r="J395" s="10" t="str">
        <f aca="false">IF($H395="","",IFERROR(VLOOKUP($H395,'BẢNG GIÁ GỐC'!$A$5:$D$204,3,FALSE()),""))</f>
        <v/>
      </c>
      <c r="K395" s="9"/>
      <c r="L395" s="10" t="str">
        <f aca="false">IF($C395="","",N($I395)*N($K395))</f>
        <v/>
      </c>
      <c r="M395" s="8"/>
      <c r="N395" s="11" t="str">
        <f aca="false">IF($C395="","",IF($M395="VAT 5%",0.05,IF($M395="VAT 8%",0.08,IF($M395="VAT 10%",0.1,0))))</f>
        <v/>
      </c>
      <c r="O395" s="10" t="str">
        <f aca="false">IF($C395="","",$L395*$N395)</f>
        <v/>
      </c>
      <c r="P395" s="10" t="str">
        <f aca="false">IF($C395="","",$L395+$O395)</f>
        <v/>
      </c>
      <c r="Q395" s="9"/>
      <c r="R395" s="10" t="str">
        <f aca="false">IF($C395="","",MAX(0,$P395-N($Q395)))</f>
        <v/>
      </c>
      <c r="S395" s="19" t="str">
        <f aca="false">IF(OR($C395="",$P395=0),"",IF(N($Q395)&lt;=0,"Chưa thanh toán",IF(N($Q395)&lt;$P395,"Thanh toán một phần","Đã thanh toán")))</f>
        <v/>
      </c>
      <c r="T395" s="10" t="str">
        <f aca="false">IF(OR($C395="",$J395=""),"",N($I395)*$J395)</f>
        <v/>
      </c>
      <c r="U395" s="10" t="str">
        <f aca="false">IF(OR($C395="",$T395=""),"",$L395-$T395)</f>
        <v/>
      </c>
      <c r="V395" s="11" t="str">
        <f aca="false">IF(OR($U395="",$L395=0),"",$U395/$L395)</f>
        <v/>
      </c>
      <c r="W395" s="8"/>
      <c r="X395" s="19" t="str">
        <f aca="false">IF($C395="","",IF(AND($H395="",N($I395)=0,N($K395)=0),"Dòng chỉ lưu thông tin khách (chưa có đơn); ",IF($B395="","Thiếu ngày đặt; ","")&amp;IF($H395="","Thiếu tên sản phẩm; ",IF($J395="","Sản phẩm chưa có trong BẢNG GIÁ GỐC; ",""))&amp;IF(N($I395)&lt;=0,"Thiếu số lượng; ","")&amp;IF(N($K395)&lt;=0,"Thiếu giá bán; ","")&amp;IF(AND($N395&gt;0,$F395=""),"Khách lấy VAT thiếu mã số thuế; ","")&amp;IF(N($Q395)&gt;$P395,"Đã thu vượt tổng phải thu; ","")&amp;IF(AND($L395&gt;0,$U395&lt;0),"CẢNH BÁO: ĐƠN NÀY ĐANG LỖ; ","")))</f>
        <v/>
      </c>
      <c r="Y395" s="16" t="str">
        <f aca="false">IF(AND($C395&lt;&gt;"",$R395&gt;0),COUNTIFS($C$6:$C395,"&lt;&gt;",$R$6:$R395,"&gt;0"),"")</f>
        <v/>
      </c>
      <c r="Z395" s="16" t="str">
        <f aca="false">IF(AND($H395&lt;&gt;"",N($N395)&gt;0),COUNTIFS($H$6:$H395,"&lt;&gt;",$N$6:$N395,"&gt;0"),"")</f>
        <v/>
      </c>
      <c r="AA395" s="16" t="str">
        <f aca="false">IF(AND($H395&lt;&gt;"",N($N395)=0),COUNTIFS($H$6:$H395,"&lt;&gt;",$N$6:$N395,"&lt;=0"),"")</f>
        <v/>
      </c>
      <c r="AB395" s="16" t="str">
        <f aca="false">IF($C395="","",IF(COUNTIF($C$6:$C395,$C395)&gt;1,"",MAX($AB$5:AB394)+1))</f>
        <v/>
      </c>
      <c r="AC395" s="16" t="str">
        <f aca="false">IF($H395="","",IF(COUNTIF($H$6:$H395,$H395)&gt;1,"",MAX($AC$5:AC394)+1))</f>
        <v/>
      </c>
    </row>
    <row r="396" customFormat="false" ht="15" hidden="false" customHeight="false" outlineLevel="0" collapsed="false">
      <c r="A396" s="16" t="str">
        <f aca="false">IF($C396="","",COUNTA($C$6:$C396))</f>
        <v/>
      </c>
      <c r="B396" s="17"/>
      <c r="C396" s="8"/>
      <c r="D396" s="8"/>
      <c r="E396" s="8"/>
      <c r="F396" s="8"/>
      <c r="G396" s="8"/>
      <c r="H396" s="8"/>
      <c r="I396" s="9"/>
      <c r="J396" s="10" t="str">
        <f aca="false">IF($H396="","",IFERROR(VLOOKUP($H396,'BẢNG GIÁ GỐC'!$A$5:$D$204,3,FALSE()),""))</f>
        <v/>
      </c>
      <c r="K396" s="9"/>
      <c r="L396" s="10" t="str">
        <f aca="false">IF($C396="","",N($I396)*N($K396))</f>
        <v/>
      </c>
      <c r="M396" s="8"/>
      <c r="N396" s="11" t="str">
        <f aca="false">IF($C396="","",IF($M396="VAT 5%",0.05,IF($M396="VAT 8%",0.08,IF($M396="VAT 10%",0.1,0))))</f>
        <v/>
      </c>
      <c r="O396" s="10" t="str">
        <f aca="false">IF($C396="","",$L396*$N396)</f>
        <v/>
      </c>
      <c r="P396" s="10" t="str">
        <f aca="false">IF($C396="","",$L396+$O396)</f>
        <v/>
      </c>
      <c r="Q396" s="9"/>
      <c r="R396" s="10" t="str">
        <f aca="false">IF($C396="","",MAX(0,$P396-N($Q396)))</f>
        <v/>
      </c>
      <c r="S396" s="19" t="str">
        <f aca="false">IF(OR($C396="",$P396=0),"",IF(N($Q396)&lt;=0,"Chưa thanh toán",IF(N($Q396)&lt;$P396,"Thanh toán một phần","Đã thanh toán")))</f>
        <v/>
      </c>
      <c r="T396" s="10" t="str">
        <f aca="false">IF(OR($C396="",$J396=""),"",N($I396)*$J396)</f>
        <v/>
      </c>
      <c r="U396" s="10" t="str">
        <f aca="false">IF(OR($C396="",$T396=""),"",$L396-$T396)</f>
        <v/>
      </c>
      <c r="V396" s="11" t="str">
        <f aca="false">IF(OR($U396="",$L396=0),"",$U396/$L396)</f>
        <v/>
      </c>
      <c r="W396" s="8"/>
      <c r="X396" s="19" t="str">
        <f aca="false">IF($C396="","",IF(AND($H396="",N($I396)=0,N($K396)=0),"Dòng chỉ lưu thông tin khách (chưa có đơn); ",IF($B396="","Thiếu ngày đặt; ","")&amp;IF($H396="","Thiếu tên sản phẩm; ",IF($J396="","Sản phẩm chưa có trong BẢNG GIÁ GỐC; ",""))&amp;IF(N($I396)&lt;=0,"Thiếu số lượng; ","")&amp;IF(N($K396)&lt;=0,"Thiếu giá bán; ","")&amp;IF(AND($N396&gt;0,$F396=""),"Khách lấy VAT thiếu mã số thuế; ","")&amp;IF(N($Q396)&gt;$P396,"Đã thu vượt tổng phải thu; ","")&amp;IF(AND($L396&gt;0,$U396&lt;0),"CẢNH BÁO: ĐƠN NÀY ĐANG LỖ; ","")))</f>
        <v/>
      </c>
      <c r="Y396" s="16" t="str">
        <f aca="false">IF(AND($C396&lt;&gt;"",$R396&gt;0),COUNTIFS($C$6:$C396,"&lt;&gt;",$R$6:$R396,"&gt;0"),"")</f>
        <v/>
      </c>
      <c r="Z396" s="16" t="str">
        <f aca="false">IF(AND($H396&lt;&gt;"",N($N396)&gt;0),COUNTIFS($H$6:$H396,"&lt;&gt;",$N$6:$N396,"&gt;0"),"")</f>
        <v/>
      </c>
      <c r="AA396" s="16" t="str">
        <f aca="false">IF(AND($H396&lt;&gt;"",N($N396)=0),COUNTIFS($H$6:$H396,"&lt;&gt;",$N$6:$N396,"&lt;=0"),"")</f>
        <v/>
      </c>
      <c r="AB396" s="16" t="str">
        <f aca="false">IF($C396="","",IF(COUNTIF($C$6:$C396,$C396)&gt;1,"",MAX($AB$5:AB395)+1))</f>
        <v/>
      </c>
      <c r="AC396" s="16" t="str">
        <f aca="false">IF($H396="","",IF(COUNTIF($H$6:$H396,$H396)&gt;1,"",MAX($AC$5:AC395)+1))</f>
        <v/>
      </c>
    </row>
    <row r="397" customFormat="false" ht="15" hidden="false" customHeight="false" outlineLevel="0" collapsed="false">
      <c r="A397" s="16" t="str">
        <f aca="false">IF($C397="","",COUNTA($C$6:$C397))</f>
        <v/>
      </c>
      <c r="B397" s="17"/>
      <c r="C397" s="8"/>
      <c r="D397" s="8"/>
      <c r="E397" s="8"/>
      <c r="F397" s="8"/>
      <c r="G397" s="8"/>
      <c r="H397" s="8"/>
      <c r="I397" s="9"/>
      <c r="J397" s="10" t="str">
        <f aca="false">IF($H397="","",IFERROR(VLOOKUP($H397,'BẢNG GIÁ GỐC'!$A$5:$D$204,3,FALSE()),""))</f>
        <v/>
      </c>
      <c r="K397" s="9"/>
      <c r="L397" s="10" t="str">
        <f aca="false">IF($C397="","",N($I397)*N($K397))</f>
        <v/>
      </c>
      <c r="M397" s="8"/>
      <c r="N397" s="11" t="str">
        <f aca="false">IF($C397="","",IF($M397="VAT 5%",0.05,IF($M397="VAT 8%",0.08,IF($M397="VAT 10%",0.1,0))))</f>
        <v/>
      </c>
      <c r="O397" s="10" t="str">
        <f aca="false">IF($C397="","",$L397*$N397)</f>
        <v/>
      </c>
      <c r="P397" s="10" t="str">
        <f aca="false">IF($C397="","",$L397+$O397)</f>
        <v/>
      </c>
      <c r="Q397" s="9"/>
      <c r="R397" s="10" t="str">
        <f aca="false">IF($C397="","",MAX(0,$P397-N($Q397)))</f>
        <v/>
      </c>
      <c r="S397" s="19" t="str">
        <f aca="false">IF(OR($C397="",$P397=0),"",IF(N($Q397)&lt;=0,"Chưa thanh toán",IF(N($Q397)&lt;$P397,"Thanh toán một phần","Đã thanh toán")))</f>
        <v/>
      </c>
      <c r="T397" s="10" t="str">
        <f aca="false">IF(OR($C397="",$J397=""),"",N($I397)*$J397)</f>
        <v/>
      </c>
      <c r="U397" s="10" t="str">
        <f aca="false">IF(OR($C397="",$T397=""),"",$L397-$T397)</f>
        <v/>
      </c>
      <c r="V397" s="11" t="str">
        <f aca="false">IF(OR($U397="",$L397=0),"",$U397/$L397)</f>
        <v/>
      </c>
      <c r="W397" s="8"/>
      <c r="X397" s="19" t="str">
        <f aca="false">IF($C397="","",IF(AND($H397="",N($I397)=0,N($K397)=0),"Dòng chỉ lưu thông tin khách (chưa có đơn); ",IF($B397="","Thiếu ngày đặt; ","")&amp;IF($H397="","Thiếu tên sản phẩm; ",IF($J397="","Sản phẩm chưa có trong BẢNG GIÁ GỐC; ",""))&amp;IF(N($I397)&lt;=0,"Thiếu số lượng; ","")&amp;IF(N($K397)&lt;=0,"Thiếu giá bán; ","")&amp;IF(AND($N397&gt;0,$F397=""),"Khách lấy VAT thiếu mã số thuế; ","")&amp;IF(N($Q397)&gt;$P397,"Đã thu vượt tổng phải thu; ","")&amp;IF(AND($L397&gt;0,$U397&lt;0),"CẢNH BÁO: ĐƠN NÀY ĐANG LỖ; ","")))</f>
        <v/>
      </c>
      <c r="Y397" s="16" t="str">
        <f aca="false">IF(AND($C397&lt;&gt;"",$R397&gt;0),COUNTIFS($C$6:$C397,"&lt;&gt;",$R$6:$R397,"&gt;0"),"")</f>
        <v/>
      </c>
      <c r="Z397" s="16" t="str">
        <f aca="false">IF(AND($H397&lt;&gt;"",N($N397)&gt;0),COUNTIFS($H$6:$H397,"&lt;&gt;",$N$6:$N397,"&gt;0"),"")</f>
        <v/>
      </c>
      <c r="AA397" s="16" t="str">
        <f aca="false">IF(AND($H397&lt;&gt;"",N($N397)=0),COUNTIFS($H$6:$H397,"&lt;&gt;",$N$6:$N397,"&lt;=0"),"")</f>
        <v/>
      </c>
      <c r="AB397" s="16" t="str">
        <f aca="false">IF($C397="","",IF(COUNTIF($C$6:$C397,$C397)&gt;1,"",MAX($AB$5:AB396)+1))</f>
        <v/>
      </c>
      <c r="AC397" s="16" t="str">
        <f aca="false">IF($H397="","",IF(COUNTIF($H$6:$H397,$H397)&gt;1,"",MAX($AC$5:AC396)+1))</f>
        <v/>
      </c>
    </row>
    <row r="398" customFormat="false" ht="15" hidden="false" customHeight="false" outlineLevel="0" collapsed="false">
      <c r="A398" s="16" t="str">
        <f aca="false">IF($C398="","",COUNTA($C$6:$C398))</f>
        <v/>
      </c>
      <c r="B398" s="17"/>
      <c r="C398" s="8"/>
      <c r="D398" s="8"/>
      <c r="E398" s="8"/>
      <c r="F398" s="8"/>
      <c r="G398" s="8"/>
      <c r="H398" s="8"/>
      <c r="I398" s="9"/>
      <c r="J398" s="10" t="str">
        <f aca="false">IF($H398="","",IFERROR(VLOOKUP($H398,'BẢNG GIÁ GỐC'!$A$5:$D$204,3,FALSE()),""))</f>
        <v/>
      </c>
      <c r="K398" s="9"/>
      <c r="L398" s="10" t="str">
        <f aca="false">IF($C398="","",N($I398)*N($K398))</f>
        <v/>
      </c>
      <c r="M398" s="8"/>
      <c r="N398" s="11" t="str">
        <f aca="false">IF($C398="","",IF($M398="VAT 5%",0.05,IF($M398="VAT 8%",0.08,IF($M398="VAT 10%",0.1,0))))</f>
        <v/>
      </c>
      <c r="O398" s="10" t="str">
        <f aca="false">IF($C398="","",$L398*$N398)</f>
        <v/>
      </c>
      <c r="P398" s="10" t="str">
        <f aca="false">IF($C398="","",$L398+$O398)</f>
        <v/>
      </c>
      <c r="Q398" s="9"/>
      <c r="R398" s="10" t="str">
        <f aca="false">IF($C398="","",MAX(0,$P398-N($Q398)))</f>
        <v/>
      </c>
      <c r="S398" s="19" t="str">
        <f aca="false">IF(OR($C398="",$P398=0),"",IF(N($Q398)&lt;=0,"Chưa thanh toán",IF(N($Q398)&lt;$P398,"Thanh toán một phần","Đã thanh toán")))</f>
        <v/>
      </c>
      <c r="T398" s="10" t="str">
        <f aca="false">IF(OR($C398="",$J398=""),"",N($I398)*$J398)</f>
        <v/>
      </c>
      <c r="U398" s="10" t="str">
        <f aca="false">IF(OR($C398="",$T398=""),"",$L398-$T398)</f>
        <v/>
      </c>
      <c r="V398" s="11" t="str">
        <f aca="false">IF(OR($U398="",$L398=0),"",$U398/$L398)</f>
        <v/>
      </c>
      <c r="W398" s="8"/>
      <c r="X398" s="19" t="str">
        <f aca="false">IF($C398="","",IF(AND($H398="",N($I398)=0,N($K398)=0),"Dòng chỉ lưu thông tin khách (chưa có đơn); ",IF($B398="","Thiếu ngày đặt; ","")&amp;IF($H398="","Thiếu tên sản phẩm; ",IF($J398="","Sản phẩm chưa có trong BẢNG GIÁ GỐC; ",""))&amp;IF(N($I398)&lt;=0,"Thiếu số lượng; ","")&amp;IF(N($K398)&lt;=0,"Thiếu giá bán; ","")&amp;IF(AND($N398&gt;0,$F398=""),"Khách lấy VAT thiếu mã số thuế; ","")&amp;IF(N($Q398)&gt;$P398,"Đã thu vượt tổng phải thu; ","")&amp;IF(AND($L398&gt;0,$U398&lt;0),"CẢNH BÁO: ĐƠN NÀY ĐANG LỖ; ","")))</f>
        <v/>
      </c>
      <c r="Y398" s="16" t="str">
        <f aca="false">IF(AND($C398&lt;&gt;"",$R398&gt;0),COUNTIFS($C$6:$C398,"&lt;&gt;",$R$6:$R398,"&gt;0"),"")</f>
        <v/>
      </c>
      <c r="Z398" s="16" t="str">
        <f aca="false">IF(AND($H398&lt;&gt;"",N($N398)&gt;0),COUNTIFS($H$6:$H398,"&lt;&gt;",$N$6:$N398,"&gt;0"),"")</f>
        <v/>
      </c>
      <c r="AA398" s="16" t="str">
        <f aca="false">IF(AND($H398&lt;&gt;"",N($N398)=0),COUNTIFS($H$6:$H398,"&lt;&gt;",$N$6:$N398,"&lt;=0"),"")</f>
        <v/>
      </c>
      <c r="AB398" s="16" t="str">
        <f aca="false">IF($C398="","",IF(COUNTIF($C$6:$C398,$C398)&gt;1,"",MAX($AB$5:AB397)+1))</f>
        <v/>
      </c>
      <c r="AC398" s="16" t="str">
        <f aca="false">IF($H398="","",IF(COUNTIF($H$6:$H398,$H398)&gt;1,"",MAX($AC$5:AC397)+1))</f>
        <v/>
      </c>
    </row>
    <row r="399" customFormat="false" ht="15" hidden="false" customHeight="false" outlineLevel="0" collapsed="false">
      <c r="A399" s="16" t="str">
        <f aca="false">IF($C399="","",COUNTA($C$6:$C399))</f>
        <v/>
      </c>
      <c r="B399" s="17"/>
      <c r="C399" s="8"/>
      <c r="D399" s="8"/>
      <c r="E399" s="8"/>
      <c r="F399" s="8"/>
      <c r="G399" s="8"/>
      <c r="H399" s="8"/>
      <c r="I399" s="9"/>
      <c r="J399" s="10" t="str">
        <f aca="false">IF($H399="","",IFERROR(VLOOKUP($H399,'BẢNG GIÁ GỐC'!$A$5:$D$204,3,FALSE()),""))</f>
        <v/>
      </c>
      <c r="K399" s="9"/>
      <c r="L399" s="10" t="str">
        <f aca="false">IF($C399="","",N($I399)*N($K399))</f>
        <v/>
      </c>
      <c r="M399" s="8"/>
      <c r="N399" s="11" t="str">
        <f aca="false">IF($C399="","",IF($M399="VAT 5%",0.05,IF($M399="VAT 8%",0.08,IF($M399="VAT 10%",0.1,0))))</f>
        <v/>
      </c>
      <c r="O399" s="10" t="str">
        <f aca="false">IF($C399="","",$L399*$N399)</f>
        <v/>
      </c>
      <c r="P399" s="10" t="str">
        <f aca="false">IF($C399="","",$L399+$O399)</f>
        <v/>
      </c>
      <c r="Q399" s="9"/>
      <c r="R399" s="10" t="str">
        <f aca="false">IF($C399="","",MAX(0,$P399-N($Q399)))</f>
        <v/>
      </c>
      <c r="S399" s="19" t="str">
        <f aca="false">IF(OR($C399="",$P399=0),"",IF(N($Q399)&lt;=0,"Chưa thanh toán",IF(N($Q399)&lt;$P399,"Thanh toán một phần","Đã thanh toán")))</f>
        <v/>
      </c>
      <c r="T399" s="10" t="str">
        <f aca="false">IF(OR($C399="",$J399=""),"",N($I399)*$J399)</f>
        <v/>
      </c>
      <c r="U399" s="10" t="str">
        <f aca="false">IF(OR($C399="",$T399=""),"",$L399-$T399)</f>
        <v/>
      </c>
      <c r="V399" s="11" t="str">
        <f aca="false">IF(OR($U399="",$L399=0),"",$U399/$L399)</f>
        <v/>
      </c>
      <c r="W399" s="8"/>
      <c r="X399" s="19" t="str">
        <f aca="false">IF($C399="","",IF(AND($H399="",N($I399)=0,N($K399)=0),"Dòng chỉ lưu thông tin khách (chưa có đơn); ",IF($B399="","Thiếu ngày đặt; ","")&amp;IF($H399="","Thiếu tên sản phẩm; ",IF($J399="","Sản phẩm chưa có trong BẢNG GIÁ GỐC; ",""))&amp;IF(N($I399)&lt;=0,"Thiếu số lượng; ","")&amp;IF(N($K399)&lt;=0,"Thiếu giá bán; ","")&amp;IF(AND($N399&gt;0,$F399=""),"Khách lấy VAT thiếu mã số thuế; ","")&amp;IF(N($Q399)&gt;$P399,"Đã thu vượt tổng phải thu; ","")&amp;IF(AND($L399&gt;0,$U399&lt;0),"CẢNH BÁO: ĐƠN NÀY ĐANG LỖ; ","")))</f>
        <v/>
      </c>
      <c r="Y399" s="16" t="str">
        <f aca="false">IF(AND($C399&lt;&gt;"",$R399&gt;0),COUNTIFS($C$6:$C399,"&lt;&gt;",$R$6:$R399,"&gt;0"),"")</f>
        <v/>
      </c>
      <c r="Z399" s="16" t="str">
        <f aca="false">IF(AND($H399&lt;&gt;"",N($N399)&gt;0),COUNTIFS($H$6:$H399,"&lt;&gt;",$N$6:$N399,"&gt;0"),"")</f>
        <v/>
      </c>
      <c r="AA399" s="16" t="str">
        <f aca="false">IF(AND($H399&lt;&gt;"",N($N399)=0),COUNTIFS($H$6:$H399,"&lt;&gt;",$N$6:$N399,"&lt;=0"),"")</f>
        <v/>
      </c>
      <c r="AB399" s="16" t="str">
        <f aca="false">IF($C399="","",IF(COUNTIF($C$6:$C399,$C399)&gt;1,"",MAX($AB$5:AB398)+1))</f>
        <v/>
      </c>
      <c r="AC399" s="16" t="str">
        <f aca="false">IF($H399="","",IF(COUNTIF($H$6:$H399,$H399)&gt;1,"",MAX($AC$5:AC398)+1))</f>
        <v/>
      </c>
    </row>
    <row r="400" customFormat="false" ht="15" hidden="false" customHeight="false" outlineLevel="0" collapsed="false">
      <c r="A400" s="16" t="str">
        <f aca="false">IF($C400="","",COUNTA($C$6:$C400))</f>
        <v/>
      </c>
      <c r="B400" s="17"/>
      <c r="C400" s="8"/>
      <c r="D400" s="8"/>
      <c r="E400" s="8"/>
      <c r="F400" s="8"/>
      <c r="G400" s="8"/>
      <c r="H400" s="8"/>
      <c r="I400" s="9"/>
      <c r="J400" s="10" t="str">
        <f aca="false">IF($H400="","",IFERROR(VLOOKUP($H400,'BẢNG GIÁ GỐC'!$A$5:$D$204,3,FALSE()),""))</f>
        <v/>
      </c>
      <c r="K400" s="9"/>
      <c r="L400" s="10" t="str">
        <f aca="false">IF($C400="","",N($I400)*N($K400))</f>
        <v/>
      </c>
      <c r="M400" s="8"/>
      <c r="N400" s="11" t="str">
        <f aca="false">IF($C400="","",IF($M400="VAT 5%",0.05,IF($M400="VAT 8%",0.08,IF($M400="VAT 10%",0.1,0))))</f>
        <v/>
      </c>
      <c r="O400" s="10" t="str">
        <f aca="false">IF($C400="","",$L400*$N400)</f>
        <v/>
      </c>
      <c r="P400" s="10" t="str">
        <f aca="false">IF($C400="","",$L400+$O400)</f>
        <v/>
      </c>
      <c r="Q400" s="9"/>
      <c r="R400" s="10" t="str">
        <f aca="false">IF($C400="","",MAX(0,$P400-N($Q400)))</f>
        <v/>
      </c>
      <c r="S400" s="19" t="str">
        <f aca="false">IF(OR($C400="",$P400=0),"",IF(N($Q400)&lt;=0,"Chưa thanh toán",IF(N($Q400)&lt;$P400,"Thanh toán một phần","Đã thanh toán")))</f>
        <v/>
      </c>
      <c r="T400" s="10" t="str">
        <f aca="false">IF(OR($C400="",$J400=""),"",N($I400)*$J400)</f>
        <v/>
      </c>
      <c r="U400" s="10" t="str">
        <f aca="false">IF(OR($C400="",$T400=""),"",$L400-$T400)</f>
        <v/>
      </c>
      <c r="V400" s="11" t="str">
        <f aca="false">IF(OR($U400="",$L400=0),"",$U400/$L400)</f>
        <v/>
      </c>
      <c r="W400" s="8"/>
      <c r="X400" s="19" t="str">
        <f aca="false">IF($C400="","",IF(AND($H400="",N($I400)=0,N($K400)=0),"Dòng chỉ lưu thông tin khách (chưa có đơn); ",IF($B400="","Thiếu ngày đặt; ","")&amp;IF($H400="","Thiếu tên sản phẩm; ",IF($J400="","Sản phẩm chưa có trong BẢNG GIÁ GỐC; ",""))&amp;IF(N($I400)&lt;=0,"Thiếu số lượng; ","")&amp;IF(N($K400)&lt;=0,"Thiếu giá bán; ","")&amp;IF(AND($N400&gt;0,$F400=""),"Khách lấy VAT thiếu mã số thuế; ","")&amp;IF(N($Q400)&gt;$P400,"Đã thu vượt tổng phải thu; ","")&amp;IF(AND($L400&gt;0,$U400&lt;0),"CẢNH BÁO: ĐƠN NÀY ĐANG LỖ; ","")))</f>
        <v/>
      </c>
      <c r="Y400" s="16" t="str">
        <f aca="false">IF(AND($C400&lt;&gt;"",$R400&gt;0),COUNTIFS($C$6:$C400,"&lt;&gt;",$R$6:$R400,"&gt;0"),"")</f>
        <v/>
      </c>
      <c r="Z400" s="16" t="str">
        <f aca="false">IF(AND($H400&lt;&gt;"",N($N400)&gt;0),COUNTIFS($H$6:$H400,"&lt;&gt;",$N$6:$N400,"&gt;0"),"")</f>
        <v/>
      </c>
      <c r="AA400" s="16" t="str">
        <f aca="false">IF(AND($H400&lt;&gt;"",N($N400)=0),COUNTIFS($H$6:$H400,"&lt;&gt;",$N$6:$N400,"&lt;=0"),"")</f>
        <v/>
      </c>
      <c r="AB400" s="16" t="str">
        <f aca="false">IF($C400="","",IF(COUNTIF($C$6:$C400,$C400)&gt;1,"",MAX($AB$5:AB399)+1))</f>
        <v/>
      </c>
      <c r="AC400" s="16" t="str">
        <f aca="false">IF($H400="","",IF(COUNTIF($H$6:$H400,$H400)&gt;1,"",MAX($AC$5:AC399)+1))</f>
        <v/>
      </c>
    </row>
    <row r="401" customFormat="false" ht="15" hidden="false" customHeight="false" outlineLevel="0" collapsed="false">
      <c r="A401" s="16" t="str">
        <f aca="false">IF($C401="","",COUNTA($C$6:$C401))</f>
        <v/>
      </c>
      <c r="B401" s="17"/>
      <c r="C401" s="8"/>
      <c r="D401" s="8"/>
      <c r="E401" s="8"/>
      <c r="F401" s="8"/>
      <c r="G401" s="8"/>
      <c r="H401" s="8"/>
      <c r="I401" s="9"/>
      <c r="J401" s="10" t="str">
        <f aca="false">IF($H401="","",IFERROR(VLOOKUP($H401,'BẢNG GIÁ GỐC'!$A$5:$D$204,3,FALSE()),""))</f>
        <v/>
      </c>
      <c r="K401" s="9"/>
      <c r="L401" s="10" t="str">
        <f aca="false">IF($C401="","",N($I401)*N($K401))</f>
        <v/>
      </c>
      <c r="M401" s="8"/>
      <c r="N401" s="11" t="str">
        <f aca="false">IF($C401="","",IF($M401="VAT 5%",0.05,IF($M401="VAT 8%",0.08,IF($M401="VAT 10%",0.1,0))))</f>
        <v/>
      </c>
      <c r="O401" s="10" t="str">
        <f aca="false">IF($C401="","",$L401*$N401)</f>
        <v/>
      </c>
      <c r="P401" s="10" t="str">
        <f aca="false">IF($C401="","",$L401+$O401)</f>
        <v/>
      </c>
      <c r="Q401" s="9"/>
      <c r="R401" s="10" t="str">
        <f aca="false">IF($C401="","",MAX(0,$P401-N($Q401)))</f>
        <v/>
      </c>
      <c r="S401" s="19" t="str">
        <f aca="false">IF(OR($C401="",$P401=0),"",IF(N($Q401)&lt;=0,"Chưa thanh toán",IF(N($Q401)&lt;$P401,"Thanh toán một phần","Đã thanh toán")))</f>
        <v/>
      </c>
      <c r="T401" s="10" t="str">
        <f aca="false">IF(OR($C401="",$J401=""),"",N($I401)*$J401)</f>
        <v/>
      </c>
      <c r="U401" s="10" t="str">
        <f aca="false">IF(OR($C401="",$T401=""),"",$L401-$T401)</f>
        <v/>
      </c>
      <c r="V401" s="11" t="str">
        <f aca="false">IF(OR($U401="",$L401=0),"",$U401/$L401)</f>
        <v/>
      </c>
      <c r="W401" s="8"/>
      <c r="X401" s="19" t="str">
        <f aca="false">IF($C401="","",IF(AND($H401="",N($I401)=0,N($K401)=0),"Dòng chỉ lưu thông tin khách (chưa có đơn); ",IF($B401="","Thiếu ngày đặt; ","")&amp;IF($H401="","Thiếu tên sản phẩm; ",IF($J401="","Sản phẩm chưa có trong BẢNG GIÁ GỐC; ",""))&amp;IF(N($I401)&lt;=0,"Thiếu số lượng; ","")&amp;IF(N($K401)&lt;=0,"Thiếu giá bán; ","")&amp;IF(AND($N401&gt;0,$F401=""),"Khách lấy VAT thiếu mã số thuế; ","")&amp;IF(N($Q401)&gt;$P401,"Đã thu vượt tổng phải thu; ","")&amp;IF(AND($L401&gt;0,$U401&lt;0),"CẢNH BÁO: ĐƠN NÀY ĐANG LỖ; ","")))</f>
        <v/>
      </c>
      <c r="Y401" s="16" t="str">
        <f aca="false">IF(AND($C401&lt;&gt;"",$R401&gt;0),COUNTIFS($C$6:$C401,"&lt;&gt;",$R$6:$R401,"&gt;0"),"")</f>
        <v/>
      </c>
      <c r="Z401" s="16" t="str">
        <f aca="false">IF(AND($H401&lt;&gt;"",N($N401)&gt;0),COUNTIFS($H$6:$H401,"&lt;&gt;",$N$6:$N401,"&gt;0"),"")</f>
        <v/>
      </c>
      <c r="AA401" s="16" t="str">
        <f aca="false">IF(AND($H401&lt;&gt;"",N($N401)=0),COUNTIFS($H$6:$H401,"&lt;&gt;",$N$6:$N401,"&lt;=0"),"")</f>
        <v/>
      </c>
      <c r="AB401" s="16" t="str">
        <f aca="false">IF($C401="","",IF(COUNTIF($C$6:$C401,$C401)&gt;1,"",MAX($AB$5:AB400)+1))</f>
        <v/>
      </c>
      <c r="AC401" s="16" t="str">
        <f aca="false">IF($H401="","",IF(COUNTIF($H$6:$H401,$H401)&gt;1,"",MAX($AC$5:AC400)+1))</f>
        <v/>
      </c>
    </row>
    <row r="402" customFormat="false" ht="15" hidden="false" customHeight="false" outlineLevel="0" collapsed="false">
      <c r="A402" s="16" t="str">
        <f aca="false">IF($C402="","",COUNTA($C$6:$C402))</f>
        <v/>
      </c>
      <c r="B402" s="17"/>
      <c r="C402" s="8"/>
      <c r="D402" s="8"/>
      <c r="E402" s="8"/>
      <c r="F402" s="8"/>
      <c r="G402" s="8"/>
      <c r="H402" s="8"/>
      <c r="I402" s="9"/>
      <c r="J402" s="10" t="str">
        <f aca="false">IF($H402="","",IFERROR(VLOOKUP($H402,'BẢNG GIÁ GỐC'!$A$5:$D$204,3,FALSE()),""))</f>
        <v/>
      </c>
      <c r="K402" s="9"/>
      <c r="L402" s="10" t="str">
        <f aca="false">IF($C402="","",N($I402)*N($K402))</f>
        <v/>
      </c>
      <c r="M402" s="8"/>
      <c r="N402" s="11" t="str">
        <f aca="false">IF($C402="","",IF($M402="VAT 5%",0.05,IF($M402="VAT 8%",0.08,IF($M402="VAT 10%",0.1,0))))</f>
        <v/>
      </c>
      <c r="O402" s="10" t="str">
        <f aca="false">IF($C402="","",$L402*$N402)</f>
        <v/>
      </c>
      <c r="P402" s="10" t="str">
        <f aca="false">IF($C402="","",$L402+$O402)</f>
        <v/>
      </c>
      <c r="Q402" s="9"/>
      <c r="R402" s="10" t="str">
        <f aca="false">IF($C402="","",MAX(0,$P402-N($Q402)))</f>
        <v/>
      </c>
      <c r="S402" s="19" t="str">
        <f aca="false">IF(OR($C402="",$P402=0),"",IF(N($Q402)&lt;=0,"Chưa thanh toán",IF(N($Q402)&lt;$P402,"Thanh toán một phần","Đã thanh toán")))</f>
        <v/>
      </c>
      <c r="T402" s="10" t="str">
        <f aca="false">IF(OR($C402="",$J402=""),"",N($I402)*$J402)</f>
        <v/>
      </c>
      <c r="U402" s="10" t="str">
        <f aca="false">IF(OR($C402="",$T402=""),"",$L402-$T402)</f>
        <v/>
      </c>
      <c r="V402" s="11" t="str">
        <f aca="false">IF(OR($U402="",$L402=0),"",$U402/$L402)</f>
        <v/>
      </c>
      <c r="W402" s="8"/>
      <c r="X402" s="19" t="str">
        <f aca="false">IF($C402="","",IF(AND($H402="",N($I402)=0,N($K402)=0),"Dòng chỉ lưu thông tin khách (chưa có đơn); ",IF($B402="","Thiếu ngày đặt; ","")&amp;IF($H402="","Thiếu tên sản phẩm; ",IF($J402="","Sản phẩm chưa có trong BẢNG GIÁ GỐC; ",""))&amp;IF(N($I402)&lt;=0,"Thiếu số lượng; ","")&amp;IF(N($K402)&lt;=0,"Thiếu giá bán; ","")&amp;IF(AND($N402&gt;0,$F402=""),"Khách lấy VAT thiếu mã số thuế; ","")&amp;IF(N($Q402)&gt;$P402,"Đã thu vượt tổng phải thu; ","")&amp;IF(AND($L402&gt;0,$U402&lt;0),"CẢNH BÁO: ĐƠN NÀY ĐANG LỖ; ","")))</f>
        <v/>
      </c>
      <c r="Y402" s="16" t="str">
        <f aca="false">IF(AND($C402&lt;&gt;"",$R402&gt;0),COUNTIFS($C$6:$C402,"&lt;&gt;",$R$6:$R402,"&gt;0"),"")</f>
        <v/>
      </c>
      <c r="Z402" s="16" t="str">
        <f aca="false">IF(AND($H402&lt;&gt;"",N($N402)&gt;0),COUNTIFS($H$6:$H402,"&lt;&gt;",$N$6:$N402,"&gt;0"),"")</f>
        <v/>
      </c>
      <c r="AA402" s="16" t="str">
        <f aca="false">IF(AND($H402&lt;&gt;"",N($N402)=0),COUNTIFS($H$6:$H402,"&lt;&gt;",$N$6:$N402,"&lt;=0"),"")</f>
        <v/>
      </c>
      <c r="AB402" s="16" t="str">
        <f aca="false">IF($C402="","",IF(COUNTIF($C$6:$C402,$C402)&gt;1,"",MAX($AB$5:AB401)+1))</f>
        <v/>
      </c>
      <c r="AC402" s="16" t="str">
        <f aca="false">IF($H402="","",IF(COUNTIF($H$6:$H402,$H402)&gt;1,"",MAX($AC$5:AC401)+1))</f>
        <v/>
      </c>
    </row>
    <row r="403" customFormat="false" ht="15" hidden="false" customHeight="false" outlineLevel="0" collapsed="false">
      <c r="A403" s="16" t="str">
        <f aca="false">IF($C403="","",COUNTA($C$6:$C403))</f>
        <v/>
      </c>
      <c r="B403" s="17"/>
      <c r="C403" s="8"/>
      <c r="D403" s="8"/>
      <c r="E403" s="8"/>
      <c r="F403" s="8"/>
      <c r="G403" s="8"/>
      <c r="H403" s="8"/>
      <c r="I403" s="9"/>
      <c r="J403" s="10" t="str">
        <f aca="false">IF($H403="","",IFERROR(VLOOKUP($H403,'BẢNG GIÁ GỐC'!$A$5:$D$204,3,FALSE()),""))</f>
        <v/>
      </c>
      <c r="K403" s="9"/>
      <c r="L403" s="10" t="str">
        <f aca="false">IF($C403="","",N($I403)*N($K403))</f>
        <v/>
      </c>
      <c r="M403" s="8"/>
      <c r="N403" s="11" t="str">
        <f aca="false">IF($C403="","",IF($M403="VAT 5%",0.05,IF($M403="VAT 8%",0.08,IF($M403="VAT 10%",0.1,0))))</f>
        <v/>
      </c>
      <c r="O403" s="10" t="str">
        <f aca="false">IF($C403="","",$L403*$N403)</f>
        <v/>
      </c>
      <c r="P403" s="10" t="str">
        <f aca="false">IF($C403="","",$L403+$O403)</f>
        <v/>
      </c>
      <c r="Q403" s="9"/>
      <c r="R403" s="10" t="str">
        <f aca="false">IF($C403="","",MAX(0,$P403-N($Q403)))</f>
        <v/>
      </c>
      <c r="S403" s="19" t="str">
        <f aca="false">IF(OR($C403="",$P403=0),"",IF(N($Q403)&lt;=0,"Chưa thanh toán",IF(N($Q403)&lt;$P403,"Thanh toán một phần","Đã thanh toán")))</f>
        <v/>
      </c>
      <c r="T403" s="10" t="str">
        <f aca="false">IF(OR($C403="",$J403=""),"",N($I403)*$J403)</f>
        <v/>
      </c>
      <c r="U403" s="10" t="str">
        <f aca="false">IF(OR($C403="",$T403=""),"",$L403-$T403)</f>
        <v/>
      </c>
      <c r="V403" s="11" t="str">
        <f aca="false">IF(OR($U403="",$L403=0),"",$U403/$L403)</f>
        <v/>
      </c>
      <c r="W403" s="8"/>
      <c r="X403" s="19" t="str">
        <f aca="false">IF($C403="","",IF(AND($H403="",N($I403)=0,N($K403)=0),"Dòng chỉ lưu thông tin khách (chưa có đơn); ",IF($B403="","Thiếu ngày đặt; ","")&amp;IF($H403="","Thiếu tên sản phẩm; ",IF($J403="","Sản phẩm chưa có trong BẢNG GIÁ GỐC; ",""))&amp;IF(N($I403)&lt;=0,"Thiếu số lượng; ","")&amp;IF(N($K403)&lt;=0,"Thiếu giá bán; ","")&amp;IF(AND($N403&gt;0,$F403=""),"Khách lấy VAT thiếu mã số thuế; ","")&amp;IF(N($Q403)&gt;$P403,"Đã thu vượt tổng phải thu; ","")&amp;IF(AND($L403&gt;0,$U403&lt;0),"CẢNH BÁO: ĐƠN NÀY ĐANG LỖ; ","")))</f>
        <v/>
      </c>
      <c r="Y403" s="16" t="str">
        <f aca="false">IF(AND($C403&lt;&gt;"",$R403&gt;0),COUNTIFS($C$6:$C403,"&lt;&gt;",$R$6:$R403,"&gt;0"),"")</f>
        <v/>
      </c>
      <c r="Z403" s="16" t="str">
        <f aca="false">IF(AND($H403&lt;&gt;"",N($N403)&gt;0),COUNTIFS($H$6:$H403,"&lt;&gt;",$N$6:$N403,"&gt;0"),"")</f>
        <v/>
      </c>
      <c r="AA403" s="16" t="str">
        <f aca="false">IF(AND($H403&lt;&gt;"",N($N403)=0),COUNTIFS($H$6:$H403,"&lt;&gt;",$N$6:$N403,"&lt;=0"),"")</f>
        <v/>
      </c>
      <c r="AB403" s="16" t="str">
        <f aca="false">IF($C403="","",IF(COUNTIF($C$6:$C403,$C403)&gt;1,"",MAX($AB$5:AB402)+1))</f>
        <v/>
      </c>
      <c r="AC403" s="16" t="str">
        <f aca="false">IF($H403="","",IF(COUNTIF($H$6:$H403,$H403)&gt;1,"",MAX($AC$5:AC402)+1))</f>
        <v/>
      </c>
    </row>
    <row r="404" customFormat="false" ht="15" hidden="false" customHeight="false" outlineLevel="0" collapsed="false">
      <c r="A404" s="16" t="str">
        <f aca="false">IF($C404="","",COUNTA($C$6:$C404))</f>
        <v/>
      </c>
      <c r="B404" s="17"/>
      <c r="C404" s="8"/>
      <c r="D404" s="8"/>
      <c r="E404" s="8"/>
      <c r="F404" s="8"/>
      <c r="G404" s="8"/>
      <c r="H404" s="8"/>
      <c r="I404" s="9"/>
      <c r="J404" s="10" t="str">
        <f aca="false">IF($H404="","",IFERROR(VLOOKUP($H404,'BẢNG GIÁ GỐC'!$A$5:$D$204,3,FALSE()),""))</f>
        <v/>
      </c>
      <c r="K404" s="9"/>
      <c r="L404" s="10" t="str">
        <f aca="false">IF($C404="","",N($I404)*N($K404))</f>
        <v/>
      </c>
      <c r="M404" s="8"/>
      <c r="N404" s="11" t="str">
        <f aca="false">IF($C404="","",IF($M404="VAT 5%",0.05,IF($M404="VAT 8%",0.08,IF($M404="VAT 10%",0.1,0))))</f>
        <v/>
      </c>
      <c r="O404" s="10" t="str">
        <f aca="false">IF($C404="","",$L404*$N404)</f>
        <v/>
      </c>
      <c r="P404" s="10" t="str">
        <f aca="false">IF($C404="","",$L404+$O404)</f>
        <v/>
      </c>
      <c r="Q404" s="9"/>
      <c r="R404" s="10" t="str">
        <f aca="false">IF($C404="","",MAX(0,$P404-N($Q404)))</f>
        <v/>
      </c>
      <c r="S404" s="19" t="str">
        <f aca="false">IF(OR($C404="",$P404=0),"",IF(N($Q404)&lt;=0,"Chưa thanh toán",IF(N($Q404)&lt;$P404,"Thanh toán một phần","Đã thanh toán")))</f>
        <v/>
      </c>
      <c r="T404" s="10" t="str">
        <f aca="false">IF(OR($C404="",$J404=""),"",N($I404)*$J404)</f>
        <v/>
      </c>
      <c r="U404" s="10" t="str">
        <f aca="false">IF(OR($C404="",$T404=""),"",$L404-$T404)</f>
        <v/>
      </c>
      <c r="V404" s="11" t="str">
        <f aca="false">IF(OR($U404="",$L404=0),"",$U404/$L404)</f>
        <v/>
      </c>
      <c r="W404" s="8"/>
      <c r="X404" s="19" t="str">
        <f aca="false">IF($C404="","",IF(AND($H404="",N($I404)=0,N($K404)=0),"Dòng chỉ lưu thông tin khách (chưa có đơn); ",IF($B404="","Thiếu ngày đặt; ","")&amp;IF($H404="","Thiếu tên sản phẩm; ",IF($J404="","Sản phẩm chưa có trong BẢNG GIÁ GỐC; ",""))&amp;IF(N($I404)&lt;=0,"Thiếu số lượng; ","")&amp;IF(N($K404)&lt;=0,"Thiếu giá bán; ","")&amp;IF(AND($N404&gt;0,$F404=""),"Khách lấy VAT thiếu mã số thuế; ","")&amp;IF(N($Q404)&gt;$P404,"Đã thu vượt tổng phải thu; ","")&amp;IF(AND($L404&gt;0,$U404&lt;0),"CẢNH BÁO: ĐƠN NÀY ĐANG LỖ; ","")))</f>
        <v/>
      </c>
      <c r="Y404" s="16" t="str">
        <f aca="false">IF(AND($C404&lt;&gt;"",$R404&gt;0),COUNTIFS($C$6:$C404,"&lt;&gt;",$R$6:$R404,"&gt;0"),"")</f>
        <v/>
      </c>
      <c r="Z404" s="16" t="str">
        <f aca="false">IF(AND($H404&lt;&gt;"",N($N404)&gt;0),COUNTIFS($H$6:$H404,"&lt;&gt;",$N$6:$N404,"&gt;0"),"")</f>
        <v/>
      </c>
      <c r="AA404" s="16" t="str">
        <f aca="false">IF(AND($H404&lt;&gt;"",N($N404)=0),COUNTIFS($H$6:$H404,"&lt;&gt;",$N$6:$N404,"&lt;=0"),"")</f>
        <v/>
      </c>
      <c r="AB404" s="16" t="str">
        <f aca="false">IF($C404="","",IF(COUNTIF($C$6:$C404,$C404)&gt;1,"",MAX($AB$5:AB403)+1))</f>
        <v/>
      </c>
      <c r="AC404" s="16" t="str">
        <f aca="false">IF($H404="","",IF(COUNTIF($H$6:$H404,$H404)&gt;1,"",MAX($AC$5:AC403)+1))</f>
        <v/>
      </c>
    </row>
    <row r="405" customFormat="false" ht="15" hidden="false" customHeight="false" outlineLevel="0" collapsed="false">
      <c r="A405" s="16" t="str">
        <f aca="false">IF($C405="","",COUNTA($C$6:$C405))</f>
        <v/>
      </c>
      <c r="B405" s="17"/>
      <c r="C405" s="8"/>
      <c r="D405" s="8"/>
      <c r="E405" s="8"/>
      <c r="F405" s="8"/>
      <c r="G405" s="8"/>
      <c r="H405" s="8"/>
      <c r="I405" s="9"/>
      <c r="J405" s="10" t="str">
        <f aca="false">IF($H405="","",IFERROR(VLOOKUP($H405,'BẢNG GIÁ GỐC'!$A$5:$D$204,3,FALSE()),""))</f>
        <v/>
      </c>
      <c r="K405" s="9"/>
      <c r="L405" s="10" t="str">
        <f aca="false">IF($C405="","",N($I405)*N($K405))</f>
        <v/>
      </c>
      <c r="M405" s="8"/>
      <c r="N405" s="11" t="str">
        <f aca="false">IF($C405="","",IF($M405="VAT 5%",0.05,IF($M405="VAT 8%",0.08,IF($M405="VAT 10%",0.1,0))))</f>
        <v/>
      </c>
      <c r="O405" s="10" t="str">
        <f aca="false">IF($C405="","",$L405*$N405)</f>
        <v/>
      </c>
      <c r="P405" s="10" t="str">
        <f aca="false">IF($C405="","",$L405+$O405)</f>
        <v/>
      </c>
      <c r="Q405" s="9"/>
      <c r="R405" s="10" t="str">
        <f aca="false">IF($C405="","",MAX(0,$P405-N($Q405)))</f>
        <v/>
      </c>
      <c r="S405" s="19" t="str">
        <f aca="false">IF(OR($C405="",$P405=0),"",IF(N($Q405)&lt;=0,"Chưa thanh toán",IF(N($Q405)&lt;$P405,"Thanh toán một phần","Đã thanh toán")))</f>
        <v/>
      </c>
      <c r="T405" s="10" t="str">
        <f aca="false">IF(OR($C405="",$J405=""),"",N($I405)*$J405)</f>
        <v/>
      </c>
      <c r="U405" s="10" t="str">
        <f aca="false">IF(OR($C405="",$T405=""),"",$L405-$T405)</f>
        <v/>
      </c>
      <c r="V405" s="11" t="str">
        <f aca="false">IF(OR($U405="",$L405=0),"",$U405/$L405)</f>
        <v/>
      </c>
      <c r="W405" s="8"/>
      <c r="X405" s="19" t="str">
        <f aca="false">IF($C405="","",IF(AND($H405="",N($I405)=0,N($K405)=0),"Dòng chỉ lưu thông tin khách (chưa có đơn); ",IF($B405="","Thiếu ngày đặt; ","")&amp;IF($H405="","Thiếu tên sản phẩm; ",IF($J405="","Sản phẩm chưa có trong BẢNG GIÁ GỐC; ",""))&amp;IF(N($I405)&lt;=0,"Thiếu số lượng; ","")&amp;IF(N($K405)&lt;=0,"Thiếu giá bán; ","")&amp;IF(AND($N405&gt;0,$F405=""),"Khách lấy VAT thiếu mã số thuế; ","")&amp;IF(N($Q405)&gt;$P405,"Đã thu vượt tổng phải thu; ","")&amp;IF(AND($L405&gt;0,$U405&lt;0),"CẢNH BÁO: ĐƠN NÀY ĐANG LỖ; ","")))</f>
        <v/>
      </c>
      <c r="Y405" s="16" t="str">
        <f aca="false">IF(AND($C405&lt;&gt;"",$R405&gt;0),COUNTIFS($C$6:$C405,"&lt;&gt;",$R$6:$R405,"&gt;0"),"")</f>
        <v/>
      </c>
      <c r="Z405" s="16" t="str">
        <f aca="false">IF(AND($H405&lt;&gt;"",N($N405)&gt;0),COUNTIFS($H$6:$H405,"&lt;&gt;",$N$6:$N405,"&gt;0"),"")</f>
        <v/>
      </c>
      <c r="AA405" s="16" t="str">
        <f aca="false">IF(AND($H405&lt;&gt;"",N($N405)=0),COUNTIFS($H$6:$H405,"&lt;&gt;",$N$6:$N405,"&lt;=0"),"")</f>
        <v/>
      </c>
      <c r="AB405" s="16" t="str">
        <f aca="false">IF($C405="","",IF(COUNTIF($C$6:$C405,$C405)&gt;1,"",MAX($AB$5:AB404)+1))</f>
        <v/>
      </c>
      <c r="AC405" s="16" t="str">
        <f aca="false">IF($H405="","",IF(COUNTIF($H$6:$H405,$H405)&gt;1,"",MAX($AC$5:AC404)+1))</f>
        <v/>
      </c>
    </row>
    <row r="406" customFormat="false" ht="15" hidden="false" customHeight="false" outlineLevel="0" collapsed="false">
      <c r="A406" s="16" t="str">
        <f aca="false">IF($C406="","",COUNTA($C$6:$C406))</f>
        <v/>
      </c>
      <c r="B406" s="17"/>
      <c r="C406" s="8"/>
      <c r="D406" s="8"/>
      <c r="E406" s="8"/>
      <c r="F406" s="8"/>
      <c r="G406" s="8"/>
      <c r="H406" s="8"/>
      <c r="I406" s="9"/>
      <c r="J406" s="10" t="str">
        <f aca="false">IF($H406="","",IFERROR(VLOOKUP($H406,'BẢNG GIÁ GỐC'!$A$5:$D$204,3,FALSE()),""))</f>
        <v/>
      </c>
      <c r="K406" s="9"/>
      <c r="L406" s="10" t="str">
        <f aca="false">IF($C406="","",N($I406)*N($K406))</f>
        <v/>
      </c>
      <c r="M406" s="8"/>
      <c r="N406" s="11" t="str">
        <f aca="false">IF($C406="","",IF($M406="VAT 5%",0.05,IF($M406="VAT 8%",0.08,IF($M406="VAT 10%",0.1,0))))</f>
        <v/>
      </c>
      <c r="O406" s="10" t="str">
        <f aca="false">IF($C406="","",$L406*$N406)</f>
        <v/>
      </c>
      <c r="P406" s="10" t="str">
        <f aca="false">IF($C406="","",$L406+$O406)</f>
        <v/>
      </c>
      <c r="Q406" s="9"/>
      <c r="R406" s="10" t="str">
        <f aca="false">IF($C406="","",MAX(0,$P406-N($Q406)))</f>
        <v/>
      </c>
      <c r="S406" s="19" t="str">
        <f aca="false">IF(OR($C406="",$P406=0),"",IF(N($Q406)&lt;=0,"Chưa thanh toán",IF(N($Q406)&lt;$P406,"Thanh toán một phần","Đã thanh toán")))</f>
        <v/>
      </c>
      <c r="T406" s="10" t="str">
        <f aca="false">IF(OR($C406="",$J406=""),"",N($I406)*$J406)</f>
        <v/>
      </c>
      <c r="U406" s="10" t="str">
        <f aca="false">IF(OR($C406="",$T406=""),"",$L406-$T406)</f>
        <v/>
      </c>
      <c r="V406" s="11" t="str">
        <f aca="false">IF(OR($U406="",$L406=0),"",$U406/$L406)</f>
        <v/>
      </c>
      <c r="W406" s="8"/>
      <c r="X406" s="19" t="str">
        <f aca="false">IF($C406="","",IF(AND($H406="",N($I406)=0,N($K406)=0),"Dòng chỉ lưu thông tin khách (chưa có đơn); ",IF($B406="","Thiếu ngày đặt; ","")&amp;IF($H406="","Thiếu tên sản phẩm; ",IF($J406="","Sản phẩm chưa có trong BẢNG GIÁ GỐC; ",""))&amp;IF(N($I406)&lt;=0,"Thiếu số lượng; ","")&amp;IF(N($K406)&lt;=0,"Thiếu giá bán; ","")&amp;IF(AND($N406&gt;0,$F406=""),"Khách lấy VAT thiếu mã số thuế; ","")&amp;IF(N($Q406)&gt;$P406,"Đã thu vượt tổng phải thu; ","")&amp;IF(AND($L406&gt;0,$U406&lt;0),"CẢNH BÁO: ĐƠN NÀY ĐANG LỖ; ","")))</f>
        <v/>
      </c>
      <c r="Y406" s="16" t="str">
        <f aca="false">IF(AND($C406&lt;&gt;"",$R406&gt;0),COUNTIFS($C$6:$C406,"&lt;&gt;",$R$6:$R406,"&gt;0"),"")</f>
        <v/>
      </c>
      <c r="Z406" s="16" t="str">
        <f aca="false">IF(AND($H406&lt;&gt;"",N($N406)&gt;0),COUNTIFS($H$6:$H406,"&lt;&gt;",$N$6:$N406,"&gt;0"),"")</f>
        <v/>
      </c>
      <c r="AA406" s="16" t="str">
        <f aca="false">IF(AND($H406&lt;&gt;"",N($N406)=0),COUNTIFS($H$6:$H406,"&lt;&gt;",$N$6:$N406,"&lt;=0"),"")</f>
        <v/>
      </c>
      <c r="AB406" s="16" t="str">
        <f aca="false">IF($C406="","",IF(COUNTIF($C$6:$C406,$C406)&gt;1,"",MAX($AB$5:AB405)+1))</f>
        <v/>
      </c>
      <c r="AC406" s="16" t="str">
        <f aca="false">IF($H406="","",IF(COUNTIF($H$6:$H406,$H406)&gt;1,"",MAX($AC$5:AC405)+1))</f>
        <v/>
      </c>
    </row>
    <row r="407" customFormat="false" ht="15" hidden="false" customHeight="false" outlineLevel="0" collapsed="false">
      <c r="A407" s="16" t="str">
        <f aca="false">IF($C407="","",COUNTA($C$6:$C407))</f>
        <v/>
      </c>
      <c r="B407" s="17"/>
      <c r="C407" s="8"/>
      <c r="D407" s="8"/>
      <c r="E407" s="8"/>
      <c r="F407" s="8"/>
      <c r="G407" s="8"/>
      <c r="H407" s="8"/>
      <c r="I407" s="9"/>
      <c r="J407" s="10" t="str">
        <f aca="false">IF($H407="","",IFERROR(VLOOKUP($H407,'BẢNG GIÁ GỐC'!$A$5:$D$204,3,FALSE()),""))</f>
        <v/>
      </c>
      <c r="K407" s="9"/>
      <c r="L407" s="10" t="str">
        <f aca="false">IF($C407="","",N($I407)*N($K407))</f>
        <v/>
      </c>
      <c r="M407" s="8"/>
      <c r="N407" s="11" t="str">
        <f aca="false">IF($C407="","",IF($M407="VAT 5%",0.05,IF($M407="VAT 8%",0.08,IF($M407="VAT 10%",0.1,0))))</f>
        <v/>
      </c>
      <c r="O407" s="10" t="str">
        <f aca="false">IF($C407="","",$L407*$N407)</f>
        <v/>
      </c>
      <c r="P407" s="10" t="str">
        <f aca="false">IF($C407="","",$L407+$O407)</f>
        <v/>
      </c>
      <c r="Q407" s="9"/>
      <c r="R407" s="10" t="str">
        <f aca="false">IF($C407="","",MAX(0,$P407-N($Q407)))</f>
        <v/>
      </c>
      <c r="S407" s="19" t="str">
        <f aca="false">IF(OR($C407="",$P407=0),"",IF(N($Q407)&lt;=0,"Chưa thanh toán",IF(N($Q407)&lt;$P407,"Thanh toán một phần","Đã thanh toán")))</f>
        <v/>
      </c>
      <c r="T407" s="10" t="str">
        <f aca="false">IF(OR($C407="",$J407=""),"",N($I407)*$J407)</f>
        <v/>
      </c>
      <c r="U407" s="10" t="str">
        <f aca="false">IF(OR($C407="",$T407=""),"",$L407-$T407)</f>
        <v/>
      </c>
      <c r="V407" s="11" t="str">
        <f aca="false">IF(OR($U407="",$L407=0),"",$U407/$L407)</f>
        <v/>
      </c>
      <c r="W407" s="8"/>
      <c r="X407" s="19" t="str">
        <f aca="false">IF($C407="","",IF(AND($H407="",N($I407)=0,N($K407)=0),"Dòng chỉ lưu thông tin khách (chưa có đơn); ",IF($B407="","Thiếu ngày đặt; ","")&amp;IF($H407="","Thiếu tên sản phẩm; ",IF($J407="","Sản phẩm chưa có trong BẢNG GIÁ GỐC; ",""))&amp;IF(N($I407)&lt;=0,"Thiếu số lượng; ","")&amp;IF(N($K407)&lt;=0,"Thiếu giá bán; ","")&amp;IF(AND($N407&gt;0,$F407=""),"Khách lấy VAT thiếu mã số thuế; ","")&amp;IF(N($Q407)&gt;$P407,"Đã thu vượt tổng phải thu; ","")&amp;IF(AND($L407&gt;0,$U407&lt;0),"CẢNH BÁO: ĐƠN NÀY ĐANG LỖ; ","")))</f>
        <v/>
      </c>
      <c r="Y407" s="16" t="str">
        <f aca="false">IF(AND($C407&lt;&gt;"",$R407&gt;0),COUNTIFS($C$6:$C407,"&lt;&gt;",$R$6:$R407,"&gt;0"),"")</f>
        <v/>
      </c>
      <c r="Z407" s="16" t="str">
        <f aca="false">IF(AND($H407&lt;&gt;"",N($N407)&gt;0),COUNTIFS($H$6:$H407,"&lt;&gt;",$N$6:$N407,"&gt;0"),"")</f>
        <v/>
      </c>
      <c r="AA407" s="16" t="str">
        <f aca="false">IF(AND($H407&lt;&gt;"",N($N407)=0),COUNTIFS($H$6:$H407,"&lt;&gt;",$N$6:$N407,"&lt;=0"),"")</f>
        <v/>
      </c>
      <c r="AB407" s="16" t="str">
        <f aca="false">IF($C407="","",IF(COUNTIF($C$6:$C407,$C407)&gt;1,"",MAX($AB$5:AB406)+1))</f>
        <v/>
      </c>
      <c r="AC407" s="16" t="str">
        <f aca="false">IF($H407="","",IF(COUNTIF($H$6:$H407,$H407)&gt;1,"",MAX($AC$5:AC406)+1))</f>
        <v/>
      </c>
    </row>
    <row r="408" customFormat="false" ht="15" hidden="false" customHeight="false" outlineLevel="0" collapsed="false">
      <c r="A408" s="16" t="str">
        <f aca="false">IF($C408="","",COUNTA($C$6:$C408))</f>
        <v/>
      </c>
      <c r="B408" s="17"/>
      <c r="C408" s="8"/>
      <c r="D408" s="8"/>
      <c r="E408" s="8"/>
      <c r="F408" s="8"/>
      <c r="G408" s="8"/>
      <c r="H408" s="8"/>
      <c r="I408" s="9"/>
      <c r="J408" s="10" t="str">
        <f aca="false">IF($H408="","",IFERROR(VLOOKUP($H408,'BẢNG GIÁ GỐC'!$A$5:$D$204,3,FALSE()),""))</f>
        <v/>
      </c>
      <c r="K408" s="9"/>
      <c r="L408" s="10" t="str">
        <f aca="false">IF($C408="","",N($I408)*N($K408))</f>
        <v/>
      </c>
      <c r="M408" s="8"/>
      <c r="N408" s="11" t="str">
        <f aca="false">IF($C408="","",IF($M408="VAT 5%",0.05,IF($M408="VAT 8%",0.08,IF($M408="VAT 10%",0.1,0))))</f>
        <v/>
      </c>
      <c r="O408" s="10" t="str">
        <f aca="false">IF($C408="","",$L408*$N408)</f>
        <v/>
      </c>
      <c r="P408" s="10" t="str">
        <f aca="false">IF($C408="","",$L408+$O408)</f>
        <v/>
      </c>
      <c r="Q408" s="9"/>
      <c r="R408" s="10" t="str">
        <f aca="false">IF($C408="","",MAX(0,$P408-N($Q408)))</f>
        <v/>
      </c>
      <c r="S408" s="19" t="str">
        <f aca="false">IF(OR($C408="",$P408=0),"",IF(N($Q408)&lt;=0,"Chưa thanh toán",IF(N($Q408)&lt;$P408,"Thanh toán một phần","Đã thanh toán")))</f>
        <v/>
      </c>
      <c r="T408" s="10" t="str">
        <f aca="false">IF(OR($C408="",$J408=""),"",N($I408)*$J408)</f>
        <v/>
      </c>
      <c r="U408" s="10" t="str">
        <f aca="false">IF(OR($C408="",$T408=""),"",$L408-$T408)</f>
        <v/>
      </c>
      <c r="V408" s="11" t="str">
        <f aca="false">IF(OR($U408="",$L408=0),"",$U408/$L408)</f>
        <v/>
      </c>
      <c r="W408" s="8"/>
      <c r="X408" s="19" t="str">
        <f aca="false">IF($C408="","",IF(AND($H408="",N($I408)=0,N($K408)=0),"Dòng chỉ lưu thông tin khách (chưa có đơn); ",IF($B408="","Thiếu ngày đặt; ","")&amp;IF($H408="","Thiếu tên sản phẩm; ",IF($J408="","Sản phẩm chưa có trong BẢNG GIÁ GỐC; ",""))&amp;IF(N($I408)&lt;=0,"Thiếu số lượng; ","")&amp;IF(N($K408)&lt;=0,"Thiếu giá bán; ","")&amp;IF(AND($N408&gt;0,$F408=""),"Khách lấy VAT thiếu mã số thuế; ","")&amp;IF(N($Q408)&gt;$P408,"Đã thu vượt tổng phải thu; ","")&amp;IF(AND($L408&gt;0,$U408&lt;0),"CẢNH BÁO: ĐƠN NÀY ĐANG LỖ; ","")))</f>
        <v/>
      </c>
      <c r="Y408" s="16" t="str">
        <f aca="false">IF(AND($C408&lt;&gt;"",$R408&gt;0),COUNTIFS($C$6:$C408,"&lt;&gt;",$R$6:$R408,"&gt;0"),"")</f>
        <v/>
      </c>
      <c r="Z408" s="16" t="str">
        <f aca="false">IF(AND($H408&lt;&gt;"",N($N408)&gt;0),COUNTIFS($H$6:$H408,"&lt;&gt;",$N$6:$N408,"&gt;0"),"")</f>
        <v/>
      </c>
      <c r="AA408" s="16" t="str">
        <f aca="false">IF(AND($H408&lt;&gt;"",N($N408)=0),COUNTIFS($H$6:$H408,"&lt;&gt;",$N$6:$N408,"&lt;=0"),"")</f>
        <v/>
      </c>
      <c r="AB408" s="16" t="str">
        <f aca="false">IF($C408="","",IF(COUNTIF($C$6:$C408,$C408)&gt;1,"",MAX($AB$5:AB407)+1))</f>
        <v/>
      </c>
      <c r="AC408" s="16" t="str">
        <f aca="false">IF($H408="","",IF(COUNTIF($H$6:$H408,$H408)&gt;1,"",MAX($AC$5:AC407)+1))</f>
        <v/>
      </c>
    </row>
    <row r="409" customFormat="false" ht="15" hidden="false" customHeight="false" outlineLevel="0" collapsed="false">
      <c r="A409" s="16" t="str">
        <f aca="false">IF($C409="","",COUNTA($C$6:$C409))</f>
        <v/>
      </c>
      <c r="B409" s="17"/>
      <c r="C409" s="8"/>
      <c r="D409" s="8"/>
      <c r="E409" s="8"/>
      <c r="F409" s="8"/>
      <c r="G409" s="8"/>
      <c r="H409" s="8"/>
      <c r="I409" s="9"/>
      <c r="J409" s="10" t="str">
        <f aca="false">IF($H409="","",IFERROR(VLOOKUP($H409,'BẢNG GIÁ GỐC'!$A$5:$D$204,3,FALSE()),""))</f>
        <v/>
      </c>
      <c r="K409" s="9"/>
      <c r="L409" s="10" t="str">
        <f aca="false">IF($C409="","",N($I409)*N($K409))</f>
        <v/>
      </c>
      <c r="M409" s="8"/>
      <c r="N409" s="11" t="str">
        <f aca="false">IF($C409="","",IF($M409="VAT 5%",0.05,IF($M409="VAT 8%",0.08,IF($M409="VAT 10%",0.1,0))))</f>
        <v/>
      </c>
      <c r="O409" s="10" t="str">
        <f aca="false">IF($C409="","",$L409*$N409)</f>
        <v/>
      </c>
      <c r="P409" s="10" t="str">
        <f aca="false">IF($C409="","",$L409+$O409)</f>
        <v/>
      </c>
      <c r="Q409" s="9"/>
      <c r="R409" s="10" t="str">
        <f aca="false">IF($C409="","",MAX(0,$P409-N($Q409)))</f>
        <v/>
      </c>
      <c r="S409" s="19" t="str">
        <f aca="false">IF(OR($C409="",$P409=0),"",IF(N($Q409)&lt;=0,"Chưa thanh toán",IF(N($Q409)&lt;$P409,"Thanh toán một phần","Đã thanh toán")))</f>
        <v/>
      </c>
      <c r="T409" s="10" t="str">
        <f aca="false">IF(OR($C409="",$J409=""),"",N($I409)*$J409)</f>
        <v/>
      </c>
      <c r="U409" s="10" t="str">
        <f aca="false">IF(OR($C409="",$T409=""),"",$L409-$T409)</f>
        <v/>
      </c>
      <c r="V409" s="11" t="str">
        <f aca="false">IF(OR($U409="",$L409=0),"",$U409/$L409)</f>
        <v/>
      </c>
      <c r="W409" s="8"/>
      <c r="X409" s="19" t="str">
        <f aca="false">IF($C409="","",IF(AND($H409="",N($I409)=0,N($K409)=0),"Dòng chỉ lưu thông tin khách (chưa có đơn); ",IF($B409="","Thiếu ngày đặt; ","")&amp;IF($H409="","Thiếu tên sản phẩm; ",IF($J409="","Sản phẩm chưa có trong BẢNG GIÁ GỐC; ",""))&amp;IF(N($I409)&lt;=0,"Thiếu số lượng; ","")&amp;IF(N($K409)&lt;=0,"Thiếu giá bán; ","")&amp;IF(AND($N409&gt;0,$F409=""),"Khách lấy VAT thiếu mã số thuế; ","")&amp;IF(N($Q409)&gt;$P409,"Đã thu vượt tổng phải thu; ","")&amp;IF(AND($L409&gt;0,$U409&lt;0),"CẢNH BÁO: ĐƠN NÀY ĐANG LỖ; ","")))</f>
        <v/>
      </c>
      <c r="Y409" s="16" t="str">
        <f aca="false">IF(AND($C409&lt;&gt;"",$R409&gt;0),COUNTIFS($C$6:$C409,"&lt;&gt;",$R$6:$R409,"&gt;0"),"")</f>
        <v/>
      </c>
      <c r="Z409" s="16" t="str">
        <f aca="false">IF(AND($H409&lt;&gt;"",N($N409)&gt;0),COUNTIFS($H$6:$H409,"&lt;&gt;",$N$6:$N409,"&gt;0"),"")</f>
        <v/>
      </c>
      <c r="AA409" s="16" t="str">
        <f aca="false">IF(AND($H409&lt;&gt;"",N($N409)=0),COUNTIFS($H$6:$H409,"&lt;&gt;",$N$6:$N409,"&lt;=0"),"")</f>
        <v/>
      </c>
      <c r="AB409" s="16" t="str">
        <f aca="false">IF($C409="","",IF(COUNTIF($C$6:$C409,$C409)&gt;1,"",MAX($AB$5:AB408)+1))</f>
        <v/>
      </c>
      <c r="AC409" s="16" t="str">
        <f aca="false">IF($H409="","",IF(COUNTIF($H$6:$H409,$H409)&gt;1,"",MAX($AC$5:AC408)+1))</f>
        <v/>
      </c>
    </row>
    <row r="410" customFormat="false" ht="15" hidden="false" customHeight="false" outlineLevel="0" collapsed="false">
      <c r="A410" s="16" t="str">
        <f aca="false">IF($C410="","",COUNTA($C$6:$C410))</f>
        <v/>
      </c>
      <c r="B410" s="17"/>
      <c r="C410" s="8"/>
      <c r="D410" s="8"/>
      <c r="E410" s="8"/>
      <c r="F410" s="8"/>
      <c r="G410" s="8"/>
      <c r="H410" s="8"/>
      <c r="I410" s="9"/>
      <c r="J410" s="10" t="str">
        <f aca="false">IF($H410="","",IFERROR(VLOOKUP($H410,'BẢNG GIÁ GỐC'!$A$5:$D$204,3,FALSE()),""))</f>
        <v/>
      </c>
      <c r="K410" s="9"/>
      <c r="L410" s="10" t="str">
        <f aca="false">IF($C410="","",N($I410)*N($K410))</f>
        <v/>
      </c>
      <c r="M410" s="8"/>
      <c r="N410" s="11" t="str">
        <f aca="false">IF($C410="","",IF($M410="VAT 5%",0.05,IF($M410="VAT 8%",0.08,IF($M410="VAT 10%",0.1,0))))</f>
        <v/>
      </c>
      <c r="O410" s="10" t="str">
        <f aca="false">IF($C410="","",$L410*$N410)</f>
        <v/>
      </c>
      <c r="P410" s="10" t="str">
        <f aca="false">IF($C410="","",$L410+$O410)</f>
        <v/>
      </c>
      <c r="Q410" s="9"/>
      <c r="R410" s="10" t="str">
        <f aca="false">IF($C410="","",MAX(0,$P410-N($Q410)))</f>
        <v/>
      </c>
      <c r="S410" s="19" t="str">
        <f aca="false">IF(OR($C410="",$P410=0),"",IF(N($Q410)&lt;=0,"Chưa thanh toán",IF(N($Q410)&lt;$P410,"Thanh toán một phần","Đã thanh toán")))</f>
        <v/>
      </c>
      <c r="T410" s="10" t="str">
        <f aca="false">IF(OR($C410="",$J410=""),"",N($I410)*$J410)</f>
        <v/>
      </c>
      <c r="U410" s="10" t="str">
        <f aca="false">IF(OR($C410="",$T410=""),"",$L410-$T410)</f>
        <v/>
      </c>
      <c r="V410" s="11" t="str">
        <f aca="false">IF(OR($U410="",$L410=0),"",$U410/$L410)</f>
        <v/>
      </c>
      <c r="W410" s="8"/>
      <c r="X410" s="19" t="str">
        <f aca="false">IF($C410="","",IF(AND($H410="",N($I410)=0,N($K410)=0),"Dòng chỉ lưu thông tin khách (chưa có đơn); ",IF($B410="","Thiếu ngày đặt; ","")&amp;IF($H410="","Thiếu tên sản phẩm; ",IF($J410="","Sản phẩm chưa có trong BẢNG GIÁ GỐC; ",""))&amp;IF(N($I410)&lt;=0,"Thiếu số lượng; ","")&amp;IF(N($K410)&lt;=0,"Thiếu giá bán; ","")&amp;IF(AND($N410&gt;0,$F410=""),"Khách lấy VAT thiếu mã số thuế; ","")&amp;IF(N($Q410)&gt;$P410,"Đã thu vượt tổng phải thu; ","")&amp;IF(AND($L410&gt;0,$U410&lt;0),"CẢNH BÁO: ĐƠN NÀY ĐANG LỖ; ","")))</f>
        <v/>
      </c>
      <c r="Y410" s="16" t="str">
        <f aca="false">IF(AND($C410&lt;&gt;"",$R410&gt;0),COUNTIFS($C$6:$C410,"&lt;&gt;",$R$6:$R410,"&gt;0"),"")</f>
        <v/>
      </c>
      <c r="Z410" s="16" t="str">
        <f aca="false">IF(AND($H410&lt;&gt;"",N($N410)&gt;0),COUNTIFS($H$6:$H410,"&lt;&gt;",$N$6:$N410,"&gt;0"),"")</f>
        <v/>
      </c>
      <c r="AA410" s="16" t="str">
        <f aca="false">IF(AND($H410&lt;&gt;"",N($N410)=0),COUNTIFS($H$6:$H410,"&lt;&gt;",$N$6:$N410,"&lt;=0"),"")</f>
        <v/>
      </c>
      <c r="AB410" s="16" t="str">
        <f aca="false">IF($C410="","",IF(COUNTIF($C$6:$C410,$C410)&gt;1,"",MAX($AB$5:AB409)+1))</f>
        <v/>
      </c>
      <c r="AC410" s="16" t="str">
        <f aca="false">IF($H410="","",IF(COUNTIF($H$6:$H410,$H410)&gt;1,"",MAX($AC$5:AC409)+1))</f>
        <v/>
      </c>
    </row>
    <row r="411" customFormat="false" ht="15" hidden="false" customHeight="false" outlineLevel="0" collapsed="false">
      <c r="A411" s="16" t="str">
        <f aca="false">IF($C411="","",COUNTA($C$6:$C411))</f>
        <v/>
      </c>
      <c r="B411" s="17"/>
      <c r="C411" s="8"/>
      <c r="D411" s="8"/>
      <c r="E411" s="8"/>
      <c r="F411" s="8"/>
      <c r="G411" s="8"/>
      <c r="H411" s="8"/>
      <c r="I411" s="9"/>
      <c r="J411" s="10" t="str">
        <f aca="false">IF($H411="","",IFERROR(VLOOKUP($H411,'BẢNG GIÁ GỐC'!$A$5:$D$204,3,FALSE()),""))</f>
        <v/>
      </c>
      <c r="K411" s="9"/>
      <c r="L411" s="10" t="str">
        <f aca="false">IF($C411="","",N($I411)*N($K411))</f>
        <v/>
      </c>
      <c r="M411" s="8"/>
      <c r="N411" s="11" t="str">
        <f aca="false">IF($C411="","",IF($M411="VAT 5%",0.05,IF($M411="VAT 8%",0.08,IF($M411="VAT 10%",0.1,0))))</f>
        <v/>
      </c>
      <c r="O411" s="10" t="str">
        <f aca="false">IF($C411="","",$L411*$N411)</f>
        <v/>
      </c>
      <c r="P411" s="10" t="str">
        <f aca="false">IF($C411="","",$L411+$O411)</f>
        <v/>
      </c>
      <c r="Q411" s="9"/>
      <c r="R411" s="10" t="str">
        <f aca="false">IF($C411="","",MAX(0,$P411-N($Q411)))</f>
        <v/>
      </c>
      <c r="S411" s="19" t="str">
        <f aca="false">IF(OR($C411="",$P411=0),"",IF(N($Q411)&lt;=0,"Chưa thanh toán",IF(N($Q411)&lt;$P411,"Thanh toán một phần","Đã thanh toán")))</f>
        <v/>
      </c>
      <c r="T411" s="10" t="str">
        <f aca="false">IF(OR($C411="",$J411=""),"",N($I411)*$J411)</f>
        <v/>
      </c>
      <c r="U411" s="10" t="str">
        <f aca="false">IF(OR($C411="",$T411=""),"",$L411-$T411)</f>
        <v/>
      </c>
      <c r="V411" s="11" t="str">
        <f aca="false">IF(OR($U411="",$L411=0),"",$U411/$L411)</f>
        <v/>
      </c>
      <c r="W411" s="8"/>
      <c r="X411" s="19" t="str">
        <f aca="false">IF($C411="","",IF(AND($H411="",N($I411)=0,N($K411)=0),"Dòng chỉ lưu thông tin khách (chưa có đơn); ",IF($B411="","Thiếu ngày đặt; ","")&amp;IF($H411="","Thiếu tên sản phẩm; ",IF($J411="","Sản phẩm chưa có trong BẢNG GIÁ GỐC; ",""))&amp;IF(N($I411)&lt;=0,"Thiếu số lượng; ","")&amp;IF(N($K411)&lt;=0,"Thiếu giá bán; ","")&amp;IF(AND($N411&gt;0,$F411=""),"Khách lấy VAT thiếu mã số thuế; ","")&amp;IF(N($Q411)&gt;$P411,"Đã thu vượt tổng phải thu; ","")&amp;IF(AND($L411&gt;0,$U411&lt;0),"CẢNH BÁO: ĐƠN NÀY ĐANG LỖ; ","")))</f>
        <v/>
      </c>
      <c r="Y411" s="16" t="str">
        <f aca="false">IF(AND($C411&lt;&gt;"",$R411&gt;0),COUNTIFS($C$6:$C411,"&lt;&gt;",$R$6:$R411,"&gt;0"),"")</f>
        <v/>
      </c>
      <c r="Z411" s="16" t="str">
        <f aca="false">IF(AND($H411&lt;&gt;"",N($N411)&gt;0),COUNTIFS($H$6:$H411,"&lt;&gt;",$N$6:$N411,"&gt;0"),"")</f>
        <v/>
      </c>
      <c r="AA411" s="16" t="str">
        <f aca="false">IF(AND($H411&lt;&gt;"",N($N411)=0),COUNTIFS($H$6:$H411,"&lt;&gt;",$N$6:$N411,"&lt;=0"),"")</f>
        <v/>
      </c>
      <c r="AB411" s="16" t="str">
        <f aca="false">IF($C411="","",IF(COUNTIF($C$6:$C411,$C411)&gt;1,"",MAX($AB$5:AB410)+1))</f>
        <v/>
      </c>
      <c r="AC411" s="16" t="str">
        <f aca="false">IF($H411="","",IF(COUNTIF($H$6:$H411,$H411)&gt;1,"",MAX($AC$5:AC410)+1))</f>
        <v/>
      </c>
    </row>
    <row r="412" customFormat="false" ht="15" hidden="false" customHeight="false" outlineLevel="0" collapsed="false">
      <c r="A412" s="16" t="str">
        <f aca="false">IF($C412="","",COUNTA($C$6:$C412))</f>
        <v/>
      </c>
      <c r="B412" s="17"/>
      <c r="C412" s="8"/>
      <c r="D412" s="8"/>
      <c r="E412" s="8"/>
      <c r="F412" s="8"/>
      <c r="G412" s="8"/>
      <c r="H412" s="8"/>
      <c r="I412" s="9"/>
      <c r="J412" s="10" t="str">
        <f aca="false">IF($H412="","",IFERROR(VLOOKUP($H412,'BẢNG GIÁ GỐC'!$A$5:$D$204,3,FALSE()),""))</f>
        <v/>
      </c>
      <c r="K412" s="9"/>
      <c r="L412" s="10" t="str">
        <f aca="false">IF($C412="","",N($I412)*N($K412))</f>
        <v/>
      </c>
      <c r="M412" s="8"/>
      <c r="N412" s="11" t="str">
        <f aca="false">IF($C412="","",IF($M412="VAT 5%",0.05,IF($M412="VAT 8%",0.08,IF($M412="VAT 10%",0.1,0))))</f>
        <v/>
      </c>
      <c r="O412" s="10" t="str">
        <f aca="false">IF($C412="","",$L412*$N412)</f>
        <v/>
      </c>
      <c r="P412" s="10" t="str">
        <f aca="false">IF($C412="","",$L412+$O412)</f>
        <v/>
      </c>
      <c r="Q412" s="9"/>
      <c r="R412" s="10" t="str">
        <f aca="false">IF($C412="","",MAX(0,$P412-N($Q412)))</f>
        <v/>
      </c>
      <c r="S412" s="19" t="str">
        <f aca="false">IF(OR($C412="",$P412=0),"",IF(N($Q412)&lt;=0,"Chưa thanh toán",IF(N($Q412)&lt;$P412,"Thanh toán một phần","Đã thanh toán")))</f>
        <v/>
      </c>
      <c r="T412" s="10" t="str">
        <f aca="false">IF(OR($C412="",$J412=""),"",N($I412)*$J412)</f>
        <v/>
      </c>
      <c r="U412" s="10" t="str">
        <f aca="false">IF(OR($C412="",$T412=""),"",$L412-$T412)</f>
        <v/>
      </c>
      <c r="V412" s="11" t="str">
        <f aca="false">IF(OR($U412="",$L412=0),"",$U412/$L412)</f>
        <v/>
      </c>
      <c r="W412" s="8"/>
      <c r="X412" s="19" t="str">
        <f aca="false">IF($C412="","",IF(AND($H412="",N($I412)=0,N($K412)=0),"Dòng chỉ lưu thông tin khách (chưa có đơn); ",IF($B412="","Thiếu ngày đặt; ","")&amp;IF($H412="","Thiếu tên sản phẩm; ",IF($J412="","Sản phẩm chưa có trong BẢNG GIÁ GỐC; ",""))&amp;IF(N($I412)&lt;=0,"Thiếu số lượng; ","")&amp;IF(N($K412)&lt;=0,"Thiếu giá bán; ","")&amp;IF(AND($N412&gt;0,$F412=""),"Khách lấy VAT thiếu mã số thuế; ","")&amp;IF(N($Q412)&gt;$P412,"Đã thu vượt tổng phải thu; ","")&amp;IF(AND($L412&gt;0,$U412&lt;0),"CẢNH BÁO: ĐƠN NÀY ĐANG LỖ; ","")))</f>
        <v/>
      </c>
      <c r="Y412" s="16" t="str">
        <f aca="false">IF(AND($C412&lt;&gt;"",$R412&gt;0),COUNTIFS($C$6:$C412,"&lt;&gt;",$R$6:$R412,"&gt;0"),"")</f>
        <v/>
      </c>
      <c r="Z412" s="16" t="str">
        <f aca="false">IF(AND($H412&lt;&gt;"",N($N412)&gt;0),COUNTIFS($H$6:$H412,"&lt;&gt;",$N$6:$N412,"&gt;0"),"")</f>
        <v/>
      </c>
      <c r="AA412" s="16" t="str">
        <f aca="false">IF(AND($H412&lt;&gt;"",N($N412)=0),COUNTIFS($H$6:$H412,"&lt;&gt;",$N$6:$N412,"&lt;=0"),"")</f>
        <v/>
      </c>
      <c r="AB412" s="16" t="str">
        <f aca="false">IF($C412="","",IF(COUNTIF($C$6:$C412,$C412)&gt;1,"",MAX($AB$5:AB411)+1))</f>
        <v/>
      </c>
      <c r="AC412" s="16" t="str">
        <f aca="false">IF($H412="","",IF(COUNTIF($H$6:$H412,$H412)&gt;1,"",MAX($AC$5:AC411)+1))</f>
        <v/>
      </c>
    </row>
    <row r="413" customFormat="false" ht="15" hidden="false" customHeight="false" outlineLevel="0" collapsed="false">
      <c r="A413" s="16" t="str">
        <f aca="false">IF($C413="","",COUNTA($C$6:$C413))</f>
        <v/>
      </c>
      <c r="B413" s="17"/>
      <c r="C413" s="8"/>
      <c r="D413" s="8"/>
      <c r="E413" s="8"/>
      <c r="F413" s="8"/>
      <c r="G413" s="8"/>
      <c r="H413" s="8"/>
      <c r="I413" s="9"/>
      <c r="J413" s="10" t="str">
        <f aca="false">IF($H413="","",IFERROR(VLOOKUP($H413,'BẢNG GIÁ GỐC'!$A$5:$D$204,3,FALSE()),""))</f>
        <v/>
      </c>
      <c r="K413" s="9"/>
      <c r="L413" s="10" t="str">
        <f aca="false">IF($C413="","",N($I413)*N($K413))</f>
        <v/>
      </c>
      <c r="M413" s="8"/>
      <c r="N413" s="11" t="str">
        <f aca="false">IF($C413="","",IF($M413="VAT 5%",0.05,IF($M413="VAT 8%",0.08,IF($M413="VAT 10%",0.1,0))))</f>
        <v/>
      </c>
      <c r="O413" s="10" t="str">
        <f aca="false">IF($C413="","",$L413*$N413)</f>
        <v/>
      </c>
      <c r="P413" s="10" t="str">
        <f aca="false">IF($C413="","",$L413+$O413)</f>
        <v/>
      </c>
      <c r="Q413" s="9"/>
      <c r="R413" s="10" t="str">
        <f aca="false">IF($C413="","",MAX(0,$P413-N($Q413)))</f>
        <v/>
      </c>
      <c r="S413" s="19" t="str">
        <f aca="false">IF(OR($C413="",$P413=0),"",IF(N($Q413)&lt;=0,"Chưa thanh toán",IF(N($Q413)&lt;$P413,"Thanh toán một phần","Đã thanh toán")))</f>
        <v/>
      </c>
      <c r="T413" s="10" t="str">
        <f aca="false">IF(OR($C413="",$J413=""),"",N($I413)*$J413)</f>
        <v/>
      </c>
      <c r="U413" s="10" t="str">
        <f aca="false">IF(OR($C413="",$T413=""),"",$L413-$T413)</f>
        <v/>
      </c>
      <c r="V413" s="11" t="str">
        <f aca="false">IF(OR($U413="",$L413=0),"",$U413/$L413)</f>
        <v/>
      </c>
      <c r="W413" s="8"/>
      <c r="X413" s="19" t="str">
        <f aca="false">IF($C413="","",IF(AND($H413="",N($I413)=0,N($K413)=0),"Dòng chỉ lưu thông tin khách (chưa có đơn); ",IF($B413="","Thiếu ngày đặt; ","")&amp;IF($H413="","Thiếu tên sản phẩm; ",IF($J413="","Sản phẩm chưa có trong BẢNG GIÁ GỐC; ",""))&amp;IF(N($I413)&lt;=0,"Thiếu số lượng; ","")&amp;IF(N($K413)&lt;=0,"Thiếu giá bán; ","")&amp;IF(AND($N413&gt;0,$F413=""),"Khách lấy VAT thiếu mã số thuế; ","")&amp;IF(N($Q413)&gt;$P413,"Đã thu vượt tổng phải thu; ","")&amp;IF(AND($L413&gt;0,$U413&lt;0),"CẢNH BÁO: ĐƠN NÀY ĐANG LỖ; ","")))</f>
        <v/>
      </c>
      <c r="Y413" s="16" t="str">
        <f aca="false">IF(AND($C413&lt;&gt;"",$R413&gt;0),COUNTIFS($C$6:$C413,"&lt;&gt;",$R$6:$R413,"&gt;0"),"")</f>
        <v/>
      </c>
      <c r="Z413" s="16" t="str">
        <f aca="false">IF(AND($H413&lt;&gt;"",N($N413)&gt;0),COUNTIFS($H$6:$H413,"&lt;&gt;",$N$6:$N413,"&gt;0"),"")</f>
        <v/>
      </c>
      <c r="AA413" s="16" t="str">
        <f aca="false">IF(AND($H413&lt;&gt;"",N($N413)=0),COUNTIFS($H$6:$H413,"&lt;&gt;",$N$6:$N413,"&lt;=0"),"")</f>
        <v/>
      </c>
      <c r="AB413" s="16" t="str">
        <f aca="false">IF($C413="","",IF(COUNTIF($C$6:$C413,$C413)&gt;1,"",MAX($AB$5:AB412)+1))</f>
        <v/>
      </c>
      <c r="AC413" s="16" t="str">
        <f aca="false">IF($H413="","",IF(COUNTIF($H$6:$H413,$H413)&gt;1,"",MAX($AC$5:AC412)+1))</f>
        <v/>
      </c>
    </row>
    <row r="414" customFormat="false" ht="15" hidden="false" customHeight="false" outlineLevel="0" collapsed="false">
      <c r="A414" s="16" t="str">
        <f aca="false">IF($C414="","",COUNTA($C$6:$C414))</f>
        <v/>
      </c>
      <c r="B414" s="17"/>
      <c r="C414" s="8"/>
      <c r="D414" s="8"/>
      <c r="E414" s="8"/>
      <c r="F414" s="8"/>
      <c r="G414" s="8"/>
      <c r="H414" s="8"/>
      <c r="I414" s="9"/>
      <c r="J414" s="10" t="str">
        <f aca="false">IF($H414="","",IFERROR(VLOOKUP($H414,'BẢNG GIÁ GỐC'!$A$5:$D$204,3,FALSE()),""))</f>
        <v/>
      </c>
      <c r="K414" s="9"/>
      <c r="L414" s="10" t="str">
        <f aca="false">IF($C414="","",N($I414)*N($K414))</f>
        <v/>
      </c>
      <c r="M414" s="8"/>
      <c r="N414" s="11" t="str">
        <f aca="false">IF($C414="","",IF($M414="VAT 5%",0.05,IF($M414="VAT 8%",0.08,IF($M414="VAT 10%",0.1,0))))</f>
        <v/>
      </c>
      <c r="O414" s="10" t="str">
        <f aca="false">IF($C414="","",$L414*$N414)</f>
        <v/>
      </c>
      <c r="P414" s="10" t="str">
        <f aca="false">IF($C414="","",$L414+$O414)</f>
        <v/>
      </c>
      <c r="Q414" s="9"/>
      <c r="R414" s="10" t="str">
        <f aca="false">IF($C414="","",MAX(0,$P414-N($Q414)))</f>
        <v/>
      </c>
      <c r="S414" s="19" t="str">
        <f aca="false">IF(OR($C414="",$P414=0),"",IF(N($Q414)&lt;=0,"Chưa thanh toán",IF(N($Q414)&lt;$P414,"Thanh toán một phần","Đã thanh toán")))</f>
        <v/>
      </c>
      <c r="T414" s="10" t="str">
        <f aca="false">IF(OR($C414="",$J414=""),"",N($I414)*$J414)</f>
        <v/>
      </c>
      <c r="U414" s="10" t="str">
        <f aca="false">IF(OR($C414="",$T414=""),"",$L414-$T414)</f>
        <v/>
      </c>
      <c r="V414" s="11" t="str">
        <f aca="false">IF(OR($U414="",$L414=0),"",$U414/$L414)</f>
        <v/>
      </c>
      <c r="W414" s="8"/>
      <c r="X414" s="19" t="str">
        <f aca="false">IF($C414="","",IF(AND($H414="",N($I414)=0,N($K414)=0),"Dòng chỉ lưu thông tin khách (chưa có đơn); ",IF($B414="","Thiếu ngày đặt; ","")&amp;IF($H414="","Thiếu tên sản phẩm; ",IF($J414="","Sản phẩm chưa có trong BẢNG GIÁ GỐC; ",""))&amp;IF(N($I414)&lt;=0,"Thiếu số lượng; ","")&amp;IF(N($K414)&lt;=0,"Thiếu giá bán; ","")&amp;IF(AND($N414&gt;0,$F414=""),"Khách lấy VAT thiếu mã số thuế; ","")&amp;IF(N($Q414)&gt;$P414,"Đã thu vượt tổng phải thu; ","")&amp;IF(AND($L414&gt;0,$U414&lt;0),"CẢNH BÁO: ĐƠN NÀY ĐANG LỖ; ","")))</f>
        <v/>
      </c>
      <c r="Y414" s="16" t="str">
        <f aca="false">IF(AND($C414&lt;&gt;"",$R414&gt;0),COUNTIFS($C$6:$C414,"&lt;&gt;",$R$6:$R414,"&gt;0"),"")</f>
        <v/>
      </c>
      <c r="Z414" s="16" t="str">
        <f aca="false">IF(AND($H414&lt;&gt;"",N($N414)&gt;0),COUNTIFS($H$6:$H414,"&lt;&gt;",$N$6:$N414,"&gt;0"),"")</f>
        <v/>
      </c>
      <c r="AA414" s="16" t="str">
        <f aca="false">IF(AND($H414&lt;&gt;"",N($N414)=0),COUNTIFS($H$6:$H414,"&lt;&gt;",$N$6:$N414,"&lt;=0"),"")</f>
        <v/>
      </c>
      <c r="AB414" s="16" t="str">
        <f aca="false">IF($C414="","",IF(COUNTIF($C$6:$C414,$C414)&gt;1,"",MAX($AB$5:AB413)+1))</f>
        <v/>
      </c>
      <c r="AC414" s="16" t="str">
        <f aca="false">IF($H414="","",IF(COUNTIF($H$6:$H414,$H414)&gt;1,"",MAX($AC$5:AC413)+1))</f>
        <v/>
      </c>
    </row>
    <row r="415" customFormat="false" ht="15" hidden="false" customHeight="false" outlineLevel="0" collapsed="false">
      <c r="A415" s="16" t="str">
        <f aca="false">IF($C415="","",COUNTA($C$6:$C415))</f>
        <v/>
      </c>
      <c r="B415" s="17"/>
      <c r="C415" s="8"/>
      <c r="D415" s="8"/>
      <c r="E415" s="8"/>
      <c r="F415" s="8"/>
      <c r="G415" s="8"/>
      <c r="H415" s="8"/>
      <c r="I415" s="9"/>
      <c r="J415" s="10" t="str">
        <f aca="false">IF($H415="","",IFERROR(VLOOKUP($H415,'BẢNG GIÁ GỐC'!$A$5:$D$204,3,FALSE()),""))</f>
        <v/>
      </c>
      <c r="K415" s="9"/>
      <c r="L415" s="10" t="str">
        <f aca="false">IF($C415="","",N($I415)*N($K415))</f>
        <v/>
      </c>
      <c r="M415" s="8"/>
      <c r="N415" s="11" t="str">
        <f aca="false">IF($C415="","",IF($M415="VAT 5%",0.05,IF($M415="VAT 8%",0.08,IF($M415="VAT 10%",0.1,0))))</f>
        <v/>
      </c>
      <c r="O415" s="10" t="str">
        <f aca="false">IF($C415="","",$L415*$N415)</f>
        <v/>
      </c>
      <c r="P415" s="10" t="str">
        <f aca="false">IF($C415="","",$L415+$O415)</f>
        <v/>
      </c>
      <c r="Q415" s="9"/>
      <c r="R415" s="10" t="str">
        <f aca="false">IF($C415="","",MAX(0,$P415-N($Q415)))</f>
        <v/>
      </c>
      <c r="S415" s="19" t="str">
        <f aca="false">IF(OR($C415="",$P415=0),"",IF(N($Q415)&lt;=0,"Chưa thanh toán",IF(N($Q415)&lt;$P415,"Thanh toán một phần","Đã thanh toán")))</f>
        <v/>
      </c>
      <c r="T415" s="10" t="str">
        <f aca="false">IF(OR($C415="",$J415=""),"",N($I415)*$J415)</f>
        <v/>
      </c>
      <c r="U415" s="10" t="str">
        <f aca="false">IF(OR($C415="",$T415=""),"",$L415-$T415)</f>
        <v/>
      </c>
      <c r="V415" s="11" t="str">
        <f aca="false">IF(OR($U415="",$L415=0),"",$U415/$L415)</f>
        <v/>
      </c>
      <c r="W415" s="8"/>
      <c r="X415" s="19" t="str">
        <f aca="false">IF($C415="","",IF(AND($H415="",N($I415)=0,N($K415)=0),"Dòng chỉ lưu thông tin khách (chưa có đơn); ",IF($B415="","Thiếu ngày đặt; ","")&amp;IF($H415="","Thiếu tên sản phẩm; ",IF($J415="","Sản phẩm chưa có trong BẢNG GIÁ GỐC; ",""))&amp;IF(N($I415)&lt;=0,"Thiếu số lượng; ","")&amp;IF(N($K415)&lt;=0,"Thiếu giá bán; ","")&amp;IF(AND($N415&gt;0,$F415=""),"Khách lấy VAT thiếu mã số thuế; ","")&amp;IF(N($Q415)&gt;$P415,"Đã thu vượt tổng phải thu; ","")&amp;IF(AND($L415&gt;0,$U415&lt;0),"CẢNH BÁO: ĐƠN NÀY ĐANG LỖ; ","")))</f>
        <v/>
      </c>
      <c r="Y415" s="16" t="str">
        <f aca="false">IF(AND($C415&lt;&gt;"",$R415&gt;0),COUNTIFS($C$6:$C415,"&lt;&gt;",$R$6:$R415,"&gt;0"),"")</f>
        <v/>
      </c>
      <c r="Z415" s="16" t="str">
        <f aca="false">IF(AND($H415&lt;&gt;"",N($N415)&gt;0),COUNTIFS($H$6:$H415,"&lt;&gt;",$N$6:$N415,"&gt;0"),"")</f>
        <v/>
      </c>
      <c r="AA415" s="16" t="str">
        <f aca="false">IF(AND($H415&lt;&gt;"",N($N415)=0),COUNTIFS($H$6:$H415,"&lt;&gt;",$N$6:$N415,"&lt;=0"),"")</f>
        <v/>
      </c>
      <c r="AB415" s="16" t="str">
        <f aca="false">IF($C415="","",IF(COUNTIF($C$6:$C415,$C415)&gt;1,"",MAX($AB$5:AB414)+1))</f>
        <v/>
      </c>
      <c r="AC415" s="16" t="str">
        <f aca="false">IF($H415="","",IF(COUNTIF($H$6:$H415,$H415)&gt;1,"",MAX($AC$5:AC414)+1))</f>
        <v/>
      </c>
    </row>
    <row r="416" customFormat="false" ht="15" hidden="false" customHeight="false" outlineLevel="0" collapsed="false">
      <c r="A416" s="16" t="str">
        <f aca="false">IF($C416="","",COUNTA($C$6:$C416))</f>
        <v/>
      </c>
      <c r="B416" s="17"/>
      <c r="C416" s="8"/>
      <c r="D416" s="8"/>
      <c r="E416" s="8"/>
      <c r="F416" s="8"/>
      <c r="G416" s="8"/>
      <c r="H416" s="8"/>
      <c r="I416" s="9"/>
      <c r="J416" s="10" t="str">
        <f aca="false">IF($H416="","",IFERROR(VLOOKUP($H416,'BẢNG GIÁ GỐC'!$A$5:$D$204,3,FALSE()),""))</f>
        <v/>
      </c>
      <c r="K416" s="9"/>
      <c r="L416" s="10" t="str">
        <f aca="false">IF($C416="","",N($I416)*N($K416))</f>
        <v/>
      </c>
      <c r="M416" s="8"/>
      <c r="N416" s="11" t="str">
        <f aca="false">IF($C416="","",IF($M416="VAT 5%",0.05,IF($M416="VAT 8%",0.08,IF($M416="VAT 10%",0.1,0))))</f>
        <v/>
      </c>
      <c r="O416" s="10" t="str">
        <f aca="false">IF($C416="","",$L416*$N416)</f>
        <v/>
      </c>
      <c r="P416" s="10" t="str">
        <f aca="false">IF($C416="","",$L416+$O416)</f>
        <v/>
      </c>
      <c r="Q416" s="9"/>
      <c r="R416" s="10" t="str">
        <f aca="false">IF($C416="","",MAX(0,$P416-N($Q416)))</f>
        <v/>
      </c>
      <c r="S416" s="19" t="str">
        <f aca="false">IF(OR($C416="",$P416=0),"",IF(N($Q416)&lt;=0,"Chưa thanh toán",IF(N($Q416)&lt;$P416,"Thanh toán một phần","Đã thanh toán")))</f>
        <v/>
      </c>
      <c r="T416" s="10" t="str">
        <f aca="false">IF(OR($C416="",$J416=""),"",N($I416)*$J416)</f>
        <v/>
      </c>
      <c r="U416" s="10" t="str">
        <f aca="false">IF(OR($C416="",$T416=""),"",$L416-$T416)</f>
        <v/>
      </c>
      <c r="V416" s="11" t="str">
        <f aca="false">IF(OR($U416="",$L416=0),"",$U416/$L416)</f>
        <v/>
      </c>
      <c r="W416" s="8"/>
      <c r="X416" s="19" t="str">
        <f aca="false">IF($C416="","",IF(AND($H416="",N($I416)=0,N($K416)=0),"Dòng chỉ lưu thông tin khách (chưa có đơn); ",IF($B416="","Thiếu ngày đặt; ","")&amp;IF($H416="","Thiếu tên sản phẩm; ",IF($J416="","Sản phẩm chưa có trong BẢNG GIÁ GỐC; ",""))&amp;IF(N($I416)&lt;=0,"Thiếu số lượng; ","")&amp;IF(N($K416)&lt;=0,"Thiếu giá bán; ","")&amp;IF(AND($N416&gt;0,$F416=""),"Khách lấy VAT thiếu mã số thuế; ","")&amp;IF(N($Q416)&gt;$P416,"Đã thu vượt tổng phải thu; ","")&amp;IF(AND($L416&gt;0,$U416&lt;0),"CẢNH BÁO: ĐƠN NÀY ĐANG LỖ; ","")))</f>
        <v/>
      </c>
      <c r="Y416" s="16" t="str">
        <f aca="false">IF(AND($C416&lt;&gt;"",$R416&gt;0),COUNTIFS($C$6:$C416,"&lt;&gt;",$R$6:$R416,"&gt;0"),"")</f>
        <v/>
      </c>
      <c r="Z416" s="16" t="str">
        <f aca="false">IF(AND($H416&lt;&gt;"",N($N416)&gt;0),COUNTIFS($H$6:$H416,"&lt;&gt;",$N$6:$N416,"&gt;0"),"")</f>
        <v/>
      </c>
      <c r="AA416" s="16" t="str">
        <f aca="false">IF(AND($H416&lt;&gt;"",N($N416)=0),COUNTIFS($H$6:$H416,"&lt;&gt;",$N$6:$N416,"&lt;=0"),"")</f>
        <v/>
      </c>
      <c r="AB416" s="16" t="str">
        <f aca="false">IF($C416="","",IF(COUNTIF($C$6:$C416,$C416)&gt;1,"",MAX($AB$5:AB415)+1))</f>
        <v/>
      </c>
      <c r="AC416" s="16" t="str">
        <f aca="false">IF($H416="","",IF(COUNTIF($H$6:$H416,$H416)&gt;1,"",MAX($AC$5:AC415)+1))</f>
        <v/>
      </c>
    </row>
    <row r="417" customFormat="false" ht="15" hidden="false" customHeight="false" outlineLevel="0" collapsed="false">
      <c r="A417" s="16" t="str">
        <f aca="false">IF($C417="","",COUNTA($C$6:$C417))</f>
        <v/>
      </c>
      <c r="B417" s="17"/>
      <c r="C417" s="8"/>
      <c r="D417" s="8"/>
      <c r="E417" s="8"/>
      <c r="F417" s="8"/>
      <c r="G417" s="8"/>
      <c r="H417" s="8"/>
      <c r="I417" s="9"/>
      <c r="J417" s="10" t="str">
        <f aca="false">IF($H417="","",IFERROR(VLOOKUP($H417,'BẢNG GIÁ GỐC'!$A$5:$D$204,3,FALSE()),""))</f>
        <v/>
      </c>
      <c r="K417" s="9"/>
      <c r="L417" s="10" t="str">
        <f aca="false">IF($C417="","",N($I417)*N($K417))</f>
        <v/>
      </c>
      <c r="M417" s="8"/>
      <c r="N417" s="11" t="str">
        <f aca="false">IF($C417="","",IF($M417="VAT 5%",0.05,IF($M417="VAT 8%",0.08,IF($M417="VAT 10%",0.1,0))))</f>
        <v/>
      </c>
      <c r="O417" s="10" t="str">
        <f aca="false">IF($C417="","",$L417*$N417)</f>
        <v/>
      </c>
      <c r="P417" s="10" t="str">
        <f aca="false">IF($C417="","",$L417+$O417)</f>
        <v/>
      </c>
      <c r="Q417" s="9"/>
      <c r="R417" s="10" t="str">
        <f aca="false">IF($C417="","",MAX(0,$P417-N($Q417)))</f>
        <v/>
      </c>
      <c r="S417" s="19" t="str">
        <f aca="false">IF(OR($C417="",$P417=0),"",IF(N($Q417)&lt;=0,"Chưa thanh toán",IF(N($Q417)&lt;$P417,"Thanh toán một phần","Đã thanh toán")))</f>
        <v/>
      </c>
      <c r="T417" s="10" t="str">
        <f aca="false">IF(OR($C417="",$J417=""),"",N($I417)*$J417)</f>
        <v/>
      </c>
      <c r="U417" s="10" t="str">
        <f aca="false">IF(OR($C417="",$T417=""),"",$L417-$T417)</f>
        <v/>
      </c>
      <c r="V417" s="11" t="str">
        <f aca="false">IF(OR($U417="",$L417=0),"",$U417/$L417)</f>
        <v/>
      </c>
      <c r="W417" s="8"/>
      <c r="X417" s="19" t="str">
        <f aca="false">IF($C417="","",IF(AND($H417="",N($I417)=0,N($K417)=0),"Dòng chỉ lưu thông tin khách (chưa có đơn); ",IF($B417="","Thiếu ngày đặt; ","")&amp;IF($H417="","Thiếu tên sản phẩm; ",IF($J417="","Sản phẩm chưa có trong BẢNG GIÁ GỐC; ",""))&amp;IF(N($I417)&lt;=0,"Thiếu số lượng; ","")&amp;IF(N($K417)&lt;=0,"Thiếu giá bán; ","")&amp;IF(AND($N417&gt;0,$F417=""),"Khách lấy VAT thiếu mã số thuế; ","")&amp;IF(N($Q417)&gt;$P417,"Đã thu vượt tổng phải thu; ","")&amp;IF(AND($L417&gt;0,$U417&lt;0),"CẢNH BÁO: ĐƠN NÀY ĐANG LỖ; ","")))</f>
        <v/>
      </c>
      <c r="Y417" s="16" t="str">
        <f aca="false">IF(AND($C417&lt;&gt;"",$R417&gt;0),COUNTIFS($C$6:$C417,"&lt;&gt;",$R$6:$R417,"&gt;0"),"")</f>
        <v/>
      </c>
      <c r="Z417" s="16" t="str">
        <f aca="false">IF(AND($H417&lt;&gt;"",N($N417)&gt;0),COUNTIFS($H$6:$H417,"&lt;&gt;",$N$6:$N417,"&gt;0"),"")</f>
        <v/>
      </c>
      <c r="AA417" s="16" t="str">
        <f aca="false">IF(AND($H417&lt;&gt;"",N($N417)=0),COUNTIFS($H$6:$H417,"&lt;&gt;",$N$6:$N417,"&lt;=0"),"")</f>
        <v/>
      </c>
      <c r="AB417" s="16" t="str">
        <f aca="false">IF($C417="","",IF(COUNTIF($C$6:$C417,$C417)&gt;1,"",MAX($AB$5:AB416)+1))</f>
        <v/>
      </c>
      <c r="AC417" s="16" t="str">
        <f aca="false">IF($H417="","",IF(COUNTIF($H$6:$H417,$H417)&gt;1,"",MAX($AC$5:AC416)+1))</f>
        <v/>
      </c>
    </row>
    <row r="418" customFormat="false" ht="15" hidden="false" customHeight="false" outlineLevel="0" collapsed="false">
      <c r="A418" s="16" t="str">
        <f aca="false">IF($C418="","",COUNTA($C$6:$C418))</f>
        <v/>
      </c>
      <c r="B418" s="17"/>
      <c r="C418" s="8"/>
      <c r="D418" s="8"/>
      <c r="E418" s="8"/>
      <c r="F418" s="8"/>
      <c r="G418" s="8"/>
      <c r="H418" s="8"/>
      <c r="I418" s="9"/>
      <c r="J418" s="10" t="str">
        <f aca="false">IF($H418="","",IFERROR(VLOOKUP($H418,'BẢNG GIÁ GỐC'!$A$5:$D$204,3,FALSE()),""))</f>
        <v/>
      </c>
      <c r="K418" s="9"/>
      <c r="L418" s="10" t="str">
        <f aca="false">IF($C418="","",N($I418)*N($K418))</f>
        <v/>
      </c>
      <c r="M418" s="8"/>
      <c r="N418" s="11" t="str">
        <f aca="false">IF($C418="","",IF($M418="VAT 5%",0.05,IF($M418="VAT 8%",0.08,IF($M418="VAT 10%",0.1,0))))</f>
        <v/>
      </c>
      <c r="O418" s="10" t="str">
        <f aca="false">IF($C418="","",$L418*$N418)</f>
        <v/>
      </c>
      <c r="P418" s="10" t="str">
        <f aca="false">IF($C418="","",$L418+$O418)</f>
        <v/>
      </c>
      <c r="Q418" s="9"/>
      <c r="R418" s="10" t="str">
        <f aca="false">IF($C418="","",MAX(0,$P418-N($Q418)))</f>
        <v/>
      </c>
      <c r="S418" s="19" t="str">
        <f aca="false">IF(OR($C418="",$P418=0),"",IF(N($Q418)&lt;=0,"Chưa thanh toán",IF(N($Q418)&lt;$P418,"Thanh toán một phần","Đã thanh toán")))</f>
        <v/>
      </c>
      <c r="T418" s="10" t="str">
        <f aca="false">IF(OR($C418="",$J418=""),"",N($I418)*$J418)</f>
        <v/>
      </c>
      <c r="U418" s="10" t="str">
        <f aca="false">IF(OR($C418="",$T418=""),"",$L418-$T418)</f>
        <v/>
      </c>
      <c r="V418" s="11" t="str">
        <f aca="false">IF(OR($U418="",$L418=0),"",$U418/$L418)</f>
        <v/>
      </c>
      <c r="W418" s="8"/>
      <c r="X418" s="19" t="str">
        <f aca="false">IF($C418="","",IF(AND($H418="",N($I418)=0,N($K418)=0),"Dòng chỉ lưu thông tin khách (chưa có đơn); ",IF($B418="","Thiếu ngày đặt; ","")&amp;IF($H418="","Thiếu tên sản phẩm; ",IF($J418="","Sản phẩm chưa có trong BẢNG GIÁ GỐC; ",""))&amp;IF(N($I418)&lt;=0,"Thiếu số lượng; ","")&amp;IF(N($K418)&lt;=0,"Thiếu giá bán; ","")&amp;IF(AND($N418&gt;0,$F418=""),"Khách lấy VAT thiếu mã số thuế; ","")&amp;IF(N($Q418)&gt;$P418,"Đã thu vượt tổng phải thu; ","")&amp;IF(AND($L418&gt;0,$U418&lt;0),"CẢNH BÁO: ĐƠN NÀY ĐANG LỖ; ","")))</f>
        <v/>
      </c>
      <c r="Y418" s="16" t="str">
        <f aca="false">IF(AND($C418&lt;&gt;"",$R418&gt;0),COUNTIFS($C$6:$C418,"&lt;&gt;",$R$6:$R418,"&gt;0"),"")</f>
        <v/>
      </c>
      <c r="Z418" s="16" t="str">
        <f aca="false">IF(AND($H418&lt;&gt;"",N($N418)&gt;0),COUNTIFS($H$6:$H418,"&lt;&gt;",$N$6:$N418,"&gt;0"),"")</f>
        <v/>
      </c>
      <c r="AA418" s="16" t="str">
        <f aca="false">IF(AND($H418&lt;&gt;"",N($N418)=0),COUNTIFS($H$6:$H418,"&lt;&gt;",$N$6:$N418,"&lt;=0"),"")</f>
        <v/>
      </c>
      <c r="AB418" s="16" t="str">
        <f aca="false">IF($C418="","",IF(COUNTIF($C$6:$C418,$C418)&gt;1,"",MAX($AB$5:AB417)+1))</f>
        <v/>
      </c>
      <c r="AC418" s="16" t="str">
        <f aca="false">IF($H418="","",IF(COUNTIF($H$6:$H418,$H418)&gt;1,"",MAX($AC$5:AC417)+1))</f>
        <v/>
      </c>
    </row>
    <row r="419" customFormat="false" ht="15" hidden="false" customHeight="false" outlineLevel="0" collapsed="false">
      <c r="A419" s="16" t="str">
        <f aca="false">IF($C419="","",COUNTA($C$6:$C419))</f>
        <v/>
      </c>
      <c r="B419" s="17"/>
      <c r="C419" s="8"/>
      <c r="D419" s="8"/>
      <c r="E419" s="8"/>
      <c r="F419" s="8"/>
      <c r="G419" s="8"/>
      <c r="H419" s="8"/>
      <c r="I419" s="9"/>
      <c r="J419" s="10" t="str">
        <f aca="false">IF($H419="","",IFERROR(VLOOKUP($H419,'BẢNG GIÁ GỐC'!$A$5:$D$204,3,FALSE()),""))</f>
        <v/>
      </c>
      <c r="K419" s="9"/>
      <c r="L419" s="10" t="str">
        <f aca="false">IF($C419="","",N($I419)*N($K419))</f>
        <v/>
      </c>
      <c r="M419" s="8"/>
      <c r="N419" s="11" t="str">
        <f aca="false">IF($C419="","",IF($M419="VAT 5%",0.05,IF($M419="VAT 8%",0.08,IF($M419="VAT 10%",0.1,0))))</f>
        <v/>
      </c>
      <c r="O419" s="10" t="str">
        <f aca="false">IF($C419="","",$L419*$N419)</f>
        <v/>
      </c>
      <c r="P419" s="10" t="str">
        <f aca="false">IF($C419="","",$L419+$O419)</f>
        <v/>
      </c>
      <c r="Q419" s="9"/>
      <c r="R419" s="10" t="str">
        <f aca="false">IF($C419="","",MAX(0,$P419-N($Q419)))</f>
        <v/>
      </c>
      <c r="S419" s="19" t="str">
        <f aca="false">IF(OR($C419="",$P419=0),"",IF(N($Q419)&lt;=0,"Chưa thanh toán",IF(N($Q419)&lt;$P419,"Thanh toán một phần","Đã thanh toán")))</f>
        <v/>
      </c>
      <c r="T419" s="10" t="str">
        <f aca="false">IF(OR($C419="",$J419=""),"",N($I419)*$J419)</f>
        <v/>
      </c>
      <c r="U419" s="10" t="str">
        <f aca="false">IF(OR($C419="",$T419=""),"",$L419-$T419)</f>
        <v/>
      </c>
      <c r="V419" s="11" t="str">
        <f aca="false">IF(OR($U419="",$L419=0),"",$U419/$L419)</f>
        <v/>
      </c>
      <c r="W419" s="8"/>
      <c r="X419" s="19" t="str">
        <f aca="false">IF($C419="","",IF(AND($H419="",N($I419)=0,N($K419)=0),"Dòng chỉ lưu thông tin khách (chưa có đơn); ",IF($B419="","Thiếu ngày đặt; ","")&amp;IF($H419="","Thiếu tên sản phẩm; ",IF($J419="","Sản phẩm chưa có trong BẢNG GIÁ GỐC; ",""))&amp;IF(N($I419)&lt;=0,"Thiếu số lượng; ","")&amp;IF(N($K419)&lt;=0,"Thiếu giá bán; ","")&amp;IF(AND($N419&gt;0,$F419=""),"Khách lấy VAT thiếu mã số thuế; ","")&amp;IF(N($Q419)&gt;$P419,"Đã thu vượt tổng phải thu; ","")&amp;IF(AND($L419&gt;0,$U419&lt;0),"CẢNH BÁO: ĐƠN NÀY ĐANG LỖ; ","")))</f>
        <v/>
      </c>
      <c r="Y419" s="16" t="str">
        <f aca="false">IF(AND($C419&lt;&gt;"",$R419&gt;0),COUNTIFS($C$6:$C419,"&lt;&gt;",$R$6:$R419,"&gt;0"),"")</f>
        <v/>
      </c>
      <c r="Z419" s="16" t="str">
        <f aca="false">IF(AND($H419&lt;&gt;"",N($N419)&gt;0),COUNTIFS($H$6:$H419,"&lt;&gt;",$N$6:$N419,"&gt;0"),"")</f>
        <v/>
      </c>
      <c r="AA419" s="16" t="str">
        <f aca="false">IF(AND($H419&lt;&gt;"",N($N419)=0),COUNTIFS($H$6:$H419,"&lt;&gt;",$N$6:$N419,"&lt;=0"),"")</f>
        <v/>
      </c>
      <c r="AB419" s="16" t="str">
        <f aca="false">IF($C419="","",IF(COUNTIF($C$6:$C419,$C419)&gt;1,"",MAX($AB$5:AB418)+1))</f>
        <v/>
      </c>
      <c r="AC419" s="16" t="str">
        <f aca="false">IF($H419="","",IF(COUNTIF($H$6:$H419,$H419)&gt;1,"",MAX($AC$5:AC418)+1))</f>
        <v/>
      </c>
    </row>
    <row r="420" customFormat="false" ht="15" hidden="false" customHeight="false" outlineLevel="0" collapsed="false">
      <c r="A420" s="16" t="str">
        <f aca="false">IF($C420="","",COUNTA($C$6:$C420))</f>
        <v/>
      </c>
      <c r="B420" s="17"/>
      <c r="C420" s="8"/>
      <c r="D420" s="8"/>
      <c r="E420" s="8"/>
      <c r="F420" s="8"/>
      <c r="G420" s="8"/>
      <c r="H420" s="8"/>
      <c r="I420" s="9"/>
      <c r="J420" s="10" t="str">
        <f aca="false">IF($H420="","",IFERROR(VLOOKUP($H420,'BẢNG GIÁ GỐC'!$A$5:$D$204,3,FALSE()),""))</f>
        <v/>
      </c>
      <c r="K420" s="9"/>
      <c r="L420" s="10" t="str">
        <f aca="false">IF($C420="","",N($I420)*N($K420))</f>
        <v/>
      </c>
      <c r="M420" s="8"/>
      <c r="N420" s="11" t="str">
        <f aca="false">IF($C420="","",IF($M420="VAT 5%",0.05,IF($M420="VAT 8%",0.08,IF($M420="VAT 10%",0.1,0))))</f>
        <v/>
      </c>
      <c r="O420" s="10" t="str">
        <f aca="false">IF($C420="","",$L420*$N420)</f>
        <v/>
      </c>
      <c r="P420" s="10" t="str">
        <f aca="false">IF($C420="","",$L420+$O420)</f>
        <v/>
      </c>
      <c r="Q420" s="9"/>
      <c r="R420" s="10" t="str">
        <f aca="false">IF($C420="","",MAX(0,$P420-N($Q420)))</f>
        <v/>
      </c>
      <c r="S420" s="19" t="str">
        <f aca="false">IF(OR($C420="",$P420=0),"",IF(N($Q420)&lt;=0,"Chưa thanh toán",IF(N($Q420)&lt;$P420,"Thanh toán một phần","Đã thanh toán")))</f>
        <v/>
      </c>
      <c r="T420" s="10" t="str">
        <f aca="false">IF(OR($C420="",$J420=""),"",N($I420)*$J420)</f>
        <v/>
      </c>
      <c r="U420" s="10" t="str">
        <f aca="false">IF(OR($C420="",$T420=""),"",$L420-$T420)</f>
        <v/>
      </c>
      <c r="V420" s="11" t="str">
        <f aca="false">IF(OR($U420="",$L420=0),"",$U420/$L420)</f>
        <v/>
      </c>
      <c r="W420" s="8"/>
      <c r="X420" s="19" t="str">
        <f aca="false">IF($C420="","",IF(AND($H420="",N($I420)=0,N($K420)=0),"Dòng chỉ lưu thông tin khách (chưa có đơn); ",IF($B420="","Thiếu ngày đặt; ","")&amp;IF($H420="","Thiếu tên sản phẩm; ",IF($J420="","Sản phẩm chưa có trong BẢNG GIÁ GỐC; ",""))&amp;IF(N($I420)&lt;=0,"Thiếu số lượng; ","")&amp;IF(N($K420)&lt;=0,"Thiếu giá bán; ","")&amp;IF(AND($N420&gt;0,$F420=""),"Khách lấy VAT thiếu mã số thuế; ","")&amp;IF(N($Q420)&gt;$P420,"Đã thu vượt tổng phải thu; ","")&amp;IF(AND($L420&gt;0,$U420&lt;0),"CẢNH BÁO: ĐƠN NÀY ĐANG LỖ; ","")))</f>
        <v/>
      </c>
      <c r="Y420" s="16" t="str">
        <f aca="false">IF(AND($C420&lt;&gt;"",$R420&gt;0),COUNTIFS($C$6:$C420,"&lt;&gt;",$R$6:$R420,"&gt;0"),"")</f>
        <v/>
      </c>
      <c r="Z420" s="16" t="str">
        <f aca="false">IF(AND($H420&lt;&gt;"",N($N420)&gt;0),COUNTIFS($H$6:$H420,"&lt;&gt;",$N$6:$N420,"&gt;0"),"")</f>
        <v/>
      </c>
      <c r="AA420" s="16" t="str">
        <f aca="false">IF(AND($H420&lt;&gt;"",N($N420)=0),COUNTIFS($H$6:$H420,"&lt;&gt;",$N$6:$N420,"&lt;=0"),"")</f>
        <v/>
      </c>
      <c r="AB420" s="16" t="str">
        <f aca="false">IF($C420="","",IF(COUNTIF($C$6:$C420,$C420)&gt;1,"",MAX($AB$5:AB419)+1))</f>
        <v/>
      </c>
      <c r="AC420" s="16" t="str">
        <f aca="false">IF($H420="","",IF(COUNTIF($H$6:$H420,$H420)&gt;1,"",MAX($AC$5:AC419)+1))</f>
        <v/>
      </c>
    </row>
    <row r="421" customFormat="false" ht="15" hidden="false" customHeight="false" outlineLevel="0" collapsed="false">
      <c r="A421" s="16" t="str">
        <f aca="false">IF($C421="","",COUNTA($C$6:$C421))</f>
        <v/>
      </c>
      <c r="B421" s="17"/>
      <c r="C421" s="8"/>
      <c r="D421" s="8"/>
      <c r="E421" s="8"/>
      <c r="F421" s="8"/>
      <c r="G421" s="8"/>
      <c r="H421" s="8"/>
      <c r="I421" s="9"/>
      <c r="J421" s="10" t="str">
        <f aca="false">IF($H421="","",IFERROR(VLOOKUP($H421,'BẢNG GIÁ GỐC'!$A$5:$D$204,3,FALSE()),""))</f>
        <v/>
      </c>
      <c r="K421" s="9"/>
      <c r="L421" s="10" t="str">
        <f aca="false">IF($C421="","",N($I421)*N($K421))</f>
        <v/>
      </c>
      <c r="M421" s="8"/>
      <c r="N421" s="11" t="str">
        <f aca="false">IF($C421="","",IF($M421="VAT 5%",0.05,IF($M421="VAT 8%",0.08,IF($M421="VAT 10%",0.1,0))))</f>
        <v/>
      </c>
      <c r="O421" s="10" t="str">
        <f aca="false">IF($C421="","",$L421*$N421)</f>
        <v/>
      </c>
      <c r="P421" s="10" t="str">
        <f aca="false">IF($C421="","",$L421+$O421)</f>
        <v/>
      </c>
      <c r="Q421" s="9"/>
      <c r="R421" s="10" t="str">
        <f aca="false">IF($C421="","",MAX(0,$P421-N($Q421)))</f>
        <v/>
      </c>
      <c r="S421" s="19" t="str">
        <f aca="false">IF(OR($C421="",$P421=0),"",IF(N($Q421)&lt;=0,"Chưa thanh toán",IF(N($Q421)&lt;$P421,"Thanh toán một phần","Đã thanh toán")))</f>
        <v/>
      </c>
      <c r="T421" s="10" t="str">
        <f aca="false">IF(OR($C421="",$J421=""),"",N($I421)*$J421)</f>
        <v/>
      </c>
      <c r="U421" s="10" t="str">
        <f aca="false">IF(OR($C421="",$T421=""),"",$L421-$T421)</f>
        <v/>
      </c>
      <c r="V421" s="11" t="str">
        <f aca="false">IF(OR($U421="",$L421=0),"",$U421/$L421)</f>
        <v/>
      </c>
      <c r="W421" s="8"/>
      <c r="X421" s="19" t="str">
        <f aca="false">IF($C421="","",IF(AND($H421="",N($I421)=0,N($K421)=0),"Dòng chỉ lưu thông tin khách (chưa có đơn); ",IF($B421="","Thiếu ngày đặt; ","")&amp;IF($H421="","Thiếu tên sản phẩm; ",IF($J421="","Sản phẩm chưa có trong BẢNG GIÁ GỐC; ",""))&amp;IF(N($I421)&lt;=0,"Thiếu số lượng; ","")&amp;IF(N($K421)&lt;=0,"Thiếu giá bán; ","")&amp;IF(AND($N421&gt;0,$F421=""),"Khách lấy VAT thiếu mã số thuế; ","")&amp;IF(N($Q421)&gt;$P421,"Đã thu vượt tổng phải thu; ","")&amp;IF(AND($L421&gt;0,$U421&lt;0),"CẢNH BÁO: ĐƠN NÀY ĐANG LỖ; ","")))</f>
        <v/>
      </c>
      <c r="Y421" s="16" t="str">
        <f aca="false">IF(AND($C421&lt;&gt;"",$R421&gt;0),COUNTIFS($C$6:$C421,"&lt;&gt;",$R$6:$R421,"&gt;0"),"")</f>
        <v/>
      </c>
      <c r="Z421" s="16" t="str">
        <f aca="false">IF(AND($H421&lt;&gt;"",N($N421)&gt;0),COUNTIFS($H$6:$H421,"&lt;&gt;",$N$6:$N421,"&gt;0"),"")</f>
        <v/>
      </c>
      <c r="AA421" s="16" t="str">
        <f aca="false">IF(AND($H421&lt;&gt;"",N($N421)=0),COUNTIFS($H$6:$H421,"&lt;&gt;",$N$6:$N421,"&lt;=0"),"")</f>
        <v/>
      </c>
      <c r="AB421" s="16" t="str">
        <f aca="false">IF($C421="","",IF(COUNTIF($C$6:$C421,$C421)&gt;1,"",MAX($AB$5:AB420)+1))</f>
        <v/>
      </c>
      <c r="AC421" s="16" t="str">
        <f aca="false">IF($H421="","",IF(COUNTIF($H$6:$H421,$H421)&gt;1,"",MAX($AC$5:AC420)+1))</f>
        <v/>
      </c>
    </row>
    <row r="422" customFormat="false" ht="15" hidden="false" customHeight="false" outlineLevel="0" collapsed="false">
      <c r="A422" s="16" t="str">
        <f aca="false">IF($C422="","",COUNTA($C$6:$C422))</f>
        <v/>
      </c>
      <c r="B422" s="17"/>
      <c r="C422" s="8"/>
      <c r="D422" s="8"/>
      <c r="E422" s="8"/>
      <c r="F422" s="8"/>
      <c r="G422" s="8"/>
      <c r="H422" s="8"/>
      <c r="I422" s="9"/>
      <c r="J422" s="10" t="str">
        <f aca="false">IF($H422="","",IFERROR(VLOOKUP($H422,'BẢNG GIÁ GỐC'!$A$5:$D$204,3,FALSE()),""))</f>
        <v/>
      </c>
      <c r="K422" s="9"/>
      <c r="L422" s="10" t="str">
        <f aca="false">IF($C422="","",N($I422)*N($K422))</f>
        <v/>
      </c>
      <c r="M422" s="8"/>
      <c r="N422" s="11" t="str">
        <f aca="false">IF($C422="","",IF($M422="VAT 5%",0.05,IF($M422="VAT 8%",0.08,IF($M422="VAT 10%",0.1,0))))</f>
        <v/>
      </c>
      <c r="O422" s="10" t="str">
        <f aca="false">IF($C422="","",$L422*$N422)</f>
        <v/>
      </c>
      <c r="P422" s="10" t="str">
        <f aca="false">IF($C422="","",$L422+$O422)</f>
        <v/>
      </c>
      <c r="Q422" s="9"/>
      <c r="R422" s="10" t="str">
        <f aca="false">IF($C422="","",MAX(0,$P422-N($Q422)))</f>
        <v/>
      </c>
      <c r="S422" s="19" t="str">
        <f aca="false">IF(OR($C422="",$P422=0),"",IF(N($Q422)&lt;=0,"Chưa thanh toán",IF(N($Q422)&lt;$P422,"Thanh toán một phần","Đã thanh toán")))</f>
        <v/>
      </c>
      <c r="T422" s="10" t="str">
        <f aca="false">IF(OR($C422="",$J422=""),"",N($I422)*$J422)</f>
        <v/>
      </c>
      <c r="U422" s="10" t="str">
        <f aca="false">IF(OR($C422="",$T422=""),"",$L422-$T422)</f>
        <v/>
      </c>
      <c r="V422" s="11" t="str">
        <f aca="false">IF(OR($U422="",$L422=0),"",$U422/$L422)</f>
        <v/>
      </c>
      <c r="W422" s="8"/>
      <c r="X422" s="19" t="str">
        <f aca="false">IF($C422="","",IF(AND($H422="",N($I422)=0,N($K422)=0),"Dòng chỉ lưu thông tin khách (chưa có đơn); ",IF($B422="","Thiếu ngày đặt; ","")&amp;IF($H422="","Thiếu tên sản phẩm; ",IF($J422="","Sản phẩm chưa có trong BẢNG GIÁ GỐC; ",""))&amp;IF(N($I422)&lt;=0,"Thiếu số lượng; ","")&amp;IF(N($K422)&lt;=0,"Thiếu giá bán; ","")&amp;IF(AND($N422&gt;0,$F422=""),"Khách lấy VAT thiếu mã số thuế; ","")&amp;IF(N($Q422)&gt;$P422,"Đã thu vượt tổng phải thu; ","")&amp;IF(AND($L422&gt;0,$U422&lt;0),"CẢNH BÁO: ĐƠN NÀY ĐANG LỖ; ","")))</f>
        <v/>
      </c>
      <c r="Y422" s="16" t="str">
        <f aca="false">IF(AND($C422&lt;&gt;"",$R422&gt;0),COUNTIFS($C$6:$C422,"&lt;&gt;",$R$6:$R422,"&gt;0"),"")</f>
        <v/>
      </c>
      <c r="Z422" s="16" t="str">
        <f aca="false">IF(AND($H422&lt;&gt;"",N($N422)&gt;0),COUNTIFS($H$6:$H422,"&lt;&gt;",$N$6:$N422,"&gt;0"),"")</f>
        <v/>
      </c>
      <c r="AA422" s="16" t="str">
        <f aca="false">IF(AND($H422&lt;&gt;"",N($N422)=0),COUNTIFS($H$6:$H422,"&lt;&gt;",$N$6:$N422,"&lt;=0"),"")</f>
        <v/>
      </c>
      <c r="AB422" s="16" t="str">
        <f aca="false">IF($C422="","",IF(COUNTIF($C$6:$C422,$C422)&gt;1,"",MAX($AB$5:AB421)+1))</f>
        <v/>
      </c>
      <c r="AC422" s="16" t="str">
        <f aca="false">IF($H422="","",IF(COUNTIF($H$6:$H422,$H422)&gt;1,"",MAX($AC$5:AC421)+1))</f>
        <v/>
      </c>
    </row>
    <row r="423" customFormat="false" ht="15" hidden="false" customHeight="false" outlineLevel="0" collapsed="false">
      <c r="A423" s="16" t="str">
        <f aca="false">IF($C423="","",COUNTA($C$6:$C423))</f>
        <v/>
      </c>
      <c r="B423" s="17"/>
      <c r="C423" s="8"/>
      <c r="D423" s="8"/>
      <c r="E423" s="8"/>
      <c r="F423" s="8"/>
      <c r="G423" s="8"/>
      <c r="H423" s="8"/>
      <c r="I423" s="9"/>
      <c r="J423" s="10" t="str">
        <f aca="false">IF($H423="","",IFERROR(VLOOKUP($H423,'BẢNG GIÁ GỐC'!$A$5:$D$204,3,FALSE()),""))</f>
        <v/>
      </c>
      <c r="K423" s="9"/>
      <c r="L423" s="10" t="str">
        <f aca="false">IF($C423="","",N($I423)*N($K423))</f>
        <v/>
      </c>
      <c r="M423" s="8"/>
      <c r="N423" s="11" t="str">
        <f aca="false">IF($C423="","",IF($M423="VAT 5%",0.05,IF($M423="VAT 8%",0.08,IF($M423="VAT 10%",0.1,0))))</f>
        <v/>
      </c>
      <c r="O423" s="10" t="str">
        <f aca="false">IF($C423="","",$L423*$N423)</f>
        <v/>
      </c>
      <c r="P423" s="10" t="str">
        <f aca="false">IF($C423="","",$L423+$O423)</f>
        <v/>
      </c>
      <c r="Q423" s="9"/>
      <c r="R423" s="10" t="str">
        <f aca="false">IF($C423="","",MAX(0,$P423-N($Q423)))</f>
        <v/>
      </c>
      <c r="S423" s="19" t="str">
        <f aca="false">IF(OR($C423="",$P423=0),"",IF(N($Q423)&lt;=0,"Chưa thanh toán",IF(N($Q423)&lt;$P423,"Thanh toán một phần","Đã thanh toán")))</f>
        <v/>
      </c>
      <c r="T423" s="10" t="str">
        <f aca="false">IF(OR($C423="",$J423=""),"",N($I423)*$J423)</f>
        <v/>
      </c>
      <c r="U423" s="10" t="str">
        <f aca="false">IF(OR($C423="",$T423=""),"",$L423-$T423)</f>
        <v/>
      </c>
      <c r="V423" s="11" t="str">
        <f aca="false">IF(OR($U423="",$L423=0),"",$U423/$L423)</f>
        <v/>
      </c>
      <c r="W423" s="8"/>
      <c r="X423" s="19" t="str">
        <f aca="false">IF($C423="","",IF(AND($H423="",N($I423)=0,N($K423)=0),"Dòng chỉ lưu thông tin khách (chưa có đơn); ",IF($B423="","Thiếu ngày đặt; ","")&amp;IF($H423="","Thiếu tên sản phẩm; ",IF($J423="","Sản phẩm chưa có trong BẢNG GIÁ GỐC; ",""))&amp;IF(N($I423)&lt;=0,"Thiếu số lượng; ","")&amp;IF(N($K423)&lt;=0,"Thiếu giá bán; ","")&amp;IF(AND($N423&gt;0,$F423=""),"Khách lấy VAT thiếu mã số thuế; ","")&amp;IF(N($Q423)&gt;$P423,"Đã thu vượt tổng phải thu; ","")&amp;IF(AND($L423&gt;0,$U423&lt;0),"CẢNH BÁO: ĐƠN NÀY ĐANG LỖ; ","")))</f>
        <v/>
      </c>
      <c r="Y423" s="16" t="str">
        <f aca="false">IF(AND($C423&lt;&gt;"",$R423&gt;0),COUNTIFS($C$6:$C423,"&lt;&gt;",$R$6:$R423,"&gt;0"),"")</f>
        <v/>
      </c>
      <c r="Z423" s="16" t="str">
        <f aca="false">IF(AND($H423&lt;&gt;"",N($N423)&gt;0),COUNTIFS($H$6:$H423,"&lt;&gt;",$N$6:$N423,"&gt;0"),"")</f>
        <v/>
      </c>
      <c r="AA423" s="16" t="str">
        <f aca="false">IF(AND($H423&lt;&gt;"",N($N423)=0),COUNTIFS($H$6:$H423,"&lt;&gt;",$N$6:$N423,"&lt;=0"),"")</f>
        <v/>
      </c>
      <c r="AB423" s="16" t="str">
        <f aca="false">IF($C423="","",IF(COUNTIF($C$6:$C423,$C423)&gt;1,"",MAX($AB$5:AB422)+1))</f>
        <v/>
      </c>
      <c r="AC423" s="16" t="str">
        <f aca="false">IF($H423="","",IF(COUNTIF($H$6:$H423,$H423)&gt;1,"",MAX($AC$5:AC422)+1))</f>
        <v/>
      </c>
    </row>
    <row r="424" customFormat="false" ht="15" hidden="false" customHeight="false" outlineLevel="0" collapsed="false">
      <c r="A424" s="16" t="str">
        <f aca="false">IF($C424="","",COUNTA($C$6:$C424))</f>
        <v/>
      </c>
      <c r="B424" s="17"/>
      <c r="C424" s="8"/>
      <c r="D424" s="8"/>
      <c r="E424" s="8"/>
      <c r="F424" s="8"/>
      <c r="G424" s="8"/>
      <c r="H424" s="8"/>
      <c r="I424" s="9"/>
      <c r="J424" s="10" t="str">
        <f aca="false">IF($H424="","",IFERROR(VLOOKUP($H424,'BẢNG GIÁ GỐC'!$A$5:$D$204,3,FALSE()),""))</f>
        <v/>
      </c>
      <c r="K424" s="9"/>
      <c r="L424" s="10" t="str">
        <f aca="false">IF($C424="","",N($I424)*N($K424))</f>
        <v/>
      </c>
      <c r="M424" s="8"/>
      <c r="N424" s="11" t="str">
        <f aca="false">IF($C424="","",IF($M424="VAT 5%",0.05,IF($M424="VAT 8%",0.08,IF($M424="VAT 10%",0.1,0))))</f>
        <v/>
      </c>
      <c r="O424" s="10" t="str">
        <f aca="false">IF($C424="","",$L424*$N424)</f>
        <v/>
      </c>
      <c r="P424" s="10" t="str">
        <f aca="false">IF($C424="","",$L424+$O424)</f>
        <v/>
      </c>
      <c r="Q424" s="9"/>
      <c r="R424" s="10" t="str">
        <f aca="false">IF($C424="","",MAX(0,$P424-N($Q424)))</f>
        <v/>
      </c>
      <c r="S424" s="19" t="str">
        <f aca="false">IF(OR($C424="",$P424=0),"",IF(N($Q424)&lt;=0,"Chưa thanh toán",IF(N($Q424)&lt;$P424,"Thanh toán một phần","Đã thanh toán")))</f>
        <v/>
      </c>
      <c r="T424" s="10" t="str">
        <f aca="false">IF(OR($C424="",$J424=""),"",N($I424)*$J424)</f>
        <v/>
      </c>
      <c r="U424" s="10" t="str">
        <f aca="false">IF(OR($C424="",$T424=""),"",$L424-$T424)</f>
        <v/>
      </c>
      <c r="V424" s="11" t="str">
        <f aca="false">IF(OR($U424="",$L424=0),"",$U424/$L424)</f>
        <v/>
      </c>
      <c r="W424" s="8"/>
      <c r="X424" s="19" t="str">
        <f aca="false">IF($C424="","",IF(AND($H424="",N($I424)=0,N($K424)=0),"Dòng chỉ lưu thông tin khách (chưa có đơn); ",IF($B424="","Thiếu ngày đặt; ","")&amp;IF($H424="","Thiếu tên sản phẩm; ",IF($J424="","Sản phẩm chưa có trong BẢNG GIÁ GỐC; ",""))&amp;IF(N($I424)&lt;=0,"Thiếu số lượng; ","")&amp;IF(N($K424)&lt;=0,"Thiếu giá bán; ","")&amp;IF(AND($N424&gt;0,$F424=""),"Khách lấy VAT thiếu mã số thuế; ","")&amp;IF(N($Q424)&gt;$P424,"Đã thu vượt tổng phải thu; ","")&amp;IF(AND($L424&gt;0,$U424&lt;0),"CẢNH BÁO: ĐƠN NÀY ĐANG LỖ; ","")))</f>
        <v/>
      </c>
      <c r="Y424" s="16" t="str">
        <f aca="false">IF(AND($C424&lt;&gt;"",$R424&gt;0),COUNTIFS($C$6:$C424,"&lt;&gt;",$R$6:$R424,"&gt;0"),"")</f>
        <v/>
      </c>
      <c r="Z424" s="16" t="str">
        <f aca="false">IF(AND($H424&lt;&gt;"",N($N424)&gt;0),COUNTIFS($H$6:$H424,"&lt;&gt;",$N$6:$N424,"&gt;0"),"")</f>
        <v/>
      </c>
      <c r="AA424" s="16" t="str">
        <f aca="false">IF(AND($H424&lt;&gt;"",N($N424)=0),COUNTIFS($H$6:$H424,"&lt;&gt;",$N$6:$N424,"&lt;=0"),"")</f>
        <v/>
      </c>
      <c r="AB424" s="16" t="str">
        <f aca="false">IF($C424="","",IF(COUNTIF($C$6:$C424,$C424)&gt;1,"",MAX($AB$5:AB423)+1))</f>
        <v/>
      </c>
      <c r="AC424" s="16" t="str">
        <f aca="false">IF($H424="","",IF(COUNTIF($H$6:$H424,$H424)&gt;1,"",MAX($AC$5:AC423)+1))</f>
        <v/>
      </c>
    </row>
    <row r="425" customFormat="false" ht="15" hidden="false" customHeight="false" outlineLevel="0" collapsed="false">
      <c r="A425" s="16" t="str">
        <f aca="false">IF($C425="","",COUNTA($C$6:$C425))</f>
        <v/>
      </c>
      <c r="B425" s="17"/>
      <c r="C425" s="8"/>
      <c r="D425" s="8"/>
      <c r="E425" s="8"/>
      <c r="F425" s="8"/>
      <c r="G425" s="8"/>
      <c r="H425" s="8"/>
      <c r="I425" s="9"/>
      <c r="J425" s="10" t="str">
        <f aca="false">IF($H425="","",IFERROR(VLOOKUP($H425,'BẢNG GIÁ GỐC'!$A$5:$D$204,3,FALSE()),""))</f>
        <v/>
      </c>
      <c r="K425" s="9"/>
      <c r="L425" s="10" t="str">
        <f aca="false">IF($C425="","",N($I425)*N($K425))</f>
        <v/>
      </c>
      <c r="M425" s="8"/>
      <c r="N425" s="11" t="str">
        <f aca="false">IF($C425="","",IF($M425="VAT 5%",0.05,IF($M425="VAT 8%",0.08,IF($M425="VAT 10%",0.1,0))))</f>
        <v/>
      </c>
      <c r="O425" s="10" t="str">
        <f aca="false">IF($C425="","",$L425*$N425)</f>
        <v/>
      </c>
      <c r="P425" s="10" t="str">
        <f aca="false">IF($C425="","",$L425+$O425)</f>
        <v/>
      </c>
      <c r="Q425" s="9"/>
      <c r="R425" s="10" t="str">
        <f aca="false">IF($C425="","",MAX(0,$P425-N($Q425)))</f>
        <v/>
      </c>
      <c r="S425" s="19" t="str">
        <f aca="false">IF(OR($C425="",$P425=0),"",IF(N($Q425)&lt;=0,"Chưa thanh toán",IF(N($Q425)&lt;$P425,"Thanh toán một phần","Đã thanh toán")))</f>
        <v/>
      </c>
      <c r="T425" s="10" t="str">
        <f aca="false">IF(OR($C425="",$J425=""),"",N($I425)*$J425)</f>
        <v/>
      </c>
      <c r="U425" s="10" t="str">
        <f aca="false">IF(OR($C425="",$T425=""),"",$L425-$T425)</f>
        <v/>
      </c>
      <c r="V425" s="11" t="str">
        <f aca="false">IF(OR($U425="",$L425=0),"",$U425/$L425)</f>
        <v/>
      </c>
      <c r="W425" s="8"/>
      <c r="X425" s="19" t="str">
        <f aca="false">IF($C425="","",IF(AND($H425="",N($I425)=0,N($K425)=0),"Dòng chỉ lưu thông tin khách (chưa có đơn); ",IF($B425="","Thiếu ngày đặt; ","")&amp;IF($H425="","Thiếu tên sản phẩm; ",IF($J425="","Sản phẩm chưa có trong BẢNG GIÁ GỐC; ",""))&amp;IF(N($I425)&lt;=0,"Thiếu số lượng; ","")&amp;IF(N($K425)&lt;=0,"Thiếu giá bán; ","")&amp;IF(AND($N425&gt;0,$F425=""),"Khách lấy VAT thiếu mã số thuế; ","")&amp;IF(N($Q425)&gt;$P425,"Đã thu vượt tổng phải thu; ","")&amp;IF(AND($L425&gt;0,$U425&lt;0),"CẢNH BÁO: ĐƠN NÀY ĐANG LỖ; ","")))</f>
        <v/>
      </c>
      <c r="Y425" s="16" t="str">
        <f aca="false">IF(AND($C425&lt;&gt;"",$R425&gt;0),COUNTIFS($C$6:$C425,"&lt;&gt;",$R$6:$R425,"&gt;0"),"")</f>
        <v/>
      </c>
      <c r="Z425" s="16" t="str">
        <f aca="false">IF(AND($H425&lt;&gt;"",N($N425)&gt;0),COUNTIFS($H$6:$H425,"&lt;&gt;",$N$6:$N425,"&gt;0"),"")</f>
        <v/>
      </c>
      <c r="AA425" s="16" t="str">
        <f aca="false">IF(AND($H425&lt;&gt;"",N($N425)=0),COUNTIFS($H$6:$H425,"&lt;&gt;",$N$6:$N425,"&lt;=0"),"")</f>
        <v/>
      </c>
      <c r="AB425" s="16" t="str">
        <f aca="false">IF($C425="","",IF(COUNTIF($C$6:$C425,$C425)&gt;1,"",MAX($AB$5:AB424)+1))</f>
        <v/>
      </c>
      <c r="AC425" s="16" t="str">
        <f aca="false">IF($H425="","",IF(COUNTIF($H$6:$H425,$H425)&gt;1,"",MAX($AC$5:AC424)+1))</f>
        <v/>
      </c>
    </row>
    <row r="426" customFormat="false" ht="15" hidden="false" customHeight="false" outlineLevel="0" collapsed="false">
      <c r="A426" s="16" t="str">
        <f aca="false">IF($C426="","",COUNTA($C$6:$C426))</f>
        <v/>
      </c>
      <c r="B426" s="17"/>
      <c r="C426" s="8"/>
      <c r="D426" s="8"/>
      <c r="E426" s="8"/>
      <c r="F426" s="8"/>
      <c r="G426" s="8"/>
      <c r="H426" s="8"/>
      <c r="I426" s="9"/>
      <c r="J426" s="10" t="str">
        <f aca="false">IF($H426="","",IFERROR(VLOOKUP($H426,'BẢNG GIÁ GỐC'!$A$5:$D$204,3,FALSE()),""))</f>
        <v/>
      </c>
      <c r="K426" s="9"/>
      <c r="L426" s="10" t="str">
        <f aca="false">IF($C426="","",N($I426)*N($K426))</f>
        <v/>
      </c>
      <c r="M426" s="8"/>
      <c r="N426" s="11" t="str">
        <f aca="false">IF($C426="","",IF($M426="VAT 5%",0.05,IF($M426="VAT 8%",0.08,IF($M426="VAT 10%",0.1,0))))</f>
        <v/>
      </c>
      <c r="O426" s="10" t="str">
        <f aca="false">IF($C426="","",$L426*$N426)</f>
        <v/>
      </c>
      <c r="P426" s="10" t="str">
        <f aca="false">IF($C426="","",$L426+$O426)</f>
        <v/>
      </c>
      <c r="Q426" s="9"/>
      <c r="R426" s="10" t="str">
        <f aca="false">IF($C426="","",MAX(0,$P426-N($Q426)))</f>
        <v/>
      </c>
      <c r="S426" s="19" t="str">
        <f aca="false">IF(OR($C426="",$P426=0),"",IF(N($Q426)&lt;=0,"Chưa thanh toán",IF(N($Q426)&lt;$P426,"Thanh toán một phần","Đã thanh toán")))</f>
        <v/>
      </c>
      <c r="T426" s="10" t="str">
        <f aca="false">IF(OR($C426="",$J426=""),"",N($I426)*$J426)</f>
        <v/>
      </c>
      <c r="U426" s="10" t="str">
        <f aca="false">IF(OR($C426="",$T426=""),"",$L426-$T426)</f>
        <v/>
      </c>
      <c r="V426" s="11" t="str">
        <f aca="false">IF(OR($U426="",$L426=0),"",$U426/$L426)</f>
        <v/>
      </c>
      <c r="W426" s="8"/>
      <c r="X426" s="19" t="str">
        <f aca="false">IF($C426="","",IF(AND($H426="",N($I426)=0,N($K426)=0),"Dòng chỉ lưu thông tin khách (chưa có đơn); ",IF($B426="","Thiếu ngày đặt; ","")&amp;IF($H426="","Thiếu tên sản phẩm; ",IF($J426="","Sản phẩm chưa có trong BẢNG GIÁ GỐC; ",""))&amp;IF(N($I426)&lt;=0,"Thiếu số lượng; ","")&amp;IF(N($K426)&lt;=0,"Thiếu giá bán; ","")&amp;IF(AND($N426&gt;0,$F426=""),"Khách lấy VAT thiếu mã số thuế; ","")&amp;IF(N($Q426)&gt;$P426,"Đã thu vượt tổng phải thu; ","")&amp;IF(AND($L426&gt;0,$U426&lt;0),"CẢNH BÁO: ĐƠN NÀY ĐANG LỖ; ","")))</f>
        <v/>
      </c>
      <c r="Y426" s="16" t="str">
        <f aca="false">IF(AND($C426&lt;&gt;"",$R426&gt;0),COUNTIFS($C$6:$C426,"&lt;&gt;",$R$6:$R426,"&gt;0"),"")</f>
        <v/>
      </c>
      <c r="Z426" s="16" t="str">
        <f aca="false">IF(AND($H426&lt;&gt;"",N($N426)&gt;0),COUNTIFS($H$6:$H426,"&lt;&gt;",$N$6:$N426,"&gt;0"),"")</f>
        <v/>
      </c>
      <c r="AA426" s="16" t="str">
        <f aca="false">IF(AND($H426&lt;&gt;"",N($N426)=0),COUNTIFS($H$6:$H426,"&lt;&gt;",$N$6:$N426,"&lt;=0"),"")</f>
        <v/>
      </c>
      <c r="AB426" s="16" t="str">
        <f aca="false">IF($C426="","",IF(COUNTIF($C$6:$C426,$C426)&gt;1,"",MAX($AB$5:AB425)+1))</f>
        <v/>
      </c>
      <c r="AC426" s="16" t="str">
        <f aca="false">IF($H426="","",IF(COUNTIF($H$6:$H426,$H426)&gt;1,"",MAX($AC$5:AC425)+1))</f>
        <v/>
      </c>
    </row>
    <row r="427" customFormat="false" ht="15" hidden="false" customHeight="false" outlineLevel="0" collapsed="false">
      <c r="A427" s="16" t="str">
        <f aca="false">IF($C427="","",COUNTA($C$6:$C427))</f>
        <v/>
      </c>
      <c r="B427" s="17"/>
      <c r="C427" s="8"/>
      <c r="D427" s="8"/>
      <c r="E427" s="8"/>
      <c r="F427" s="8"/>
      <c r="G427" s="8"/>
      <c r="H427" s="8"/>
      <c r="I427" s="9"/>
      <c r="J427" s="10" t="str">
        <f aca="false">IF($H427="","",IFERROR(VLOOKUP($H427,'BẢNG GIÁ GỐC'!$A$5:$D$204,3,FALSE()),""))</f>
        <v/>
      </c>
      <c r="K427" s="9"/>
      <c r="L427" s="10" t="str">
        <f aca="false">IF($C427="","",N($I427)*N($K427))</f>
        <v/>
      </c>
      <c r="M427" s="8"/>
      <c r="N427" s="11" t="str">
        <f aca="false">IF($C427="","",IF($M427="VAT 5%",0.05,IF($M427="VAT 8%",0.08,IF($M427="VAT 10%",0.1,0))))</f>
        <v/>
      </c>
      <c r="O427" s="10" t="str">
        <f aca="false">IF($C427="","",$L427*$N427)</f>
        <v/>
      </c>
      <c r="P427" s="10" t="str">
        <f aca="false">IF($C427="","",$L427+$O427)</f>
        <v/>
      </c>
      <c r="Q427" s="9"/>
      <c r="R427" s="10" t="str">
        <f aca="false">IF($C427="","",MAX(0,$P427-N($Q427)))</f>
        <v/>
      </c>
      <c r="S427" s="19" t="str">
        <f aca="false">IF(OR($C427="",$P427=0),"",IF(N($Q427)&lt;=0,"Chưa thanh toán",IF(N($Q427)&lt;$P427,"Thanh toán một phần","Đã thanh toán")))</f>
        <v/>
      </c>
      <c r="T427" s="10" t="str">
        <f aca="false">IF(OR($C427="",$J427=""),"",N($I427)*$J427)</f>
        <v/>
      </c>
      <c r="U427" s="10" t="str">
        <f aca="false">IF(OR($C427="",$T427=""),"",$L427-$T427)</f>
        <v/>
      </c>
      <c r="V427" s="11" t="str">
        <f aca="false">IF(OR($U427="",$L427=0),"",$U427/$L427)</f>
        <v/>
      </c>
      <c r="W427" s="8"/>
      <c r="X427" s="19" t="str">
        <f aca="false">IF($C427="","",IF(AND($H427="",N($I427)=0,N($K427)=0),"Dòng chỉ lưu thông tin khách (chưa có đơn); ",IF($B427="","Thiếu ngày đặt; ","")&amp;IF($H427="","Thiếu tên sản phẩm; ",IF($J427="","Sản phẩm chưa có trong BẢNG GIÁ GỐC; ",""))&amp;IF(N($I427)&lt;=0,"Thiếu số lượng; ","")&amp;IF(N($K427)&lt;=0,"Thiếu giá bán; ","")&amp;IF(AND($N427&gt;0,$F427=""),"Khách lấy VAT thiếu mã số thuế; ","")&amp;IF(N($Q427)&gt;$P427,"Đã thu vượt tổng phải thu; ","")&amp;IF(AND($L427&gt;0,$U427&lt;0),"CẢNH BÁO: ĐƠN NÀY ĐANG LỖ; ","")))</f>
        <v/>
      </c>
      <c r="Y427" s="16" t="str">
        <f aca="false">IF(AND($C427&lt;&gt;"",$R427&gt;0),COUNTIFS($C$6:$C427,"&lt;&gt;",$R$6:$R427,"&gt;0"),"")</f>
        <v/>
      </c>
      <c r="Z427" s="16" t="str">
        <f aca="false">IF(AND($H427&lt;&gt;"",N($N427)&gt;0),COUNTIFS($H$6:$H427,"&lt;&gt;",$N$6:$N427,"&gt;0"),"")</f>
        <v/>
      </c>
      <c r="AA427" s="16" t="str">
        <f aca="false">IF(AND($H427&lt;&gt;"",N($N427)=0),COUNTIFS($H$6:$H427,"&lt;&gt;",$N$6:$N427,"&lt;=0"),"")</f>
        <v/>
      </c>
      <c r="AB427" s="16" t="str">
        <f aca="false">IF($C427="","",IF(COUNTIF($C$6:$C427,$C427)&gt;1,"",MAX($AB$5:AB426)+1))</f>
        <v/>
      </c>
      <c r="AC427" s="16" t="str">
        <f aca="false">IF($H427="","",IF(COUNTIF($H$6:$H427,$H427)&gt;1,"",MAX($AC$5:AC426)+1))</f>
        <v/>
      </c>
    </row>
    <row r="428" customFormat="false" ht="15" hidden="false" customHeight="false" outlineLevel="0" collapsed="false">
      <c r="A428" s="16" t="str">
        <f aca="false">IF($C428="","",COUNTA($C$6:$C428))</f>
        <v/>
      </c>
      <c r="B428" s="17"/>
      <c r="C428" s="8"/>
      <c r="D428" s="8"/>
      <c r="E428" s="8"/>
      <c r="F428" s="8"/>
      <c r="G428" s="8"/>
      <c r="H428" s="8"/>
      <c r="I428" s="9"/>
      <c r="J428" s="10" t="str">
        <f aca="false">IF($H428="","",IFERROR(VLOOKUP($H428,'BẢNG GIÁ GỐC'!$A$5:$D$204,3,FALSE()),""))</f>
        <v/>
      </c>
      <c r="K428" s="9"/>
      <c r="L428" s="10" t="str">
        <f aca="false">IF($C428="","",N($I428)*N($K428))</f>
        <v/>
      </c>
      <c r="M428" s="8"/>
      <c r="N428" s="11" t="str">
        <f aca="false">IF($C428="","",IF($M428="VAT 5%",0.05,IF($M428="VAT 8%",0.08,IF($M428="VAT 10%",0.1,0))))</f>
        <v/>
      </c>
      <c r="O428" s="10" t="str">
        <f aca="false">IF($C428="","",$L428*$N428)</f>
        <v/>
      </c>
      <c r="P428" s="10" t="str">
        <f aca="false">IF($C428="","",$L428+$O428)</f>
        <v/>
      </c>
      <c r="Q428" s="9"/>
      <c r="R428" s="10" t="str">
        <f aca="false">IF($C428="","",MAX(0,$P428-N($Q428)))</f>
        <v/>
      </c>
      <c r="S428" s="19" t="str">
        <f aca="false">IF(OR($C428="",$P428=0),"",IF(N($Q428)&lt;=0,"Chưa thanh toán",IF(N($Q428)&lt;$P428,"Thanh toán một phần","Đã thanh toán")))</f>
        <v/>
      </c>
      <c r="T428" s="10" t="str">
        <f aca="false">IF(OR($C428="",$J428=""),"",N($I428)*$J428)</f>
        <v/>
      </c>
      <c r="U428" s="10" t="str">
        <f aca="false">IF(OR($C428="",$T428=""),"",$L428-$T428)</f>
        <v/>
      </c>
      <c r="V428" s="11" t="str">
        <f aca="false">IF(OR($U428="",$L428=0),"",$U428/$L428)</f>
        <v/>
      </c>
      <c r="W428" s="8"/>
      <c r="X428" s="19" t="str">
        <f aca="false">IF($C428="","",IF(AND($H428="",N($I428)=0,N($K428)=0),"Dòng chỉ lưu thông tin khách (chưa có đơn); ",IF($B428="","Thiếu ngày đặt; ","")&amp;IF($H428="","Thiếu tên sản phẩm; ",IF($J428="","Sản phẩm chưa có trong BẢNG GIÁ GỐC; ",""))&amp;IF(N($I428)&lt;=0,"Thiếu số lượng; ","")&amp;IF(N($K428)&lt;=0,"Thiếu giá bán; ","")&amp;IF(AND($N428&gt;0,$F428=""),"Khách lấy VAT thiếu mã số thuế; ","")&amp;IF(N($Q428)&gt;$P428,"Đã thu vượt tổng phải thu; ","")&amp;IF(AND($L428&gt;0,$U428&lt;0),"CẢNH BÁO: ĐƠN NÀY ĐANG LỖ; ","")))</f>
        <v/>
      </c>
      <c r="Y428" s="16" t="str">
        <f aca="false">IF(AND($C428&lt;&gt;"",$R428&gt;0),COUNTIFS($C$6:$C428,"&lt;&gt;",$R$6:$R428,"&gt;0"),"")</f>
        <v/>
      </c>
      <c r="Z428" s="16" t="str">
        <f aca="false">IF(AND($H428&lt;&gt;"",N($N428)&gt;0),COUNTIFS($H$6:$H428,"&lt;&gt;",$N$6:$N428,"&gt;0"),"")</f>
        <v/>
      </c>
      <c r="AA428" s="16" t="str">
        <f aca="false">IF(AND($H428&lt;&gt;"",N($N428)=0),COUNTIFS($H$6:$H428,"&lt;&gt;",$N$6:$N428,"&lt;=0"),"")</f>
        <v/>
      </c>
      <c r="AB428" s="16" t="str">
        <f aca="false">IF($C428="","",IF(COUNTIF($C$6:$C428,$C428)&gt;1,"",MAX($AB$5:AB427)+1))</f>
        <v/>
      </c>
      <c r="AC428" s="16" t="str">
        <f aca="false">IF($H428="","",IF(COUNTIF($H$6:$H428,$H428)&gt;1,"",MAX($AC$5:AC427)+1))</f>
        <v/>
      </c>
    </row>
    <row r="429" customFormat="false" ht="15" hidden="false" customHeight="false" outlineLevel="0" collapsed="false">
      <c r="A429" s="16" t="str">
        <f aca="false">IF($C429="","",COUNTA($C$6:$C429))</f>
        <v/>
      </c>
      <c r="B429" s="17"/>
      <c r="C429" s="8"/>
      <c r="D429" s="8"/>
      <c r="E429" s="8"/>
      <c r="F429" s="8"/>
      <c r="G429" s="8"/>
      <c r="H429" s="8"/>
      <c r="I429" s="9"/>
      <c r="J429" s="10" t="str">
        <f aca="false">IF($H429="","",IFERROR(VLOOKUP($H429,'BẢNG GIÁ GỐC'!$A$5:$D$204,3,FALSE()),""))</f>
        <v/>
      </c>
      <c r="K429" s="9"/>
      <c r="L429" s="10" t="str">
        <f aca="false">IF($C429="","",N($I429)*N($K429))</f>
        <v/>
      </c>
      <c r="M429" s="8"/>
      <c r="N429" s="11" t="str">
        <f aca="false">IF($C429="","",IF($M429="VAT 5%",0.05,IF($M429="VAT 8%",0.08,IF($M429="VAT 10%",0.1,0))))</f>
        <v/>
      </c>
      <c r="O429" s="10" t="str">
        <f aca="false">IF($C429="","",$L429*$N429)</f>
        <v/>
      </c>
      <c r="P429" s="10" t="str">
        <f aca="false">IF($C429="","",$L429+$O429)</f>
        <v/>
      </c>
      <c r="Q429" s="9"/>
      <c r="R429" s="10" t="str">
        <f aca="false">IF($C429="","",MAX(0,$P429-N($Q429)))</f>
        <v/>
      </c>
      <c r="S429" s="19" t="str">
        <f aca="false">IF(OR($C429="",$P429=0),"",IF(N($Q429)&lt;=0,"Chưa thanh toán",IF(N($Q429)&lt;$P429,"Thanh toán một phần","Đã thanh toán")))</f>
        <v/>
      </c>
      <c r="T429" s="10" t="str">
        <f aca="false">IF(OR($C429="",$J429=""),"",N($I429)*$J429)</f>
        <v/>
      </c>
      <c r="U429" s="10" t="str">
        <f aca="false">IF(OR($C429="",$T429=""),"",$L429-$T429)</f>
        <v/>
      </c>
      <c r="V429" s="11" t="str">
        <f aca="false">IF(OR($U429="",$L429=0),"",$U429/$L429)</f>
        <v/>
      </c>
      <c r="W429" s="8"/>
      <c r="X429" s="19" t="str">
        <f aca="false">IF($C429="","",IF(AND($H429="",N($I429)=0,N($K429)=0),"Dòng chỉ lưu thông tin khách (chưa có đơn); ",IF($B429="","Thiếu ngày đặt; ","")&amp;IF($H429="","Thiếu tên sản phẩm; ",IF($J429="","Sản phẩm chưa có trong BẢNG GIÁ GỐC; ",""))&amp;IF(N($I429)&lt;=0,"Thiếu số lượng; ","")&amp;IF(N($K429)&lt;=0,"Thiếu giá bán; ","")&amp;IF(AND($N429&gt;0,$F429=""),"Khách lấy VAT thiếu mã số thuế; ","")&amp;IF(N($Q429)&gt;$P429,"Đã thu vượt tổng phải thu; ","")&amp;IF(AND($L429&gt;0,$U429&lt;0),"CẢNH BÁO: ĐƠN NÀY ĐANG LỖ; ","")))</f>
        <v/>
      </c>
      <c r="Y429" s="16" t="str">
        <f aca="false">IF(AND($C429&lt;&gt;"",$R429&gt;0),COUNTIFS($C$6:$C429,"&lt;&gt;",$R$6:$R429,"&gt;0"),"")</f>
        <v/>
      </c>
      <c r="Z429" s="16" t="str">
        <f aca="false">IF(AND($H429&lt;&gt;"",N($N429)&gt;0),COUNTIFS($H$6:$H429,"&lt;&gt;",$N$6:$N429,"&gt;0"),"")</f>
        <v/>
      </c>
      <c r="AA429" s="16" t="str">
        <f aca="false">IF(AND($H429&lt;&gt;"",N($N429)=0),COUNTIFS($H$6:$H429,"&lt;&gt;",$N$6:$N429,"&lt;=0"),"")</f>
        <v/>
      </c>
      <c r="AB429" s="16" t="str">
        <f aca="false">IF($C429="","",IF(COUNTIF($C$6:$C429,$C429)&gt;1,"",MAX($AB$5:AB428)+1))</f>
        <v/>
      </c>
      <c r="AC429" s="16" t="str">
        <f aca="false">IF($H429="","",IF(COUNTIF($H$6:$H429,$H429)&gt;1,"",MAX($AC$5:AC428)+1))</f>
        <v/>
      </c>
    </row>
    <row r="430" customFormat="false" ht="15" hidden="false" customHeight="false" outlineLevel="0" collapsed="false">
      <c r="A430" s="16" t="str">
        <f aca="false">IF($C430="","",COUNTA($C$6:$C430))</f>
        <v/>
      </c>
      <c r="B430" s="17"/>
      <c r="C430" s="8"/>
      <c r="D430" s="8"/>
      <c r="E430" s="8"/>
      <c r="F430" s="8"/>
      <c r="G430" s="8"/>
      <c r="H430" s="8"/>
      <c r="I430" s="9"/>
      <c r="J430" s="10" t="str">
        <f aca="false">IF($H430="","",IFERROR(VLOOKUP($H430,'BẢNG GIÁ GỐC'!$A$5:$D$204,3,FALSE()),""))</f>
        <v/>
      </c>
      <c r="K430" s="9"/>
      <c r="L430" s="10" t="str">
        <f aca="false">IF($C430="","",N($I430)*N($K430))</f>
        <v/>
      </c>
      <c r="M430" s="8"/>
      <c r="N430" s="11" t="str">
        <f aca="false">IF($C430="","",IF($M430="VAT 5%",0.05,IF($M430="VAT 8%",0.08,IF($M430="VAT 10%",0.1,0))))</f>
        <v/>
      </c>
      <c r="O430" s="10" t="str">
        <f aca="false">IF($C430="","",$L430*$N430)</f>
        <v/>
      </c>
      <c r="P430" s="10" t="str">
        <f aca="false">IF($C430="","",$L430+$O430)</f>
        <v/>
      </c>
      <c r="Q430" s="9"/>
      <c r="R430" s="10" t="str">
        <f aca="false">IF($C430="","",MAX(0,$P430-N($Q430)))</f>
        <v/>
      </c>
      <c r="S430" s="19" t="str">
        <f aca="false">IF(OR($C430="",$P430=0),"",IF(N($Q430)&lt;=0,"Chưa thanh toán",IF(N($Q430)&lt;$P430,"Thanh toán một phần","Đã thanh toán")))</f>
        <v/>
      </c>
      <c r="T430" s="10" t="str">
        <f aca="false">IF(OR($C430="",$J430=""),"",N($I430)*$J430)</f>
        <v/>
      </c>
      <c r="U430" s="10" t="str">
        <f aca="false">IF(OR($C430="",$T430=""),"",$L430-$T430)</f>
        <v/>
      </c>
      <c r="V430" s="11" t="str">
        <f aca="false">IF(OR($U430="",$L430=0),"",$U430/$L430)</f>
        <v/>
      </c>
      <c r="W430" s="8"/>
      <c r="X430" s="19" t="str">
        <f aca="false">IF($C430="","",IF(AND($H430="",N($I430)=0,N($K430)=0),"Dòng chỉ lưu thông tin khách (chưa có đơn); ",IF($B430="","Thiếu ngày đặt; ","")&amp;IF($H430="","Thiếu tên sản phẩm; ",IF($J430="","Sản phẩm chưa có trong BẢNG GIÁ GỐC; ",""))&amp;IF(N($I430)&lt;=0,"Thiếu số lượng; ","")&amp;IF(N($K430)&lt;=0,"Thiếu giá bán; ","")&amp;IF(AND($N430&gt;0,$F430=""),"Khách lấy VAT thiếu mã số thuế; ","")&amp;IF(N($Q430)&gt;$P430,"Đã thu vượt tổng phải thu; ","")&amp;IF(AND($L430&gt;0,$U430&lt;0),"CẢNH BÁO: ĐƠN NÀY ĐANG LỖ; ","")))</f>
        <v/>
      </c>
      <c r="Y430" s="16" t="str">
        <f aca="false">IF(AND($C430&lt;&gt;"",$R430&gt;0),COUNTIFS($C$6:$C430,"&lt;&gt;",$R$6:$R430,"&gt;0"),"")</f>
        <v/>
      </c>
      <c r="Z430" s="16" t="str">
        <f aca="false">IF(AND($H430&lt;&gt;"",N($N430)&gt;0),COUNTIFS($H$6:$H430,"&lt;&gt;",$N$6:$N430,"&gt;0"),"")</f>
        <v/>
      </c>
      <c r="AA430" s="16" t="str">
        <f aca="false">IF(AND($H430&lt;&gt;"",N($N430)=0),COUNTIFS($H$6:$H430,"&lt;&gt;",$N$6:$N430,"&lt;=0"),"")</f>
        <v/>
      </c>
      <c r="AB430" s="16" t="str">
        <f aca="false">IF($C430="","",IF(COUNTIF($C$6:$C430,$C430)&gt;1,"",MAX($AB$5:AB429)+1))</f>
        <v/>
      </c>
      <c r="AC430" s="16" t="str">
        <f aca="false">IF($H430="","",IF(COUNTIF($H$6:$H430,$H430)&gt;1,"",MAX($AC$5:AC429)+1))</f>
        <v/>
      </c>
    </row>
    <row r="431" customFormat="false" ht="15" hidden="false" customHeight="false" outlineLevel="0" collapsed="false">
      <c r="A431" s="16" t="str">
        <f aca="false">IF($C431="","",COUNTA($C$6:$C431))</f>
        <v/>
      </c>
      <c r="B431" s="17"/>
      <c r="C431" s="8"/>
      <c r="D431" s="8"/>
      <c r="E431" s="8"/>
      <c r="F431" s="8"/>
      <c r="G431" s="8"/>
      <c r="H431" s="8"/>
      <c r="I431" s="9"/>
      <c r="J431" s="10" t="str">
        <f aca="false">IF($H431="","",IFERROR(VLOOKUP($H431,'BẢNG GIÁ GỐC'!$A$5:$D$204,3,FALSE()),""))</f>
        <v/>
      </c>
      <c r="K431" s="9"/>
      <c r="L431" s="10" t="str">
        <f aca="false">IF($C431="","",N($I431)*N($K431))</f>
        <v/>
      </c>
      <c r="M431" s="8"/>
      <c r="N431" s="11" t="str">
        <f aca="false">IF($C431="","",IF($M431="VAT 5%",0.05,IF($M431="VAT 8%",0.08,IF($M431="VAT 10%",0.1,0))))</f>
        <v/>
      </c>
      <c r="O431" s="10" t="str">
        <f aca="false">IF($C431="","",$L431*$N431)</f>
        <v/>
      </c>
      <c r="P431" s="10" t="str">
        <f aca="false">IF($C431="","",$L431+$O431)</f>
        <v/>
      </c>
      <c r="Q431" s="9"/>
      <c r="R431" s="10" t="str">
        <f aca="false">IF($C431="","",MAX(0,$P431-N($Q431)))</f>
        <v/>
      </c>
      <c r="S431" s="19" t="str">
        <f aca="false">IF(OR($C431="",$P431=0),"",IF(N($Q431)&lt;=0,"Chưa thanh toán",IF(N($Q431)&lt;$P431,"Thanh toán một phần","Đã thanh toán")))</f>
        <v/>
      </c>
      <c r="T431" s="10" t="str">
        <f aca="false">IF(OR($C431="",$J431=""),"",N($I431)*$J431)</f>
        <v/>
      </c>
      <c r="U431" s="10" t="str">
        <f aca="false">IF(OR($C431="",$T431=""),"",$L431-$T431)</f>
        <v/>
      </c>
      <c r="V431" s="11" t="str">
        <f aca="false">IF(OR($U431="",$L431=0),"",$U431/$L431)</f>
        <v/>
      </c>
      <c r="W431" s="8"/>
      <c r="X431" s="19" t="str">
        <f aca="false">IF($C431="","",IF(AND($H431="",N($I431)=0,N($K431)=0),"Dòng chỉ lưu thông tin khách (chưa có đơn); ",IF($B431="","Thiếu ngày đặt; ","")&amp;IF($H431="","Thiếu tên sản phẩm; ",IF($J431="","Sản phẩm chưa có trong BẢNG GIÁ GỐC; ",""))&amp;IF(N($I431)&lt;=0,"Thiếu số lượng; ","")&amp;IF(N($K431)&lt;=0,"Thiếu giá bán; ","")&amp;IF(AND($N431&gt;0,$F431=""),"Khách lấy VAT thiếu mã số thuế; ","")&amp;IF(N($Q431)&gt;$P431,"Đã thu vượt tổng phải thu; ","")&amp;IF(AND($L431&gt;0,$U431&lt;0),"CẢNH BÁO: ĐƠN NÀY ĐANG LỖ; ","")))</f>
        <v/>
      </c>
      <c r="Y431" s="16" t="str">
        <f aca="false">IF(AND($C431&lt;&gt;"",$R431&gt;0),COUNTIFS($C$6:$C431,"&lt;&gt;",$R$6:$R431,"&gt;0"),"")</f>
        <v/>
      </c>
      <c r="Z431" s="16" t="str">
        <f aca="false">IF(AND($H431&lt;&gt;"",N($N431)&gt;0),COUNTIFS($H$6:$H431,"&lt;&gt;",$N$6:$N431,"&gt;0"),"")</f>
        <v/>
      </c>
      <c r="AA431" s="16" t="str">
        <f aca="false">IF(AND($H431&lt;&gt;"",N($N431)=0),COUNTIFS($H$6:$H431,"&lt;&gt;",$N$6:$N431,"&lt;=0"),"")</f>
        <v/>
      </c>
      <c r="AB431" s="16" t="str">
        <f aca="false">IF($C431="","",IF(COUNTIF($C$6:$C431,$C431)&gt;1,"",MAX($AB$5:AB430)+1))</f>
        <v/>
      </c>
      <c r="AC431" s="16" t="str">
        <f aca="false">IF($H431="","",IF(COUNTIF($H$6:$H431,$H431)&gt;1,"",MAX($AC$5:AC430)+1))</f>
        <v/>
      </c>
    </row>
    <row r="432" customFormat="false" ht="15" hidden="false" customHeight="false" outlineLevel="0" collapsed="false">
      <c r="A432" s="16" t="str">
        <f aca="false">IF($C432="","",COUNTA($C$6:$C432))</f>
        <v/>
      </c>
      <c r="B432" s="17"/>
      <c r="C432" s="8"/>
      <c r="D432" s="8"/>
      <c r="E432" s="8"/>
      <c r="F432" s="8"/>
      <c r="G432" s="8"/>
      <c r="H432" s="8"/>
      <c r="I432" s="9"/>
      <c r="J432" s="10" t="str">
        <f aca="false">IF($H432="","",IFERROR(VLOOKUP($H432,'BẢNG GIÁ GỐC'!$A$5:$D$204,3,FALSE()),""))</f>
        <v/>
      </c>
      <c r="K432" s="9"/>
      <c r="L432" s="10" t="str">
        <f aca="false">IF($C432="","",N($I432)*N($K432))</f>
        <v/>
      </c>
      <c r="M432" s="8"/>
      <c r="N432" s="11" t="str">
        <f aca="false">IF($C432="","",IF($M432="VAT 5%",0.05,IF($M432="VAT 8%",0.08,IF($M432="VAT 10%",0.1,0))))</f>
        <v/>
      </c>
      <c r="O432" s="10" t="str">
        <f aca="false">IF($C432="","",$L432*$N432)</f>
        <v/>
      </c>
      <c r="P432" s="10" t="str">
        <f aca="false">IF($C432="","",$L432+$O432)</f>
        <v/>
      </c>
      <c r="Q432" s="9"/>
      <c r="R432" s="10" t="str">
        <f aca="false">IF($C432="","",MAX(0,$P432-N($Q432)))</f>
        <v/>
      </c>
      <c r="S432" s="19" t="str">
        <f aca="false">IF(OR($C432="",$P432=0),"",IF(N($Q432)&lt;=0,"Chưa thanh toán",IF(N($Q432)&lt;$P432,"Thanh toán một phần","Đã thanh toán")))</f>
        <v/>
      </c>
      <c r="T432" s="10" t="str">
        <f aca="false">IF(OR($C432="",$J432=""),"",N($I432)*$J432)</f>
        <v/>
      </c>
      <c r="U432" s="10" t="str">
        <f aca="false">IF(OR($C432="",$T432=""),"",$L432-$T432)</f>
        <v/>
      </c>
      <c r="V432" s="11" t="str">
        <f aca="false">IF(OR($U432="",$L432=0),"",$U432/$L432)</f>
        <v/>
      </c>
      <c r="W432" s="8"/>
      <c r="X432" s="19" t="str">
        <f aca="false">IF($C432="","",IF(AND($H432="",N($I432)=0,N($K432)=0),"Dòng chỉ lưu thông tin khách (chưa có đơn); ",IF($B432="","Thiếu ngày đặt; ","")&amp;IF($H432="","Thiếu tên sản phẩm; ",IF($J432="","Sản phẩm chưa có trong BẢNG GIÁ GỐC; ",""))&amp;IF(N($I432)&lt;=0,"Thiếu số lượng; ","")&amp;IF(N($K432)&lt;=0,"Thiếu giá bán; ","")&amp;IF(AND($N432&gt;0,$F432=""),"Khách lấy VAT thiếu mã số thuế; ","")&amp;IF(N($Q432)&gt;$P432,"Đã thu vượt tổng phải thu; ","")&amp;IF(AND($L432&gt;0,$U432&lt;0),"CẢNH BÁO: ĐƠN NÀY ĐANG LỖ; ","")))</f>
        <v/>
      </c>
      <c r="Y432" s="16" t="str">
        <f aca="false">IF(AND($C432&lt;&gt;"",$R432&gt;0),COUNTIFS($C$6:$C432,"&lt;&gt;",$R$6:$R432,"&gt;0"),"")</f>
        <v/>
      </c>
      <c r="Z432" s="16" t="str">
        <f aca="false">IF(AND($H432&lt;&gt;"",N($N432)&gt;0),COUNTIFS($H$6:$H432,"&lt;&gt;",$N$6:$N432,"&gt;0"),"")</f>
        <v/>
      </c>
      <c r="AA432" s="16" t="str">
        <f aca="false">IF(AND($H432&lt;&gt;"",N($N432)=0),COUNTIFS($H$6:$H432,"&lt;&gt;",$N$6:$N432,"&lt;=0"),"")</f>
        <v/>
      </c>
      <c r="AB432" s="16" t="str">
        <f aca="false">IF($C432="","",IF(COUNTIF($C$6:$C432,$C432)&gt;1,"",MAX($AB$5:AB431)+1))</f>
        <v/>
      </c>
      <c r="AC432" s="16" t="str">
        <f aca="false">IF($H432="","",IF(COUNTIF($H$6:$H432,$H432)&gt;1,"",MAX($AC$5:AC431)+1))</f>
        <v/>
      </c>
    </row>
    <row r="433" customFormat="false" ht="15" hidden="false" customHeight="false" outlineLevel="0" collapsed="false">
      <c r="A433" s="16" t="str">
        <f aca="false">IF($C433="","",COUNTA($C$6:$C433))</f>
        <v/>
      </c>
      <c r="B433" s="17"/>
      <c r="C433" s="8"/>
      <c r="D433" s="8"/>
      <c r="E433" s="8"/>
      <c r="F433" s="8"/>
      <c r="G433" s="8"/>
      <c r="H433" s="8"/>
      <c r="I433" s="9"/>
      <c r="J433" s="10" t="str">
        <f aca="false">IF($H433="","",IFERROR(VLOOKUP($H433,'BẢNG GIÁ GỐC'!$A$5:$D$204,3,FALSE()),""))</f>
        <v/>
      </c>
      <c r="K433" s="9"/>
      <c r="L433" s="10" t="str">
        <f aca="false">IF($C433="","",N($I433)*N($K433))</f>
        <v/>
      </c>
      <c r="M433" s="8"/>
      <c r="N433" s="11" t="str">
        <f aca="false">IF($C433="","",IF($M433="VAT 5%",0.05,IF($M433="VAT 8%",0.08,IF($M433="VAT 10%",0.1,0))))</f>
        <v/>
      </c>
      <c r="O433" s="10" t="str">
        <f aca="false">IF($C433="","",$L433*$N433)</f>
        <v/>
      </c>
      <c r="P433" s="10" t="str">
        <f aca="false">IF($C433="","",$L433+$O433)</f>
        <v/>
      </c>
      <c r="Q433" s="9"/>
      <c r="R433" s="10" t="str">
        <f aca="false">IF($C433="","",MAX(0,$P433-N($Q433)))</f>
        <v/>
      </c>
      <c r="S433" s="19" t="str">
        <f aca="false">IF(OR($C433="",$P433=0),"",IF(N($Q433)&lt;=0,"Chưa thanh toán",IF(N($Q433)&lt;$P433,"Thanh toán một phần","Đã thanh toán")))</f>
        <v/>
      </c>
      <c r="T433" s="10" t="str">
        <f aca="false">IF(OR($C433="",$J433=""),"",N($I433)*$J433)</f>
        <v/>
      </c>
      <c r="U433" s="10" t="str">
        <f aca="false">IF(OR($C433="",$T433=""),"",$L433-$T433)</f>
        <v/>
      </c>
      <c r="V433" s="11" t="str">
        <f aca="false">IF(OR($U433="",$L433=0),"",$U433/$L433)</f>
        <v/>
      </c>
      <c r="W433" s="8"/>
      <c r="X433" s="19" t="str">
        <f aca="false">IF($C433="","",IF(AND($H433="",N($I433)=0,N($K433)=0),"Dòng chỉ lưu thông tin khách (chưa có đơn); ",IF($B433="","Thiếu ngày đặt; ","")&amp;IF($H433="","Thiếu tên sản phẩm; ",IF($J433="","Sản phẩm chưa có trong BẢNG GIÁ GỐC; ",""))&amp;IF(N($I433)&lt;=0,"Thiếu số lượng; ","")&amp;IF(N($K433)&lt;=0,"Thiếu giá bán; ","")&amp;IF(AND($N433&gt;0,$F433=""),"Khách lấy VAT thiếu mã số thuế; ","")&amp;IF(N($Q433)&gt;$P433,"Đã thu vượt tổng phải thu; ","")&amp;IF(AND($L433&gt;0,$U433&lt;0),"CẢNH BÁO: ĐƠN NÀY ĐANG LỖ; ","")))</f>
        <v/>
      </c>
      <c r="Y433" s="16" t="str">
        <f aca="false">IF(AND($C433&lt;&gt;"",$R433&gt;0),COUNTIFS($C$6:$C433,"&lt;&gt;",$R$6:$R433,"&gt;0"),"")</f>
        <v/>
      </c>
      <c r="Z433" s="16" t="str">
        <f aca="false">IF(AND($H433&lt;&gt;"",N($N433)&gt;0),COUNTIFS($H$6:$H433,"&lt;&gt;",$N$6:$N433,"&gt;0"),"")</f>
        <v/>
      </c>
      <c r="AA433" s="16" t="str">
        <f aca="false">IF(AND($H433&lt;&gt;"",N($N433)=0),COUNTIFS($H$6:$H433,"&lt;&gt;",$N$6:$N433,"&lt;=0"),"")</f>
        <v/>
      </c>
      <c r="AB433" s="16" t="str">
        <f aca="false">IF($C433="","",IF(COUNTIF($C$6:$C433,$C433)&gt;1,"",MAX($AB$5:AB432)+1))</f>
        <v/>
      </c>
      <c r="AC433" s="16" t="str">
        <f aca="false">IF($H433="","",IF(COUNTIF($H$6:$H433,$H433)&gt;1,"",MAX($AC$5:AC432)+1))</f>
        <v/>
      </c>
    </row>
    <row r="434" customFormat="false" ht="15" hidden="false" customHeight="false" outlineLevel="0" collapsed="false">
      <c r="A434" s="16" t="str">
        <f aca="false">IF($C434="","",COUNTA($C$6:$C434))</f>
        <v/>
      </c>
      <c r="B434" s="17"/>
      <c r="C434" s="8"/>
      <c r="D434" s="8"/>
      <c r="E434" s="8"/>
      <c r="F434" s="8"/>
      <c r="G434" s="8"/>
      <c r="H434" s="8"/>
      <c r="I434" s="9"/>
      <c r="J434" s="10" t="str">
        <f aca="false">IF($H434="","",IFERROR(VLOOKUP($H434,'BẢNG GIÁ GỐC'!$A$5:$D$204,3,FALSE()),""))</f>
        <v/>
      </c>
      <c r="K434" s="9"/>
      <c r="L434" s="10" t="str">
        <f aca="false">IF($C434="","",N($I434)*N($K434))</f>
        <v/>
      </c>
      <c r="M434" s="8"/>
      <c r="N434" s="11" t="str">
        <f aca="false">IF($C434="","",IF($M434="VAT 5%",0.05,IF($M434="VAT 8%",0.08,IF($M434="VAT 10%",0.1,0))))</f>
        <v/>
      </c>
      <c r="O434" s="10" t="str">
        <f aca="false">IF($C434="","",$L434*$N434)</f>
        <v/>
      </c>
      <c r="P434" s="10" t="str">
        <f aca="false">IF($C434="","",$L434+$O434)</f>
        <v/>
      </c>
      <c r="Q434" s="9"/>
      <c r="R434" s="10" t="str">
        <f aca="false">IF($C434="","",MAX(0,$P434-N($Q434)))</f>
        <v/>
      </c>
      <c r="S434" s="19" t="str">
        <f aca="false">IF(OR($C434="",$P434=0),"",IF(N($Q434)&lt;=0,"Chưa thanh toán",IF(N($Q434)&lt;$P434,"Thanh toán một phần","Đã thanh toán")))</f>
        <v/>
      </c>
      <c r="T434" s="10" t="str">
        <f aca="false">IF(OR($C434="",$J434=""),"",N($I434)*$J434)</f>
        <v/>
      </c>
      <c r="U434" s="10" t="str">
        <f aca="false">IF(OR($C434="",$T434=""),"",$L434-$T434)</f>
        <v/>
      </c>
      <c r="V434" s="11" t="str">
        <f aca="false">IF(OR($U434="",$L434=0),"",$U434/$L434)</f>
        <v/>
      </c>
      <c r="W434" s="8"/>
      <c r="X434" s="19" t="str">
        <f aca="false">IF($C434="","",IF(AND($H434="",N($I434)=0,N($K434)=0),"Dòng chỉ lưu thông tin khách (chưa có đơn); ",IF($B434="","Thiếu ngày đặt; ","")&amp;IF($H434="","Thiếu tên sản phẩm; ",IF($J434="","Sản phẩm chưa có trong BẢNG GIÁ GỐC; ",""))&amp;IF(N($I434)&lt;=0,"Thiếu số lượng; ","")&amp;IF(N($K434)&lt;=0,"Thiếu giá bán; ","")&amp;IF(AND($N434&gt;0,$F434=""),"Khách lấy VAT thiếu mã số thuế; ","")&amp;IF(N($Q434)&gt;$P434,"Đã thu vượt tổng phải thu; ","")&amp;IF(AND($L434&gt;0,$U434&lt;0),"CẢNH BÁO: ĐƠN NÀY ĐANG LỖ; ","")))</f>
        <v/>
      </c>
      <c r="Y434" s="16" t="str">
        <f aca="false">IF(AND($C434&lt;&gt;"",$R434&gt;0),COUNTIFS($C$6:$C434,"&lt;&gt;",$R$6:$R434,"&gt;0"),"")</f>
        <v/>
      </c>
      <c r="Z434" s="16" t="str">
        <f aca="false">IF(AND($H434&lt;&gt;"",N($N434)&gt;0),COUNTIFS($H$6:$H434,"&lt;&gt;",$N$6:$N434,"&gt;0"),"")</f>
        <v/>
      </c>
      <c r="AA434" s="16" t="str">
        <f aca="false">IF(AND($H434&lt;&gt;"",N($N434)=0),COUNTIFS($H$6:$H434,"&lt;&gt;",$N$6:$N434,"&lt;=0"),"")</f>
        <v/>
      </c>
      <c r="AB434" s="16" t="str">
        <f aca="false">IF($C434="","",IF(COUNTIF($C$6:$C434,$C434)&gt;1,"",MAX($AB$5:AB433)+1))</f>
        <v/>
      </c>
      <c r="AC434" s="16" t="str">
        <f aca="false">IF($H434="","",IF(COUNTIF($H$6:$H434,$H434)&gt;1,"",MAX($AC$5:AC433)+1))</f>
        <v/>
      </c>
    </row>
    <row r="435" customFormat="false" ht="15" hidden="false" customHeight="false" outlineLevel="0" collapsed="false">
      <c r="A435" s="16" t="str">
        <f aca="false">IF($C435="","",COUNTA($C$6:$C435))</f>
        <v/>
      </c>
      <c r="B435" s="17"/>
      <c r="C435" s="8"/>
      <c r="D435" s="8"/>
      <c r="E435" s="8"/>
      <c r="F435" s="8"/>
      <c r="G435" s="8"/>
      <c r="H435" s="8"/>
      <c r="I435" s="9"/>
      <c r="J435" s="10" t="str">
        <f aca="false">IF($H435="","",IFERROR(VLOOKUP($H435,'BẢNG GIÁ GỐC'!$A$5:$D$204,3,FALSE()),""))</f>
        <v/>
      </c>
      <c r="K435" s="9"/>
      <c r="L435" s="10" t="str">
        <f aca="false">IF($C435="","",N($I435)*N($K435))</f>
        <v/>
      </c>
      <c r="M435" s="8"/>
      <c r="N435" s="11" t="str">
        <f aca="false">IF($C435="","",IF($M435="VAT 5%",0.05,IF($M435="VAT 8%",0.08,IF($M435="VAT 10%",0.1,0))))</f>
        <v/>
      </c>
      <c r="O435" s="10" t="str">
        <f aca="false">IF($C435="","",$L435*$N435)</f>
        <v/>
      </c>
      <c r="P435" s="10" t="str">
        <f aca="false">IF($C435="","",$L435+$O435)</f>
        <v/>
      </c>
      <c r="Q435" s="9"/>
      <c r="R435" s="10" t="str">
        <f aca="false">IF($C435="","",MAX(0,$P435-N($Q435)))</f>
        <v/>
      </c>
      <c r="S435" s="19" t="str">
        <f aca="false">IF(OR($C435="",$P435=0),"",IF(N($Q435)&lt;=0,"Chưa thanh toán",IF(N($Q435)&lt;$P435,"Thanh toán một phần","Đã thanh toán")))</f>
        <v/>
      </c>
      <c r="T435" s="10" t="str">
        <f aca="false">IF(OR($C435="",$J435=""),"",N($I435)*$J435)</f>
        <v/>
      </c>
      <c r="U435" s="10" t="str">
        <f aca="false">IF(OR($C435="",$T435=""),"",$L435-$T435)</f>
        <v/>
      </c>
      <c r="V435" s="11" t="str">
        <f aca="false">IF(OR($U435="",$L435=0),"",$U435/$L435)</f>
        <v/>
      </c>
      <c r="W435" s="8"/>
      <c r="X435" s="19" t="str">
        <f aca="false">IF($C435="","",IF(AND($H435="",N($I435)=0,N($K435)=0),"Dòng chỉ lưu thông tin khách (chưa có đơn); ",IF($B435="","Thiếu ngày đặt; ","")&amp;IF($H435="","Thiếu tên sản phẩm; ",IF($J435="","Sản phẩm chưa có trong BẢNG GIÁ GỐC; ",""))&amp;IF(N($I435)&lt;=0,"Thiếu số lượng; ","")&amp;IF(N($K435)&lt;=0,"Thiếu giá bán; ","")&amp;IF(AND($N435&gt;0,$F435=""),"Khách lấy VAT thiếu mã số thuế; ","")&amp;IF(N($Q435)&gt;$P435,"Đã thu vượt tổng phải thu; ","")&amp;IF(AND($L435&gt;0,$U435&lt;0),"CẢNH BÁO: ĐƠN NÀY ĐANG LỖ; ","")))</f>
        <v/>
      </c>
      <c r="Y435" s="16" t="str">
        <f aca="false">IF(AND($C435&lt;&gt;"",$R435&gt;0),COUNTIFS($C$6:$C435,"&lt;&gt;",$R$6:$R435,"&gt;0"),"")</f>
        <v/>
      </c>
      <c r="Z435" s="16" t="str">
        <f aca="false">IF(AND($H435&lt;&gt;"",N($N435)&gt;0),COUNTIFS($H$6:$H435,"&lt;&gt;",$N$6:$N435,"&gt;0"),"")</f>
        <v/>
      </c>
      <c r="AA435" s="16" t="str">
        <f aca="false">IF(AND($H435&lt;&gt;"",N($N435)=0),COUNTIFS($H$6:$H435,"&lt;&gt;",$N$6:$N435,"&lt;=0"),"")</f>
        <v/>
      </c>
      <c r="AB435" s="16" t="str">
        <f aca="false">IF($C435="","",IF(COUNTIF($C$6:$C435,$C435)&gt;1,"",MAX($AB$5:AB434)+1))</f>
        <v/>
      </c>
      <c r="AC435" s="16" t="str">
        <f aca="false">IF($H435="","",IF(COUNTIF($H$6:$H435,$H435)&gt;1,"",MAX($AC$5:AC434)+1))</f>
        <v/>
      </c>
    </row>
    <row r="436" customFormat="false" ht="15" hidden="false" customHeight="false" outlineLevel="0" collapsed="false">
      <c r="A436" s="16" t="str">
        <f aca="false">IF($C436="","",COUNTA($C$6:$C436))</f>
        <v/>
      </c>
      <c r="B436" s="17"/>
      <c r="C436" s="8"/>
      <c r="D436" s="8"/>
      <c r="E436" s="8"/>
      <c r="F436" s="8"/>
      <c r="G436" s="8"/>
      <c r="H436" s="8"/>
      <c r="I436" s="9"/>
      <c r="J436" s="10" t="str">
        <f aca="false">IF($H436="","",IFERROR(VLOOKUP($H436,'BẢNG GIÁ GỐC'!$A$5:$D$204,3,FALSE()),""))</f>
        <v/>
      </c>
      <c r="K436" s="9"/>
      <c r="L436" s="10" t="str">
        <f aca="false">IF($C436="","",N($I436)*N($K436))</f>
        <v/>
      </c>
      <c r="M436" s="8"/>
      <c r="N436" s="11" t="str">
        <f aca="false">IF($C436="","",IF($M436="VAT 5%",0.05,IF($M436="VAT 8%",0.08,IF($M436="VAT 10%",0.1,0))))</f>
        <v/>
      </c>
      <c r="O436" s="10" t="str">
        <f aca="false">IF($C436="","",$L436*$N436)</f>
        <v/>
      </c>
      <c r="P436" s="10" t="str">
        <f aca="false">IF($C436="","",$L436+$O436)</f>
        <v/>
      </c>
      <c r="Q436" s="9"/>
      <c r="R436" s="10" t="str">
        <f aca="false">IF($C436="","",MAX(0,$P436-N($Q436)))</f>
        <v/>
      </c>
      <c r="S436" s="19" t="str">
        <f aca="false">IF(OR($C436="",$P436=0),"",IF(N($Q436)&lt;=0,"Chưa thanh toán",IF(N($Q436)&lt;$P436,"Thanh toán một phần","Đã thanh toán")))</f>
        <v/>
      </c>
      <c r="T436" s="10" t="str">
        <f aca="false">IF(OR($C436="",$J436=""),"",N($I436)*$J436)</f>
        <v/>
      </c>
      <c r="U436" s="10" t="str">
        <f aca="false">IF(OR($C436="",$T436=""),"",$L436-$T436)</f>
        <v/>
      </c>
      <c r="V436" s="11" t="str">
        <f aca="false">IF(OR($U436="",$L436=0),"",$U436/$L436)</f>
        <v/>
      </c>
      <c r="W436" s="8"/>
      <c r="X436" s="19" t="str">
        <f aca="false">IF($C436="","",IF(AND($H436="",N($I436)=0,N($K436)=0),"Dòng chỉ lưu thông tin khách (chưa có đơn); ",IF($B436="","Thiếu ngày đặt; ","")&amp;IF($H436="","Thiếu tên sản phẩm; ",IF($J436="","Sản phẩm chưa có trong BẢNG GIÁ GỐC; ",""))&amp;IF(N($I436)&lt;=0,"Thiếu số lượng; ","")&amp;IF(N($K436)&lt;=0,"Thiếu giá bán; ","")&amp;IF(AND($N436&gt;0,$F436=""),"Khách lấy VAT thiếu mã số thuế; ","")&amp;IF(N($Q436)&gt;$P436,"Đã thu vượt tổng phải thu; ","")&amp;IF(AND($L436&gt;0,$U436&lt;0),"CẢNH BÁO: ĐƠN NÀY ĐANG LỖ; ","")))</f>
        <v/>
      </c>
      <c r="Y436" s="16" t="str">
        <f aca="false">IF(AND($C436&lt;&gt;"",$R436&gt;0),COUNTIFS($C$6:$C436,"&lt;&gt;",$R$6:$R436,"&gt;0"),"")</f>
        <v/>
      </c>
      <c r="Z436" s="16" t="str">
        <f aca="false">IF(AND($H436&lt;&gt;"",N($N436)&gt;0),COUNTIFS($H$6:$H436,"&lt;&gt;",$N$6:$N436,"&gt;0"),"")</f>
        <v/>
      </c>
      <c r="AA436" s="16" t="str">
        <f aca="false">IF(AND($H436&lt;&gt;"",N($N436)=0),COUNTIFS($H$6:$H436,"&lt;&gt;",$N$6:$N436,"&lt;=0"),"")</f>
        <v/>
      </c>
      <c r="AB436" s="16" t="str">
        <f aca="false">IF($C436="","",IF(COUNTIF($C$6:$C436,$C436)&gt;1,"",MAX($AB$5:AB435)+1))</f>
        <v/>
      </c>
      <c r="AC436" s="16" t="str">
        <f aca="false">IF($H436="","",IF(COUNTIF($H$6:$H436,$H436)&gt;1,"",MAX($AC$5:AC435)+1))</f>
        <v/>
      </c>
    </row>
    <row r="437" customFormat="false" ht="15" hidden="false" customHeight="false" outlineLevel="0" collapsed="false">
      <c r="A437" s="16" t="str">
        <f aca="false">IF($C437="","",COUNTA($C$6:$C437))</f>
        <v/>
      </c>
      <c r="B437" s="17"/>
      <c r="C437" s="8"/>
      <c r="D437" s="8"/>
      <c r="E437" s="8"/>
      <c r="F437" s="8"/>
      <c r="G437" s="8"/>
      <c r="H437" s="8"/>
      <c r="I437" s="9"/>
      <c r="J437" s="10" t="str">
        <f aca="false">IF($H437="","",IFERROR(VLOOKUP($H437,'BẢNG GIÁ GỐC'!$A$5:$D$204,3,FALSE()),""))</f>
        <v/>
      </c>
      <c r="K437" s="9"/>
      <c r="L437" s="10" t="str">
        <f aca="false">IF($C437="","",N($I437)*N($K437))</f>
        <v/>
      </c>
      <c r="M437" s="8"/>
      <c r="N437" s="11" t="str">
        <f aca="false">IF($C437="","",IF($M437="VAT 5%",0.05,IF($M437="VAT 8%",0.08,IF($M437="VAT 10%",0.1,0))))</f>
        <v/>
      </c>
      <c r="O437" s="10" t="str">
        <f aca="false">IF($C437="","",$L437*$N437)</f>
        <v/>
      </c>
      <c r="P437" s="10" t="str">
        <f aca="false">IF($C437="","",$L437+$O437)</f>
        <v/>
      </c>
      <c r="Q437" s="9"/>
      <c r="R437" s="10" t="str">
        <f aca="false">IF($C437="","",MAX(0,$P437-N($Q437)))</f>
        <v/>
      </c>
      <c r="S437" s="19" t="str">
        <f aca="false">IF(OR($C437="",$P437=0),"",IF(N($Q437)&lt;=0,"Chưa thanh toán",IF(N($Q437)&lt;$P437,"Thanh toán một phần","Đã thanh toán")))</f>
        <v/>
      </c>
      <c r="T437" s="10" t="str">
        <f aca="false">IF(OR($C437="",$J437=""),"",N($I437)*$J437)</f>
        <v/>
      </c>
      <c r="U437" s="10" t="str">
        <f aca="false">IF(OR($C437="",$T437=""),"",$L437-$T437)</f>
        <v/>
      </c>
      <c r="V437" s="11" t="str">
        <f aca="false">IF(OR($U437="",$L437=0),"",$U437/$L437)</f>
        <v/>
      </c>
      <c r="W437" s="8"/>
      <c r="X437" s="19" t="str">
        <f aca="false">IF($C437="","",IF(AND($H437="",N($I437)=0,N($K437)=0),"Dòng chỉ lưu thông tin khách (chưa có đơn); ",IF($B437="","Thiếu ngày đặt; ","")&amp;IF($H437="","Thiếu tên sản phẩm; ",IF($J437="","Sản phẩm chưa có trong BẢNG GIÁ GỐC; ",""))&amp;IF(N($I437)&lt;=0,"Thiếu số lượng; ","")&amp;IF(N($K437)&lt;=0,"Thiếu giá bán; ","")&amp;IF(AND($N437&gt;0,$F437=""),"Khách lấy VAT thiếu mã số thuế; ","")&amp;IF(N($Q437)&gt;$P437,"Đã thu vượt tổng phải thu; ","")&amp;IF(AND($L437&gt;0,$U437&lt;0),"CẢNH BÁO: ĐƠN NÀY ĐANG LỖ; ","")))</f>
        <v/>
      </c>
      <c r="Y437" s="16" t="str">
        <f aca="false">IF(AND($C437&lt;&gt;"",$R437&gt;0),COUNTIFS($C$6:$C437,"&lt;&gt;",$R$6:$R437,"&gt;0"),"")</f>
        <v/>
      </c>
      <c r="Z437" s="16" t="str">
        <f aca="false">IF(AND($H437&lt;&gt;"",N($N437)&gt;0),COUNTIFS($H$6:$H437,"&lt;&gt;",$N$6:$N437,"&gt;0"),"")</f>
        <v/>
      </c>
      <c r="AA437" s="16" t="str">
        <f aca="false">IF(AND($H437&lt;&gt;"",N($N437)=0),COUNTIFS($H$6:$H437,"&lt;&gt;",$N$6:$N437,"&lt;=0"),"")</f>
        <v/>
      </c>
      <c r="AB437" s="16" t="str">
        <f aca="false">IF($C437="","",IF(COUNTIF($C$6:$C437,$C437)&gt;1,"",MAX($AB$5:AB436)+1))</f>
        <v/>
      </c>
      <c r="AC437" s="16" t="str">
        <f aca="false">IF($H437="","",IF(COUNTIF($H$6:$H437,$H437)&gt;1,"",MAX($AC$5:AC436)+1))</f>
        <v/>
      </c>
    </row>
    <row r="438" customFormat="false" ht="15" hidden="false" customHeight="false" outlineLevel="0" collapsed="false">
      <c r="A438" s="16" t="str">
        <f aca="false">IF($C438="","",COUNTA($C$6:$C438))</f>
        <v/>
      </c>
      <c r="B438" s="17"/>
      <c r="C438" s="8"/>
      <c r="D438" s="8"/>
      <c r="E438" s="8"/>
      <c r="F438" s="8"/>
      <c r="G438" s="8"/>
      <c r="H438" s="8"/>
      <c r="I438" s="9"/>
      <c r="J438" s="10" t="str">
        <f aca="false">IF($H438="","",IFERROR(VLOOKUP($H438,'BẢNG GIÁ GỐC'!$A$5:$D$204,3,FALSE()),""))</f>
        <v/>
      </c>
      <c r="K438" s="9"/>
      <c r="L438" s="10" t="str">
        <f aca="false">IF($C438="","",N($I438)*N($K438))</f>
        <v/>
      </c>
      <c r="M438" s="8"/>
      <c r="N438" s="11" t="str">
        <f aca="false">IF($C438="","",IF($M438="VAT 5%",0.05,IF($M438="VAT 8%",0.08,IF($M438="VAT 10%",0.1,0))))</f>
        <v/>
      </c>
      <c r="O438" s="10" t="str">
        <f aca="false">IF($C438="","",$L438*$N438)</f>
        <v/>
      </c>
      <c r="P438" s="10" t="str">
        <f aca="false">IF($C438="","",$L438+$O438)</f>
        <v/>
      </c>
      <c r="Q438" s="9"/>
      <c r="R438" s="10" t="str">
        <f aca="false">IF($C438="","",MAX(0,$P438-N($Q438)))</f>
        <v/>
      </c>
      <c r="S438" s="19" t="str">
        <f aca="false">IF(OR($C438="",$P438=0),"",IF(N($Q438)&lt;=0,"Chưa thanh toán",IF(N($Q438)&lt;$P438,"Thanh toán một phần","Đã thanh toán")))</f>
        <v/>
      </c>
      <c r="T438" s="10" t="str">
        <f aca="false">IF(OR($C438="",$J438=""),"",N($I438)*$J438)</f>
        <v/>
      </c>
      <c r="U438" s="10" t="str">
        <f aca="false">IF(OR($C438="",$T438=""),"",$L438-$T438)</f>
        <v/>
      </c>
      <c r="V438" s="11" t="str">
        <f aca="false">IF(OR($U438="",$L438=0),"",$U438/$L438)</f>
        <v/>
      </c>
      <c r="W438" s="8"/>
      <c r="X438" s="19" t="str">
        <f aca="false">IF($C438="","",IF(AND($H438="",N($I438)=0,N($K438)=0),"Dòng chỉ lưu thông tin khách (chưa có đơn); ",IF($B438="","Thiếu ngày đặt; ","")&amp;IF($H438="","Thiếu tên sản phẩm; ",IF($J438="","Sản phẩm chưa có trong BẢNG GIÁ GỐC; ",""))&amp;IF(N($I438)&lt;=0,"Thiếu số lượng; ","")&amp;IF(N($K438)&lt;=0,"Thiếu giá bán; ","")&amp;IF(AND($N438&gt;0,$F438=""),"Khách lấy VAT thiếu mã số thuế; ","")&amp;IF(N($Q438)&gt;$P438,"Đã thu vượt tổng phải thu; ","")&amp;IF(AND($L438&gt;0,$U438&lt;0),"CẢNH BÁO: ĐƠN NÀY ĐANG LỖ; ","")))</f>
        <v/>
      </c>
      <c r="Y438" s="16" t="str">
        <f aca="false">IF(AND($C438&lt;&gt;"",$R438&gt;0),COUNTIFS($C$6:$C438,"&lt;&gt;",$R$6:$R438,"&gt;0"),"")</f>
        <v/>
      </c>
      <c r="Z438" s="16" t="str">
        <f aca="false">IF(AND($H438&lt;&gt;"",N($N438)&gt;0),COUNTIFS($H$6:$H438,"&lt;&gt;",$N$6:$N438,"&gt;0"),"")</f>
        <v/>
      </c>
      <c r="AA438" s="16" t="str">
        <f aca="false">IF(AND($H438&lt;&gt;"",N($N438)=0),COUNTIFS($H$6:$H438,"&lt;&gt;",$N$6:$N438,"&lt;=0"),"")</f>
        <v/>
      </c>
      <c r="AB438" s="16" t="str">
        <f aca="false">IF($C438="","",IF(COUNTIF($C$6:$C438,$C438)&gt;1,"",MAX($AB$5:AB437)+1))</f>
        <v/>
      </c>
      <c r="AC438" s="16" t="str">
        <f aca="false">IF($H438="","",IF(COUNTIF($H$6:$H438,$H438)&gt;1,"",MAX($AC$5:AC437)+1))</f>
        <v/>
      </c>
    </row>
    <row r="439" customFormat="false" ht="15" hidden="false" customHeight="false" outlineLevel="0" collapsed="false">
      <c r="A439" s="16" t="str">
        <f aca="false">IF($C439="","",COUNTA($C$6:$C439))</f>
        <v/>
      </c>
      <c r="B439" s="17"/>
      <c r="C439" s="8"/>
      <c r="D439" s="8"/>
      <c r="E439" s="8"/>
      <c r="F439" s="8"/>
      <c r="G439" s="8"/>
      <c r="H439" s="8"/>
      <c r="I439" s="9"/>
      <c r="J439" s="10" t="str">
        <f aca="false">IF($H439="","",IFERROR(VLOOKUP($H439,'BẢNG GIÁ GỐC'!$A$5:$D$204,3,FALSE()),""))</f>
        <v/>
      </c>
      <c r="K439" s="9"/>
      <c r="L439" s="10" t="str">
        <f aca="false">IF($C439="","",N($I439)*N($K439))</f>
        <v/>
      </c>
      <c r="M439" s="8"/>
      <c r="N439" s="11" t="str">
        <f aca="false">IF($C439="","",IF($M439="VAT 5%",0.05,IF($M439="VAT 8%",0.08,IF($M439="VAT 10%",0.1,0))))</f>
        <v/>
      </c>
      <c r="O439" s="10" t="str">
        <f aca="false">IF($C439="","",$L439*$N439)</f>
        <v/>
      </c>
      <c r="P439" s="10" t="str">
        <f aca="false">IF($C439="","",$L439+$O439)</f>
        <v/>
      </c>
      <c r="Q439" s="9"/>
      <c r="R439" s="10" t="str">
        <f aca="false">IF($C439="","",MAX(0,$P439-N($Q439)))</f>
        <v/>
      </c>
      <c r="S439" s="19" t="str">
        <f aca="false">IF(OR($C439="",$P439=0),"",IF(N($Q439)&lt;=0,"Chưa thanh toán",IF(N($Q439)&lt;$P439,"Thanh toán một phần","Đã thanh toán")))</f>
        <v/>
      </c>
      <c r="T439" s="10" t="str">
        <f aca="false">IF(OR($C439="",$J439=""),"",N($I439)*$J439)</f>
        <v/>
      </c>
      <c r="U439" s="10" t="str">
        <f aca="false">IF(OR($C439="",$T439=""),"",$L439-$T439)</f>
        <v/>
      </c>
      <c r="V439" s="11" t="str">
        <f aca="false">IF(OR($U439="",$L439=0),"",$U439/$L439)</f>
        <v/>
      </c>
      <c r="W439" s="8"/>
      <c r="X439" s="19" t="str">
        <f aca="false">IF($C439="","",IF(AND($H439="",N($I439)=0,N($K439)=0),"Dòng chỉ lưu thông tin khách (chưa có đơn); ",IF($B439="","Thiếu ngày đặt; ","")&amp;IF($H439="","Thiếu tên sản phẩm; ",IF($J439="","Sản phẩm chưa có trong BẢNG GIÁ GỐC; ",""))&amp;IF(N($I439)&lt;=0,"Thiếu số lượng; ","")&amp;IF(N($K439)&lt;=0,"Thiếu giá bán; ","")&amp;IF(AND($N439&gt;0,$F439=""),"Khách lấy VAT thiếu mã số thuế; ","")&amp;IF(N($Q439)&gt;$P439,"Đã thu vượt tổng phải thu; ","")&amp;IF(AND($L439&gt;0,$U439&lt;0),"CẢNH BÁO: ĐƠN NÀY ĐANG LỖ; ","")))</f>
        <v/>
      </c>
      <c r="Y439" s="16" t="str">
        <f aca="false">IF(AND($C439&lt;&gt;"",$R439&gt;0),COUNTIFS($C$6:$C439,"&lt;&gt;",$R$6:$R439,"&gt;0"),"")</f>
        <v/>
      </c>
      <c r="Z439" s="16" t="str">
        <f aca="false">IF(AND($H439&lt;&gt;"",N($N439)&gt;0),COUNTIFS($H$6:$H439,"&lt;&gt;",$N$6:$N439,"&gt;0"),"")</f>
        <v/>
      </c>
      <c r="AA439" s="16" t="str">
        <f aca="false">IF(AND($H439&lt;&gt;"",N($N439)=0),COUNTIFS($H$6:$H439,"&lt;&gt;",$N$6:$N439,"&lt;=0"),"")</f>
        <v/>
      </c>
      <c r="AB439" s="16" t="str">
        <f aca="false">IF($C439="","",IF(COUNTIF($C$6:$C439,$C439)&gt;1,"",MAX($AB$5:AB438)+1))</f>
        <v/>
      </c>
      <c r="AC439" s="16" t="str">
        <f aca="false">IF($H439="","",IF(COUNTIF($H$6:$H439,$H439)&gt;1,"",MAX($AC$5:AC438)+1))</f>
        <v/>
      </c>
    </row>
    <row r="440" customFormat="false" ht="15" hidden="false" customHeight="false" outlineLevel="0" collapsed="false">
      <c r="A440" s="16" t="str">
        <f aca="false">IF($C440="","",COUNTA($C$6:$C440))</f>
        <v/>
      </c>
      <c r="B440" s="17"/>
      <c r="C440" s="8"/>
      <c r="D440" s="8"/>
      <c r="E440" s="8"/>
      <c r="F440" s="8"/>
      <c r="G440" s="8"/>
      <c r="H440" s="8"/>
      <c r="I440" s="9"/>
      <c r="J440" s="10" t="str">
        <f aca="false">IF($H440="","",IFERROR(VLOOKUP($H440,'BẢNG GIÁ GỐC'!$A$5:$D$204,3,FALSE()),""))</f>
        <v/>
      </c>
      <c r="K440" s="9"/>
      <c r="L440" s="10" t="str">
        <f aca="false">IF($C440="","",N($I440)*N($K440))</f>
        <v/>
      </c>
      <c r="M440" s="8"/>
      <c r="N440" s="11" t="str">
        <f aca="false">IF($C440="","",IF($M440="VAT 5%",0.05,IF($M440="VAT 8%",0.08,IF($M440="VAT 10%",0.1,0))))</f>
        <v/>
      </c>
      <c r="O440" s="10" t="str">
        <f aca="false">IF($C440="","",$L440*$N440)</f>
        <v/>
      </c>
      <c r="P440" s="10" t="str">
        <f aca="false">IF($C440="","",$L440+$O440)</f>
        <v/>
      </c>
      <c r="Q440" s="9"/>
      <c r="R440" s="10" t="str">
        <f aca="false">IF($C440="","",MAX(0,$P440-N($Q440)))</f>
        <v/>
      </c>
      <c r="S440" s="19" t="str">
        <f aca="false">IF(OR($C440="",$P440=0),"",IF(N($Q440)&lt;=0,"Chưa thanh toán",IF(N($Q440)&lt;$P440,"Thanh toán một phần","Đã thanh toán")))</f>
        <v/>
      </c>
      <c r="T440" s="10" t="str">
        <f aca="false">IF(OR($C440="",$J440=""),"",N($I440)*$J440)</f>
        <v/>
      </c>
      <c r="U440" s="10" t="str">
        <f aca="false">IF(OR($C440="",$T440=""),"",$L440-$T440)</f>
        <v/>
      </c>
      <c r="V440" s="11" t="str">
        <f aca="false">IF(OR($U440="",$L440=0),"",$U440/$L440)</f>
        <v/>
      </c>
      <c r="W440" s="8"/>
      <c r="X440" s="19" t="str">
        <f aca="false">IF($C440="","",IF(AND($H440="",N($I440)=0,N($K440)=0),"Dòng chỉ lưu thông tin khách (chưa có đơn); ",IF($B440="","Thiếu ngày đặt; ","")&amp;IF($H440="","Thiếu tên sản phẩm; ",IF($J440="","Sản phẩm chưa có trong BẢNG GIÁ GỐC; ",""))&amp;IF(N($I440)&lt;=0,"Thiếu số lượng; ","")&amp;IF(N($K440)&lt;=0,"Thiếu giá bán; ","")&amp;IF(AND($N440&gt;0,$F440=""),"Khách lấy VAT thiếu mã số thuế; ","")&amp;IF(N($Q440)&gt;$P440,"Đã thu vượt tổng phải thu; ","")&amp;IF(AND($L440&gt;0,$U440&lt;0),"CẢNH BÁO: ĐƠN NÀY ĐANG LỖ; ","")))</f>
        <v/>
      </c>
      <c r="Y440" s="16" t="str">
        <f aca="false">IF(AND($C440&lt;&gt;"",$R440&gt;0),COUNTIFS($C$6:$C440,"&lt;&gt;",$R$6:$R440,"&gt;0"),"")</f>
        <v/>
      </c>
      <c r="Z440" s="16" t="str">
        <f aca="false">IF(AND($H440&lt;&gt;"",N($N440)&gt;0),COUNTIFS($H$6:$H440,"&lt;&gt;",$N$6:$N440,"&gt;0"),"")</f>
        <v/>
      </c>
      <c r="AA440" s="16" t="str">
        <f aca="false">IF(AND($H440&lt;&gt;"",N($N440)=0),COUNTIFS($H$6:$H440,"&lt;&gt;",$N$6:$N440,"&lt;=0"),"")</f>
        <v/>
      </c>
      <c r="AB440" s="16" t="str">
        <f aca="false">IF($C440="","",IF(COUNTIF($C$6:$C440,$C440)&gt;1,"",MAX($AB$5:AB439)+1))</f>
        <v/>
      </c>
      <c r="AC440" s="16" t="str">
        <f aca="false">IF($H440="","",IF(COUNTIF($H$6:$H440,$H440)&gt;1,"",MAX($AC$5:AC439)+1))</f>
        <v/>
      </c>
    </row>
    <row r="441" customFormat="false" ht="15" hidden="false" customHeight="false" outlineLevel="0" collapsed="false">
      <c r="A441" s="16" t="str">
        <f aca="false">IF($C441="","",COUNTA($C$6:$C441))</f>
        <v/>
      </c>
      <c r="B441" s="17"/>
      <c r="C441" s="8"/>
      <c r="D441" s="8"/>
      <c r="E441" s="8"/>
      <c r="F441" s="8"/>
      <c r="G441" s="8"/>
      <c r="H441" s="8"/>
      <c r="I441" s="9"/>
      <c r="J441" s="10" t="str">
        <f aca="false">IF($H441="","",IFERROR(VLOOKUP($H441,'BẢNG GIÁ GỐC'!$A$5:$D$204,3,FALSE()),""))</f>
        <v/>
      </c>
      <c r="K441" s="9"/>
      <c r="L441" s="10" t="str">
        <f aca="false">IF($C441="","",N($I441)*N($K441))</f>
        <v/>
      </c>
      <c r="M441" s="8"/>
      <c r="N441" s="11" t="str">
        <f aca="false">IF($C441="","",IF($M441="VAT 5%",0.05,IF($M441="VAT 8%",0.08,IF($M441="VAT 10%",0.1,0))))</f>
        <v/>
      </c>
      <c r="O441" s="10" t="str">
        <f aca="false">IF($C441="","",$L441*$N441)</f>
        <v/>
      </c>
      <c r="P441" s="10" t="str">
        <f aca="false">IF($C441="","",$L441+$O441)</f>
        <v/>
      </c>
      <c r="Q441" s="9"/>
      <c r="R441" s="10" t="str">
        <f aca="false">IF($C441="","",MAX(0,$P441-N($Q441)))</f>
        <v/>
      </c>
      <c r="S441" s="19" t="str">
        <f aca="false">IF(OR($C441="",$P441=0),"",IF(N($Q441)&lt;=0,"Chưa thanh toán",IF(N($Q441)&lt;$P441,"Thanh toán một phần","Đã thanh toán")))</f>
        <v/>
      </c>
      <c r="T441" s="10" t="str">
        <f aca="false">IF(OR($C441="",$J441=""),"",N($I441)*$J441)</f>
        <v/>
      </c>
      <c r="U441" s="10" t="str">
        <f aca="false">IF(OR($C441="",$T441=""),"",$L441-$T441)</f>
        <v/>
      </c>
      <c r="V441" s="11" t="str">
        <f aca="false">IF(OR($U441="",$L441=0),"",$U441/$L441)</f>
        <v/>
      </c>
      <c r="W441" s="8"/>
      <c r="X441" s="19" t="str">
        <f aca="false">IF($C441="","",IF(AND($H441="",N($I441)=0,N($K441)=0),"Dòng chỉ lưu thông tin khách (chưa có đơn); ",IF($B441="","Thiếu ngày đặt; ","")&amp;IF($H441="","Thiếu tên sản phẩm; ",IF($J441="","Sản phẩm chưa có trong BẢNG GIÁ GỐC; ",""))&amp;IF(N($I441)&lt;=0,"Thiếu số lượng; ","")&amp;IF(N($K441)&lt;=0,"Thiếu giá bán; ","")&amp;IF(AND($N441&gt;0,$F441=""),"Khách lấy VAT thiếu mã số thuế; ","")&amp;IF(N($Q441)&gt;$P441,"Đã thu vượt tổng phải thu; ","")&amp;IF(AND($L441&gt;0,$U441&lt;0),"CẢNH BÁO: ĐƠN NÀY ĐANG LỖ; ","")))</f>
        <v/>
      </c>
      <c r="Y441" s="16" t="str">
        <f aca="false">IF(AND($C441&lt;&gt;"",$R441&gt;0),COUNTIFS($C$6:$C441,"&lt;&gt;",$R$6:$R441,"&gt;0"),"")</f>
        <v/>
      </c>
      <c r="Z441" s="16" t="str">
        <f aca="false">IF(AND($H441&lt;&gt;"",N($N441)&gt;0),COUNTIFS($H$6:$H441,"&lt;&gt;",$N$6:$N441,"&gt;0"),"")</f>
        <v/>
      </c>
      <c r="AA441" s="16" t="str">
        <f aca="false">IF(AND($H441&lt;&gt;"",N($N441)=0),COUNTIFS($H$6:$H441,"&lt;&gt;",$N$6:$N441,"&lt;=0"),"")</f>
        <v/>
      </c>
      <c r="AB441" s="16" t="str">
        <f aca="false">IF($C441="","",IF(COUNTIF($C$6:$C441,$C441)&gt;1,"",MAX($AB$5:AB440)+1))</f>
        <v/>
      </c>
      <c r="AC441" s="16" t="str">
        <f aca="false">IF($H441="","",IF(COUNTIF($H$6:$H441,$H441)&gt;1,"",MAX($AC$5:AC440)+1))</f>
        <v/>
      </c>
    </row>
    <row r="442" customFormat="false" ht="15" hidden="false" customHeight="false" outlineLevel="0" collapsed="false">
      <c r="A442" s="16" t="str">
        <f aca="false">IF($C442="","",COUNTA($C$6:$C442))</f>
        <v/>
      </c>
      <c r="B442" s="17"/>
      <c r="C442" s="8"/>
      <c r="D442" s="8"/>
      <c r="E442" s="8"/>
      <c r="F442" s="8"/>
      <c r="G442" s="8"/>
      <c r="H442" s="8"/>
      <c r="I442" s="9"/>
      <c r="J442" s="10" t="str">
        <f aca="false">IF($H442="","",IFERROR(VLOOKUP($H442,'BẢNG GIÁ GỐC'!$A$5:$D$204,3,FALSE()),""))</f>
        <v/>
      </c>
      <c r="K442" s="9"/>
      <c r="L442" s="10" t="str">
        <f aca="false">IF($C442="","",N($I442)*N($K442))</f>
        <v/>
      </c>
      <c r="M442" s="8"/>
      <c r="N442" s="11" t="str">
        <f aca="false">IF($C442="","",IF($M442="VAT 5%",0.05,IF($M442="VAT 8%",0.08,IF($M442="VAT 10%",0.1,0))))</f>
        <v/>
      </c>
      <c r="O442" s="10" t="str">
        <f aca="false">IF($C442="","",$L442*$N442)</f>
        <v/>
      </c>
      <c r="P442" s="10" t="str">
        <f aca="false">IF($C442="","",$L442+$O442)</f>
        <v/>
      </c>
      <c r="Q442" s="9"/>
      <c r="R442" s="10" t="str">
        <f aca="false">IF($C442="","",MAX(0,$P442-N($Q442)))</f>
        <v/>
      </c>
      <c r="S442" s="19" t="str">
        <f aca="false">IF(OR($C442="",$P442=0),"",IF(N($Q442)&lt;=0,"Chưa thanh toán",IF(N($Q442)&lt;$P442,"Thanh toán một phần","Đã thanh toán")))</f>
        <v/>
      </c>
      <c r="T442" s="10" t="str">
        <f aca="false">IF(OR($C442="",$J442=""),"",N($I442)*$J442)</f>
        <v/>
      </c>
      <c r="U442" s="10" t="str">
        <f aca="false">IF(OR($C442="",$T442=""),"",$L442-$T442)</f>
        <v/>
      </c>
      <c r="V442" s="11" t="str">
        <f aca="false">IF(OR($U442="",$L442=0),"",$U442/$L442)</f>
        <v/>
      </c>
      <c r="W442" s="8"/>
      <c r="X442" s="19" t="str">
        <f aca="false">IF($C442="","",IF(AND($H442="",N($I442)=0,N($K442)=0),"Dòng chỉ lưu thông tin khách (chưa có đơn); ",IF($B442="","Thiếu ngày đặt; ","")&amp;IF($H442="","Thiếu tên sản phẩm; ",IF($J442="","Sản phẩm chưa có trong BẢNG GIÁ GỐC; ",""))&amp;IF(N($I442)&lt;=0,"Thiếu số lượng; ","")&amp;IF(N($K442)&lt;=0,"Thiếu giá bán; ","")&amp;IF(AND($N442&gt;0,$F442=""),"Khách lấy VAT thiếu mã số thuế; ","")&amp;IF(N($Q442)&gt;$P442,"Đã thu vượt tổng phải thu; ","")&amp;IF(AND($L442&gt;0,$U442&lt;0),"CẢNH BÁO: ĐƠN NÀY ĐANG LỖ; ","")))</f>
        <v/>
      </c>
      <c r="Y442" s="16" t="str">
        <f aca="false">IF(AND($C442&lt;&gt;"",$R442&gt;0),COUNTIFS($C$6:$C442,"&lt;&gt;",$R$6:$R442,"&gt;0"),"")</f>
        <v/>
      </c>
      <c r="Z442" s="16" t="str">
        <f aca="false">IF(AND($H442&lt;&gt;"",N($N442)&gt;0),COUNTIFS($H$6:$H442,"&lt;&gt;",$N$6:$N442,"&gt;0"),"")</f>
        <v/>
      </c>
      <c r="AA442" s="16" t="str">
        <f aca="false">IF(AND($H442&lt;&gt;"",N($N442)=0),COUNTIFS($H$6:$H442,"&lt;&gt;",$N$6:$N442,"&lt;=0"),"")</f>
        <v/>
      </c>
      <c r="AB442" s="16" t="str">
        <f aca="false">IF($C442="","",IF(COUNTIF($C$6:$C442,$C442)&gt;1,"",MAX($AB$5:AB441)+1))</f>
        <v/>
      </c>
      <c r="AC442" s="16" t="str">
        <f aca="false">IF($H442="","",IF(COUNTIF($H$6:$H442,$H442)&gt;1,"",MAX($AC$5:AC441)+1))</f>
        <v/>
      </c>
    </row>
    <row r="443" customFormat="false" ht="15" hidden="false" customHeight="false" outlineLevel="0" collapsed="false">
      <c r="A443" s="16" t="str">
        <f aca="false">IF($C443="","",COUNTA($C$6:$C443))</f>
        <v/>
      </c>
      <c r="B443" s="17"/>
      <c r="C443" s="8"/>
      <c r="D443" s="8"/>
      <c r="E443" s="8"/>
      <c r="F443" s="8"/>
      <c r="G443" s="8"/>
      <c r="H443" s="8"/>
      <c r="I443" s="9"/>
      <c r="J443" s="10" t="str">
        <f aca="false">IF($H443="","",IFERROR(VLOOKUP($H443,'BẢNG GIÁ GỐC'!$A$5:$D$204,3,FALSE()),""))</f>
        <v/>
      </c>
      <c r="K443" s="9"/>
      <c r="L443" s="10" t="str">
        <f aca="false">IF($C443="","",N($I443)*N($K443))</f>
        <v/>
      </c>
      <c r="M443" s="8"/>
      <c r="N443" s="11" t="str">
        <f aca="false">IF($C443="","",IF($M443="VAT 5%",0.05,IF($M443="VAT 8%",0.08,IF($M443="VAT 10%",0.1,0))))</f>
        <v/>
      </c>
      <c r="O443" s="10" t="str">
        <f aca="false">IF($C443="","",$L443*$N443)</f>
        <v/>
      </c>
      <c r="P443" s="10" t="str">
        <f aca="false">IF($C443="","",$L443+$O443)</f>
        <v/>
      </c>
      <c r="Q443" s="9"/>
      <c r="R443" s="10" t="str">
        <f aca="false">IF($C443="","",MAX(0,$P443-N($Q443)))</f>
        <v/>
      </c>
      <c r="S443" s="19" t="str">
        <f aca="false">IF(OR($C443="",$P443=0),"",IF(N($Q443)&lt;=0,"Chưa thanh toán",IF(N($Q443)&lt;$P443,"Thanh toán một phần","Đã thanh toán")))</f>
        <v/>
      </c>
      <c r="T443" s="10" t="str">
        <f aca="false">IF(OR($C443="",$J443=""),"",N($I443)*$J443)</f>
        <v/>
      </c>
      <c r="U443" s="10" t="str">
        <f aca="false">IF(OR($C443="",$T443=""),"",$L443-$T443)</f>
        <v/>
      </c>
      <c r="V443" s="11" t="str">
        <f aca="false">IF(OR($U443="",$L443=0),"",$U443/$L443)</f>
        <v/>
      </c>
      <c r="W443" s="8"/>
      <c r="X443" s="19" t="str">
        <f aca="false">IF($C443="","",IF(AND($H443="",N($I443)=0,N($K443)=0),"Dòng chỉ lưu thông tin khách (chưa có đơn); ",IF($B443="","Thiếu ngày đặt; ","")&amp;IF($H443="","Thiếu tên sản phẩm; ",IF($J443="","Sản phẩm chưa có trong BẢNG GIÁ GỐC; ",""))&amp;IF(N($I443)&lt;=0,"Thiếu số lượng; ","")&amp;IF(N($K443)&lt;=0,"Thiếu giá bán; ","")&amp;IF(AND($N443&gt;0,$F443=""),"Khách lấy VAT thiếu mã số thuế; ","")&amp;IF(N($Q443)&gt;$P443,"Đã thu vượt tổng phải thu; ","")&amp;IF(AND($L443&gt;0,$U443&lt;0),"CẢNH BÁO: ĐƠN NÀY ĐANG LỖ; ","")))</f>
        <v/>
      </c>
      <c r="Y443" s="16" t="str">
        <f aca="false">IF(AND($C443&lt;&gt;"",$R443&gt;0),COUNTIFS($C$6:$C443,"&lt;&gt;",$R$6:$R443,"&gt;0"),"")</f>
        <v/>
      </c>
      <c r="Z443" s="16" t="str">
        <f aca="false">IF(AND($H443&lt;&gt;"",N($N443)&gt;0),COUNTIFS($H$6:$H443,"&lt;&gt;",$N$6:$N443,"&gt;0"),"")</f>
        <v/>
      </c>
      <c r="AA443" s="16" t="str">
        <f aca="false">IF(AND($H443&lt;&gt;"",N($N443)=0),COUNTIFS($H$6:$H443,"&lt;&gt;",$N$6:$N443,"&lt;=0"),"")</f>
        <v/>
      </c>
      <c r="AB443" s="16" t="str">
        <f aca="false">IF($C443="","",IF(COUNTIF($C$6:$C443,$C443)&gt;1,"",MAX($AB$5:AB442)+1))</f>
        <v/>
      </c>
      <c r="AC443" s="16" t="str">
        <f aca="false">IF($H443="","",IF(COUNTIF($H$6:$H443,$H443)&gt;1,"",MAX($AC$5:AC442)+1))</f>
        <v/>
      </c>
    </row>
    <row r="444" customFormat="false" ht="15" hidden="false" customHeight="false" outlineLevel="0" collapsed="false">
      <c r="A444" s="16" t="str">
        <f aca="false">IF($C444="","",COUNTA($C$6:$C444))</f>
        <v/>
      </c>
      <c r="B444" s="17"/>
      <c r="C444" s="8"/>
      <c r="D444" s="8"/>
      <c r="E444" s="8"/>
      <c r="F444" s="8"/>
      <c r="G444" s="8"/>
      <c r="H444" s="8"/>
      <c r="I444" s="9"/>
      <c r="J444" s="10" t="str">
        <f aca="false">IF($H444="","",IFERROR(VLOOKUP($H444,'BẢNG GIÁ GỐC'!$A$5:$D$204,3,FALSE()),""))</f>
        <v/>
      </c>
      <c r="K444" s="9"/>
      <c r="L444" s="10" t="str">
        <f aca="false">IF($C444="","",N($I444)*N($K444))</f>
        <v/>
      </c>
      <c r="M444" s="8"/>
      <c r="N444" s="11" t="str">
        <f aca="false">IF($C444="","",IF($M444="VAT 5%",0.05,IF($M444="VAT 8%",0.08,IF($M444="VAT 10%",0.1,0))))</f>
        <v/>
      </c>
      <c r="O444" s="10" t="str">
        <f aca="false">IF($C444="","",$L444*$N444)</f>
        <v/>
      </c>
      <c r="P444" s="10" t="str">
        <f aca="false">IF($C444="","",$L444+$O444)</f>
        <v/>
      </c>
      <c r="Q444" s="9"/>
      <c r="R444" s="10" t="str">
        <f aca="false">IF($C444="","",MAX(0,$P444-N($Q444)))</f>
        <v/>
      </c>
      <c r="S444" s="19" t="str">
        <f aca="false">IF(OR($C444="",$P444=0),"",IF(N($Q444)&lt;=0,"Chưa thanh toán",IF(N($Q444)&lt;$P444,"Thanh toán một phần","Đã thanh toán")))</f>
        <v/>
      </c>
      <c r="T444" s="10" t="str">
        <f aca="false">IF(OR($C444="",$J444=""),"",N($I444)*$J444)</f>
        <v/>
      </c>
      <c r="U444" s="10" t="str">
        <f aca="false">IF(OR($C444="",$T444=""),"",$L444-$T444)</f>
        <v/>
      </c>
      <c r="V444" s="11" t="str">
        <f aca="false">IF(OR($U444="",$L444=0),"",$U444/$L444)</f>
        <v/>
      </c>
      <c r="W444" s="8"/>
      <c r="X444" s="19" t="str">
        <f aca="false">IF($C444="","",IF(AND($H444="",N($I444)=0,N($K444)=0),"Dòng chỉ lưu thông tin khách (chưa có đơn); ",IF($B444="","Thiếu ngày đặt; ","")&amp;IF($H444="","Thiếu tên sản phẩm; ",IF($J444="","Sản phẩm chưa có trong BẢNG GIÁ GỐC; ",""))&amp;IF(N($I444)&lt;=0,"Thiếu số lượng; ","")&amp;IF(N($K444)&lt;=0,"Thiếu giá bán; ","")&amp;IF(AND($N444&gt;0,$F444=""),"Khách lấy VAT thiếu mã số thuế; ","")&amp;IF(N($Q444)&gt;$P444,"Đã thu vượt tổng phải thu; ","")&amp;IF(AND($L444&gt;0,$U444&lt;0),"CẢNH BÁO: ĐƠN NÀY ĐANG LỖ; ","")))</f>
        <v/>
      </c>
      <c r="Y444" s="16" t="str">
        <f aca="false">IF(AND($C444&lt;&gt;"",$R444&gt;0),COUNTIFS($C$6:$C444,"&lt;&gt;",$R$6:$R444,"&gt;0"),"")</f>
        <v/>
      </c>
      <c r="Z444" s="16" t="str">
        <f aca="false">IF(AND($H444&lt;&gt;"",N($N444)&gt;0),COUNTIFS($H$6:$H444,"&lt;&gt;",$N$6:$N444,"&gt;0"),"")</f>
        <v/>
      </c>
      <c r="AA444" s="16" t="str">
        <f aca="false">IF(AND($H444&lt;&gt;"",N($N444)=0),COUNTIFS($H$6:$H444,"&lt;&gt;",$N$6:$N444,"&lt;=0"),"")</f>
        <v/>
      </c>
      <c r="AB444" s="16" t="str">
        <f aca="false">IF($C444="","",IF(COUNTIF($C$6:$C444,$C444)&gt;1,"",MAX($AB$5:AB443)+1))</f>
        <v/>
      </c>
      <c r="AC444" s="16" t="str">
        <f aca="false">IF($H444="","",IF(COUNTIF($H$6:$H444,$H444)&gt;1,"",MAX($AC$5:AC443)+1))</f>
        <v/>
      </c>
    </row>
    <row r="445" customFormat="false" ht="15" hidden="false" customHeight="false" outlineLevel="0" collapsed="false">
      <c r="A445" s="16" t="str">
        <f aca="false">IF($C445="","",COUNTA($C$6:$C445))</f>
        <v/>
      </c>
      <c r="B445" s="17"/>
      <c r="C445" s="8"/>
      <c r="D445" s="8"/>
      <c r="E445" s="8"/>
      <c r="F445" s="8"/>
      <c r="G445" s="8"/>
      <c r="H445" s="8"/>
      <c r="I445" s="9"/>
      <c r="J445" s="10" t="str">
        <f aca="false">IF($H445="","",IFERROR(VLOOKUP($H445,'BẢNG GIÁ GỐC'!$A$5:$D$204,3,FALSE()),""))</f>
        <v/>
      </c>
      <c r="K445" s="9"/>
      <c r="L445" s="10" t="str">
        <f aca="false">IF($C445="","",N($I445)*N($K445))</f>
        <v/>
      </c>
      <c r="M445" s="8"/>
      <c r="N445" s="11" t="str">
        <f aca="false">IF($C445="","",IF($M445="VAT 5%",0.05,IF($M445="VAT 8%",0.08,IF($M445="VAT 10%",0.1,0))))</f>
        <v/>
      </c>
      <c r="O445" s="10" t="str">
        <f aca="false">IF($C445="","",$L445*$N445)</f>
        <v/>
      </c>
      <c r="P445" s="10" t="str">
        <f aca="false">IF($C445="","",$L445+$O445)</f>
        <v/>
      </c>
      <c r="Q445" s="9"/>
      <c r="R445" s="10" t="str">
        <f aca="false">IF($C445="","",MAX(0,$P445-N($Q445)))</f>
        <v/>
      </c>
      <c r="S445" s="19" t="str">
        <f aca="false">IF(OR($C445="",$P445=0),"",IF(N($Q445)&lt;=0,"Chưa thanh toán",IF(N($Q445)&lt;$P445,"Thanh toán một phần","Đã thanh toán")))</f>
        <v/>
      </c>
      <c r="T445" s="10" t="str">
        <f aca="false">IF(OR($C445="",$J445=""),"",N($I445)*$J445)</f>
        <v/>
      </c>
      <c r="U445" s="10" t="str">
        <f aca="false">IF(OR($C445="",$T445=""),"",$L445-$T445)</f>
        <v/>
      </c>
      <c r="V445" s="11" t="str">
        <f aca="false">IF(OR($U445="",$L445=0),"",$U445/$L445)</f>
        <v/>
      </c>
      <c r="W445" s="8"/>
      <c r="X445" s="19" t="str">
        <f aca="false">IF($C445="","",IF(AND($H445="",N($I445)=0,N($K445)=0),"Dòng chỉ lưu thông tin khách (chưa có đơn); ",IF($B445="","Thiếu ngày đặt; ","")&amp;IF($H445="","Thiếu tên sản phẩm; ",IF($J445="","Sản phẩm chưa có trong BẢNG GIÁ GỐC; ",""))&amp;IF(N($I445)&lt;=0,"Thiếu số lượng; ","")&amp;IF(N($K445)&lt;=0,"Thiếu giá bán; ","")&amp;IF(AND($N445&gt;0,$F445=""),"Khách lấy VAT thiếu mã số thuế; ","")&amp;IF(N($Q445)&gt;$P445,"Đã thu vượt tổng phải thu; ","")&amp;IF(AND($L445&gt;0,$U445&lt;0),"CẢNH BÁO: ĐƠN NÀY ĐANG LỖ; ","")))</f>
        <v/>
      </c>
      <c r="Y445" s="16" t="str">
        <f aca="false">IF(AND($C445&lt;&gt;"",$R445&gt;0),COUNTIFS($C$6:$C445,"&lt;&gt;",$R$6:$R445,"&gt;0"),"")</f>
        <v/>
      </c>
      <c r="Z445" s="16" t="str">
        <f aca="false">IF(AND($H445&lt;&gt;"",N($N445)&gt;0),COUNTIFS($H$6:$H445,"&lt;&gt;",$N$6:$N445,"&gt;0"),"")</f>
        <v/>
      </c>
      <c r="AA445" s="16" t="str">
        <f aca="false">IF(AND($H445&lt;&gt;"",N($N445)=0),COUNTIFS($H$6:$H445,"&lt;&gt;",$N$6:$N445,"&lt;=0"),"")</f>
        <v/>
      </c>
      <c r="AB445" s="16" t="str">
        <f aca="false">IF($C445="","",IF(COUNTIF($C$6:$C445,$C445)&gt;1,"",MAX($AB$5:AB444)+1))</f>
        <v/>
      </c>
      <c r="AC445" s="16" t="str">
        <f aca="false">IF($H445="","",IF(COUNTIF($H$6:$H445,$H445)&gt;1,"",MAX($AC$5:AC444)+1))</f>
        <v/>
      </c>
    </row>
    <row r="446" customFormat="false" ht="15" hidden="false" customHeight="false" outlineLevel="0" collapsed="false">
      <c r="A446" s="16" t="str">
        <f aca="false">IF($C446="","",COUNTA($C$6:$C446))</f>
        <v/>
      </c>
      <c r="B446" s="17"/>
      <c r="C446" s="8"/>
      <c r="D446" s="8"/>
      <c r="E446" s="8"/>
      <c r="F446" s="8"/>
      <c r="G446" s="8"/>
      <c r="H446" s="8"/>
      <c r="I446" s="9"/>
      <c r="J446" s="10" t="str">
        <f aca="false">IF($H446="","",IFERROR(VLOOKUP($H446,'BẢNG GIÁ GỐC'!$A$5:$D$204,3,FALSE()),""))</f>
        <v/>
      </c>
      <c r="K446" s="9"/>
      <c r="L446" s="10" t="str">
        <f aca="false">IF($C446="","",N($I446)*N($K446))</f>
        <v/>
      </c>
      <c r="M446" s="8"/>
      <c r="N446" s="11" t="str">
        <f aca="false">IF($C446="","",IF($M446="VAT 5%",0.05,IF($M446="VAT 8%",0.08,IF($M446="VAT 10%",0.1,0))))</f>
        <v/>
      </c>
      <c r="O446" s="10" t="str">
        <f aca="false">IF($C446="","",$L446*$N446)</f>
        <v/>
      </c>
      <c r="P446" s="10" t="str">
        <f aca="false">IF($C446="","",$L446+$O446)</f>
        <v/>
      </c>
      <c r="Q446" s="9"/>
      <c r="R446" s="10" t="str">
        <f aca="false">IF($C446="","",MAX(0,$P446-N($Q446)))</f>
        <v/>
      </c>
      <c r="S446" s="19" t="str">
        <f aca="false">IF(OR($C446="",$P446=0),"",IF(N($Q446)&lt;=0,"Chưa thanh toán",IF(N($Q446)&lt;$P446,"Thanh toán một phần","Đã thanh toán")))</f>
        <v/>
      </c>
      <c r="T446" s="10" t="str">
        <f aca="false">IF(OR($C446="",$J446=""),"",N($I446)*$J446)</f>
        <v/>
      </c>
      <c r="U446" s="10" t="str">
        <f aca="false">IF(OR($C446="",$T446=""),"",$L446-$T446)</f>
        <v/>
      </c>
      <c r="V446" s="11" t="str">
        <f aca="false">IF(OR($U446="",$L446=0),"",$U446/$L446)</f>
        <v/>
      </c>
      <c r="W446" s="8"/>
      <c r="X446" s="19" t="str">
        <f aca="false">IF($C446="","",IF(AND($H446="",N($I446)=0,N($K446)=0),"Dòng chỉ lưu thông tin khách (chưa có đơn); ",IF($B446="","Thiếu ngày đặt; ","")&amp;IF($H446="","Thiếu tên sản phẩm; ",IF($J446="","Sản phẩm chưa có trong BẢNG GIÁ GỐC; ",""))&amp;IF(N($I446)&lt;=0,"Thiếu số lượng; ","")&amp;IF(N($K446)&lt;=0,"Thiếu giá bán; ","")&amp;IF(AND($N446&gt;0,$F446=""),"Khách lấy VAT thiếu mã số thuế; ","")&amp;IF(N($Q446)&gt;$P446,"Đã thu vượt tổng phải thu; ","")&amp;IF(AND($L446&gt;0,$U446&lt;0),"CẢNH BÁO: ĐƠN NÀY ĐANG LỖ; ","")))</f>
        <v/>
      </c>
      <c r="Y446" s="16" t="str">
        <f aca="false">IF(AND($C446&lt;&gt;"",$R446&gt;0),COUNTIFS($C$6:$C446,"&lt;&gt;",$R$6:$R446,"&gt;0"),"")</f>
        <v/>
      </c>
      <c r="Z446" s="16" t="str">
        <f aca="false">IF(AND($H446&lt;&gt;"",N($N446)&gt;0),COUNTIFS($H$6:$H446,"&lt;&gt;",$N$6:$N446,"&gt;0"),"")</f>
        <v/>
      </c>
      <c r="AA446" s="16" t="str">
        <f aca="false">IF(AND($H446&lt;&gt;"",N($N446)=0),COUNTIFS($H$6:$H446,"&lt;&gt;",$N$6:$N446,"&lt;=0"),"")</f>
        <v/>
      </c>
      <c r="AB446" s="16" t="str">
        <f aca="false">IF($C446="","",IF(COUNTIF($C$6:$C446,$C446)&gt;1,"",MAX($AB$5:AB445)+1))</f>
        <v/>
      </c>
      <c r="AC446" s="16" t="str">
        <f aca="false">IF($H446="","",IF(COUNTIF($H$6:$H446,$H446)&gt;1,"",MAX($AC$5:AC445)+1))</f>
        <v/>
      </c>
    </row>
    <row r="447" customFormat="false" ht="15" hidden="false" customHeight="false" outlineLevel="0" collapsed="false">
      <c r="A447" s="16" t="str">
        <f aca="false">IF($C447="","",COUNTA($C$6:$C447))</f>
        <v/>
      </c>
      <c r="B447" s="17"/>
      <c r="C447" s="8"/>
      <c r="D447" s="8"/>
      <c r="E447" s="8"/>
      <c r="F447" s="8"/>
      <c r="G447" s="8"/>
      <c r="H447" s="8"/>
      <c r="I447" s="9"/>
      <c r="J447" s="10" t="str">
        <f aca="false">IF($H447="","",IFERROR(VLOOKUP($H447,'BẢNG GIÁ GỐC'!$A$5:$D$204,3,FALSE()),""))</f>
        <v/>
      </c>
      <c r="K447" s="9"/>
      <c r="L447" s="10" t="str">
        <f aca="false">IF($C447="","",N($I447)*N($K447))</f>
        <v/>
      </c>
      <c r="M447" s="8"/>
      <c r="N447" s="11" t="str">
        <f aca="false">IF($C447="","",IF($M447="VAT 5%",0.05,IF($M447="VAT 8%",0.08,IF($M447="VAT 10%",0.1,0))))</f>
        <v/>
      </c>
      <c r="O447" s="10" t="str">
        <f aca="false">IF($C447="","",$L447*$N447)</f>
        <v/>
      </c>
      <c r="P447" s="10" t="str">
        <f aca="false">IF($C447="","",$L447+$O447)</f>
        <v/>
      </c>
      <c r="Q447" s="9"/>
      <c r="R447" s="10" t="str">
        <f aca="false">IF($C447="","",MAX(0,$P447-N($Q447)))</f>
        <v/>
      </c>
      <c r="S447" s="19" t="str">
        <f aca="false">IF(OR($C447="",$P447=0),"",IF(N($Q447)&lt;=0,"Chưa thanh toán",IF(N($Q447)&lt;$P447,"Thanh toán một phần","Đã thanh toán")))</f>
        <v/>
      </c>
      <c r="T447" s="10" t="str">
        <f aca="false">IF(OR($C447="",$J447=""),"",N($I447)*$J447)</f>
        <v/>
      </c>
      <c r="U447" s="10" t="str">
        <f aca="false">IF(OR($C447="",$T447=""),"",$L447-$T447)</f>
        <v/>
      </c>
      <c r="V447" s="11" t="str">
        <f aca="false">IF(OR($U447="",$L447=0),"",$U447/$L447)</f>
        <v/>
      </c>
      <c r="W447" s="8"/>
      <c r="X447" s="19" t="str">
        <f aca="false">IF($C447="","",IF(AND($H447="",N($I447)=0,N($K447)=0),"Dòng chỉ lưu thông tin khách (chưa có đơn); ",IF($B447="","Thiếu ngày đặt; ","")&amp;IF($H447="","Thiếu tên sản phẩm; ",IF($J447="","Sản phẩm chưa có trong BẢNG GIÁ GỐC; ",""))&amp;IF(N($I447)&lt;=0,"Thiếu số lượng; ","")&amp;IF(N($K447)&lt;=0,"Thiếu giá bán; ","")&amp;IF(AND($N447&gt;0,$F447=""),"Khách lấy VAT thiếu mã số thuế; ","")&amp;IF(N($Q447)&gt;$P447,"Đã thu vượt tổng phải thu; ","")&amp;IF(AND($L447&gt;0,$U447&lt;0),"CẢNH BÁO: ĐƠN NÀY ĐANG LỖ; ","")))</f>
        <v/>
      </c>
      <c r="Y447" s="16" t="str">
        <f aca="false">IF(AND($C447&lt;&gt;"",$R447&gt;0),COUNTIFS($C$6:$C447,"&lt;&gt;",$R$6:$R447,"&gt;0"),"")</f>
        <v/>
      </c>
      <c r="Z447" s="16" t="str">
        <f aca="false">IF(AND($H447&lt;&gt;"",N($N447)&gt;0),COUNTIFS($H$6:$H447,"&lt;&gt;",$N$6:$N447,"&gt;0"),"")</f>
        <v/>
      </c>
      <c r="AA447" s="16" t="str">
        <f aca="false">IF(AND($H447&lt;&gt;"",N($N447)=0),COUNTIFS($H$6:$H447,"&lt;&gt;",$N$6:$N447,"&lt;=0"),"")</f>
        <v/>
      </c>
      <c r="AB447" s="16" t="str">
        <f aca="false">IF($C447="","",IF(COUNTIF($C$6:$C447,$C447)&gt;1,"",MAX($AB$5:AB446)+1))</f>
        <v/>
      </c>
      <c r="AC447" s="16" t="str">
        <f aca="false">IF($H447="","",IF(COUNTIF($H$6:$H447,$H447)&gt;1,"",MAX($AC$5:AC446)+1))</f>
        <v/>
      </c>
    </row>
    <row r="448" customFormat="false" ht="15" hidden="false" customHeight="false" outlineLevel="0" collapsed="false">
      <c r="A448" s="16" t="str">
        <f aca="false">IF($C448="","",COUNTA($C$6:$C448))</f>
        <v/>
      </c>
      <c r="B448" s="17"/>
      <c r="C448" s="8"/>
      <c r="D448" s="8"/>
      <c r="E448" s="8"/>
      <c r="F448" s="8"/>
      <c r="G448" s="8"/>
      <c r="H448" s="8"/>
      <c r="I448" s="9"/>
      <c r="J448" s="10" t="str">
        <f aca="false">IF($H448="","",IFERROR(VLOOKUP($H448,'BẢNG GIÁ GỐC'!$A$5:$D$204,3,FALSE()),""))</f>
        <v/>
      </c>
      <c r="K448" s="9"/>
      <c r="L448" s="10" t="str">
        <f aca="false">IF($C448="","",N($I448)*N($K448))</f>
        <v/>
      </c>
      <c r="M448" s="8"/>
      <c r="N448" s="11" t="str">
        <f aca="false">IF($C448="","",IF($M448="VAT 5%",0.05,IF($M448="VAT 8%",0.08,IF($M448="VAT 10%",0.1,0))))</f>
        <v/>
      </c>
      <c r="O448" s="10" t="str">
        <f aca="false">IF($C448="","",$L448*$N448)</f>
        <v/>
      </c>
      <c r="P448" s="10" t="str">
        <f aca="false">IF($C448="","",$L448+$O448)</f>
        <v/>
      </c>
      <c r="Q448" s="9"/>
      <c r="R448" s="10" t="str">
        <f aca="false">IF($C448="","",MAX(0,$P448-N($Q448)))</f>
        <v/>
      </c>
      <c r="S448" s="19" t="str">
        <f aca="false">IF(OR($C448="",$P448=0),"",IF(N($Q448)&lt;=0,"Chưa thanh toán",IF(N($Q448)&lt;$P448,"Thanh toán một phần","Đã thanh toán")))</f>
        <v/>
      </c>
      <c r="T448" s="10" t="str">
        <f aca="false">IF(OR($C448="",$J448=""),"",N($I448)*$J448)</f>
        <v/>
      </c>
      <c r="U448" s="10" t="str">
        <f aca="false">IF(OR($C448="",$T448=""),"",$L448-$T448)</f>
        <v/>
      </c>
      <c r="V448" s="11" t="str">
        <f aca="false">IF(OR($U448="",$L448=0),"",$U448/$L448)</f>
        <v/>
      </c>
      <c r="W448" s="8"/>
      <c r="X448" s="19" t="str">
        <f aca="false">IF($C448="","",IF(AND($H448="",N($I448)=0,N($K448)=0),"Dòng chỉ lưu thông tin khách (chưa có đơn); ",IF($B448="","Thiếu ngày đặt; ","")&amp;IF($H448="","Thiếu tên sản phẩm; ",IF($J448="","Sản phẩm chưa có trong BẢNG GIÁ GỐC; ",""))&amp;IF(N($I448)&lt;=0,"Thiếu số lượng; ","")&amp;IF(N($K448)&lt;=0,"Thiếu giá bán; ","")&amp;IF(AND($N448&gt;0,$F448=""),"Khách lấy VAT thiếu mã số thuế; ","")&amp;IF(N($Q448)&gt;$P448,"Đã thu vượt tổng phải thu; ","")&amp;IF(AND($L448&gt;0,$U448&lt;0),"CẢNH BÁO: ĐƠN NÀY ĐANG LỖ; ","")))</f>
        <v/>
      </c>
      <c r="Y448" s="16" t="str">
        <f aca="false">IF(AND($C448&lt;&gt;"",$R448&gt;0),COUNTIFS($C$6:$C448,"&lt;&gt;",$R$6:$R448,"&gt;0"),"")</f>
        <v/>
      </c>
      <c r="Z448" s="16" t="str">
        <f aca="false">IF(AND($H448&lt;&gt;"",N($N448)&gt;0),COUNTIFS($H$6:$H448,"&lt;&gt;",$N$6:$N448,"&gt;0"),"")</f>
        <v/>
      </c>
      <c r="AA448" s="16" t="str">
        <f aca="false">IF(AND($H448&lt;&gt;"",N($N448)=0),COUNTIFS($H$6:$H448,"&lt;&gt;",$N$6:$N448,"&lt;=0"),"")</f>
        <v/>
      </c>
      <c r="AB448" s="16" t="str">
        <f aca="false">IF($C448="","",IF(COUNTIF($C$6:$C448,$C448)&gt;1,"",MAX($AB$5:AB447)+1))</f>
        <v/>
      </c>
      <c r="AC448" s="16" t="str">
        <f aca="false">IF($H448="","",IF(COUNTIF($H$6:$H448,$H448)&gt;1,"",MAX($AC$5:AC447)+1))</f>
        <v/>
      </c>
    </row>
    <row r="449" customFormat="false" ht="15" hidden="false" customHeight="false" outlineLevel="0" collapsed="false">
      <c r="A449" s="16" t="str">
        <f aca="false">IF($C449="","",COUNTA($C$6:$C449))</f>
        <v/>
      </c>
      <c r="B449" s="17"/>
      <c r="C449" s="8"/>
      <c r="D449" s="8"/>
      <c r="E449" s="8"/>
      <c r="F449" s="8"/>
      <c r="G449" s="8"/>
      <c r="H449" s="8"/>
      <c r="I449" s="9"/>
      <c r="J449" s="10" t="str">
        <f aca="false">IF($H449="","",IFERROR(VLOOKUP($H449,'BẢNG GIÁ GỐC'!$A$5:$D$204,3,FALSE()),""))</f>
        <v/>
      </c>
      <c r="K449" s="9"/>
      <c r="L449" s="10" t="str">
        <f aca="false">IF($C449="","",N($I449)*N($K449))</f>
        <v/>
      </c>
      <c r="M449" s="8"/>
      <c r="N449" s="11" t="str">
        <f aca="false">IF($C449="","",IF($M449="VAT 5%",0.05,IF($M449="VAT 8%",0.08,IF($M449="VAT 10%",0.1,0))))</f>
        <v/>
      </c>
      <c r="O449" s="10" t="str">
        <f aca="false">IF($C449="","",$L449*$N449)</f>
        <v/>
      </c>
      <c r="P449" s="10" t="str">
        <f aca="false">IF($C449="","",$L449+$O449)</f>
        <v/>
      </c>
      <c r="Q449" s="9"/>
      <c r="R449" s="10" t="str">
        <f aca="false">IF($C449="","",MAX(0,$P449-N($Q449)))</f>
        <v/>
      </c>
      <c r="S449" s="19" t="str">
        <f aca="false">IF(OR($C449="",$P449=0),"",IF(N($Q449)&lt;=0,"Chưa thanh toán",IF(N($Q449)&lt;$P449,"Thanh toán một phần","Đã thanh toán")))</f>
        <v/>
      </c>
      <c r="T449" s="10" t="str">
        <f aca="false">IF(OR($C449="",$J449=""),"",N($I449)*$J449)</f>
        <v/>
      </c>
      <c r="U449" s="10" t="str">
        <f aca="false">IF(OR($C449="",$T449=""),"",$L449-$T449)</f>
        <v/>
      </c>
      <c r="V449" s="11" t="str">
        <f aca="false">IF(OR($U449="",$L449=0),"",$U449/$L449)</f>
        <v/>
      </c>
      <c r="W449" s="8"/>
      <c r="X449" s="19" t="str">
        <f aca="false">IF($C449="","",IF(AND($H449="",N($I449)=0,N($K449)=0),"Dòng chỉ lưu thông tin khách (chưa có đơn); ",IF($B449="","Thiếu ngày đặt; ","")&amp;IF($H449="","Thiếu tên sản phẩm; ",IF($J449="","Sản phẩm chưa có trong BẢNG GIÁ GỐC; ",""))&amp;IF(N($I449)&lt;=0,"Thiếu số lượng; ","")&amp;IF(N($K449)&lt;=0,"Thiếu giá bán; ","")&amp;IF(AND($N449&gt;0,$F449=""),"Khách lấy VAT thiếu mã số thuế; ","")&amp;IF(N($Q449)&gt;$P449,"Đã thu vượt tổng phải thu; ","")&amp;IF(AND($L449&gt;0,$U449&lt;0),"CẢNH BÁO: ĐƠN NÀY ĐANG LỖ; ","")))</f>
        <v/>
      </c>
      <c r="Y449" s="16" t="str">
        <f aca="false">IF(AND($C449&lt;&gt;"",$R449&gt;0),COUNTIFS($C$6:$C449,"&lt;&gt;",$R$6:$R449,"&gt;0"),"")</f>
        <v/>
      </c>
      <c r="Z449" s="16" t="str">
        <f aca="false">IF(AND($H449&lt;&gt;"",N($N449)&gt;0),COUNTIFS($H$6:$H449,"&lt;&gt;",$N$6:$N449,"&gt;0"),"")</f>
        <v/>
      </c>
      <c r="AA449" s="16" t="str">
        <f aca="false">IF(AND($H449&lt;&gt;"",N($N449)=0),COUNTIFS($H$6:$H449,"&lt;&gt;",$N$6:$N449,"&lt;=0"),"")</f>
        <v/>
      </c>
      <c r="AB449" s="16" t="str">
        <f aca="false">IF($C449="","",IF(COUNTIF($C$6:$C449,$C449)&gt;1,"",MAX($AB$5:AB448)+1))</f>
        <v/>
      </c>
      <c r="AC449" s="16" t="str">
        <f aca="false">IF($H449="","",IF(COUNTIF($H$6:$H449,$H449)&gt;1,"",MAX($AC$5:AC448)+1))</f>
        <v/>
      </c>
    </row>
    <row r="450" customFormat="false" ht="15" hidden="false" customHeight="false" outlineLevel="0" collapsed="false">
      <c r="A450" s="16" t="str">
        <f aca="false">IF($C450="","",COUNTA($C$6:$C450))</f>
        <v/>
      </c>
      <c r="B450" s="17"/>
      <c r="C450" s="8"/>
      <c r="D450" s="8"/>
      <c r="E450" s="8"/>
      <c r="F450" s="8"/>
      <c r="G450" s="8"/>
      <c r="H450" s="8"/>
      <c r="I450" s="9"/>
      <c r="J450" s="10" t="str">
        <f aca="false">IF($H450="","",IFERROR(VLOOKUP($H450,'BẢNG GIÁ GỐC'!$A$5:$D$204,3,FALSE()),""))</f>
        <v/>
      </c>
      <c r="K450" s="9"/>
      <c r="L450" s="10" t="str">
        <f aca="false">IF($C450="","",N($I450)*N($K450))</f>
        <v/>
      </c>
      <c r="M450" s="8"/>
      <c r="N450" s="11" t="str">
        <f aca="false">IF($C450="","",IF($M450="VAT 5%",0.05,IF($M450="VAT 8%",0.08,IF($M450="VAT 10%",0.1,0))))</f>
        <v/>
      </c>
      <c r="O450" s="10" t="str">
        <f aca="false">IF($C450="","",$L450*$N450)</f>
        <v/>
      </c>
      <c r="P450" s="10" t="str">
        <f aca="false">IF($C450="","",$L450+$O450)</f>
        <v/>
      </c>
      <c r="Q450" s="9"/>
      <c r="R450" s="10" t="str">
        <f aca="false">IF($C450="","",MAX(0,$P450-N($Q450)))</f>
        <v/>
      </c>
      <c r="S450" s="19" t="str">
        <f aca="false">IF(OR($C450="",$P450=0),"",IF(N($Q450)&lt;=0,"Chưa thanh toán",IF(N($Q450)&lt;$P450,"Thanh toán một phần","Đã thanh toán")))</f>
        <v/>
      </c>
      <c r="T450" s="10" t="str">
        <f aca="false">IF(OR($C450="",$J450=""),"",N($I450)*$J450)</f>
        <v/>
      </c>
      <c r="U450" s="10" t="str">
        <f aca="false">IF(OR($C450="",$T450=""),"",$L450-$T450)</f>
        <v/>
      </c>
      <c r="V450" s="11" t="str">
        <f aca="false">IF(OR($U450="",$L450=0),"",$U450/$L450)</f>
        <v/>
      </c>
      <c r="W450" s="8"/>
      <c r="X450" s="19" t="str">
        <f aca="false">IF($C450="","",IF(AND($H450="",N($I450)=0,N($K450)=0),"Dòng chỉ lưu thông tin khách (chưa có đơn); ",IF($B450="","Thiếu ngày đặt; ","")&amp;IF($H450="","Thiếu tên sản phẩm; ",IF($J450="","Sản phẩm chưa có trong BẢNG GIÁ GỐC; ",""))&amp;IF(N($I450)&lt;=0,"Thiếu số lượng; ","")&amp;IF(N($K450)&lt;=0,"Thiếu giá bán; ","")&amp;IF(AND($N450&gt;0,$F450=""),"Khách lấy VAT thiếu mã số thuế; ","")&amp;IF(N($Q450)&gt;$P450,"Đã thu vượt tổng phải thu; ","")&amp;IF(AND($L450&gt;0,$U450&lt;0),"CẢNH BÁO: ĐƠN NÀY ĐANG LỖ; ","")))</f>
        <v/>
      </c>
      <c r="Y450" s="16" t="str">
        <f aca="false">IF(AND($C450&lt;&gt;"",$R450&gt;0),COUNTIFS($C$6:$C450,"&lt;&gt;",$R$6:$R450,"&gt;0"),"")</f>
        <v/>
      </c>
      <c r="Z450" s="16" t="str">
        <f aca="false">IF(AND($H450&lt;&gt;"",N($N450)&gt;0),COUNTIFS($H$6:$H450,"&lt;&gt;",$N$6:$N450,"&gt;0"),"")</f>
        <v/>
      </c>
      <c r="AA450" s="16" t="str">
        <f aca="false">IF(AND($H450&lt;&gt;"",N($N450)=0),COUNTIFS($H$6:$H450,"&lt;&gt;",$N$6:$N450,"&lt;=0"),"")</f>
        <v/>
      </c>
      <c r="AB450" s="16" t="str">
        <f aca="false">IF($C450="","",IF(COUNTIF($C$6:$C450,$C450)&gt;1,"",MAX($AB$5:AB449)+1))</f>
        <v/>
      </c>
      <c r="AC450" s="16" t="str">
        <f aca="false">IF($H450="","",IF(COUNTIF($H$6:$H450,$H450)&gt;1,"",MAX($AC$5:AC449)+1))</f>
        <v/>
      </c>
    </row>
    <row r="451" customFormat="false" ht="15" hidden="false" customHeight="false" outlineLevel="0" collapsed="false">
      <c r="A451" s="16" t="str">
        <f aca="false">IF($C451="","",COUNTA($C$6:$C451))</f>
        <v/>
      </c>
      <c r="B451" s="17"/>
      <c r="C451" s="8"/>
      <c r="D451" s="8"/>
      <c r="E451" s="8"/>
      <c r="F451" s="8"/>
      <c r="G451" s="8"/>
      <c r="H451" s="8"/>
      <c r="I451" s="9"/>
      <c r="J451" s="10" t="str">
        <f aca="false">IF($H451="","",IFERROR(VLOOKUP($H451,'BẢNG GIÁ GỐC'!$A$5:$D$204,3,FALSE()),""))</f>
        <v/>
      </c>
      <c r="K451" s="9"/>
      <c r="L451" s="10" t="str">
        <f aca="false">IF($C451="","",N($I451)*N($K451))</f>
        <v/>
      </c>
      <c r="M451" s="8"/>
      <c r="N451" s="11" t="str">
        <f aca="false">IF($C451="","",IF($M451="VAT 5%",0.05,IF($M451="VAT 8%",0.08,IF($M451="VAT 10%",0.1,0))))</f>
        <v/>
      </c>
      <c r="O451" s="10" t="str">
        <f aca="false">IF($C451="","",$L451*$N451)</f>
        <v/>
      </c>
      <c r="P451" s="10" t="str">
        <f aca="false">IF($C451="","",$L451+$O451)</f>
        <v/>
      </c>
      <c r="Q451" s="9"/>
      <c r="R451" s="10" t="str">
        <f aca="false">IF($C451="","",MAX(0,$P451-N($Q451)))</f>
        <v/>
      </c>
      <c r="S451" s="19" t="str">
        <f aca="false">IF(OR($C451="",$P451=0),"",IF(N($Q451)&lt;=0,"Chưa thanh toán",IF(N($Q451)&lt;$P451,"Thanh toán một phần","Đã thanh toán")))</f>
        <v/>
      </c>
      <c r="T451" s="10" t="str">
        <f aca="false">IF(OR($C451="",$J451=""),"",N($I451)*$J451)</f>
        <v/>
      </c>
      <c r="U451" s="10" t="str">
        <f aca="false">IF(OR($C451="",$T451=""),"",$L451-$T451)</f>
        <v/>
      </c>
      <c r="V451" s="11" t="str">
        <f aca="false">IF(OR($U451="",$L451=0),"",$U451/$L451)</f>
        <v/>
      </c>
      <c r="W451" s="8"/>
      <c r="X451" s="19" t="str">
        <f aca="false">IF($C451="","",IF(AND($H451="",N($I451)=0,N($K451)=0),"Dòng chỉ lưu thông tin khách (chưa có đơn); ",IF($B451="","Thiếu ngày đặt; ","")&amp;IF($H451="","Thiếu tên sản phẩm; ",IF($J451="","Sản phẩm chưa có trong BẢNG GIÁ GỐC; ",""))&amp;IF(N($I451)&lt;=0,"Thiếu số lượng; ","")&amp;IF(N($K451)&lt;=0,"Thiếu giá bán; ","")&amp;IF(AND($N451&gt;0,$F451=""),"Khách lấy VAT thiếu mã số thuế; ","")&amp;IF(N($Q451)&gt;$P451,"Đã thu vượt tổng phải thu; ","")&amp;IF(AND($L451&gt;0,$U451&lt;0),"CẢNH BÁO: ĐƠN NÀY ĐANG LỖ; ","")))</f>
        <v/>
      </c>
      <c r="Y451" s="16" t="str">
        <f aca="false">IF(AND($C451&lt;&gt;"",$R451&gt;0),COUNTIFS($C$6:$C451,"&lt;&gt;",$R$6:$R451,"&gt;0"),"")</f>
        <v/>
      </c>
      <c r="Z451" s="16" t="str">
        <f aca="false">IF(AND($H451&lt;&gt;"",N($N451)&gt;0),COUNTIFS($H$6:$H451,"&lt;&gt;",$N$6:$N451,"&gt;0"),"")</f>
        <v/>
      </c>
      <c r="AA451" s="16" t="str">
        <f aca="false">IF(AND($H451&lt;&gt;"",N($N451)=0),COUNTIFS($H$6:$H451,"&lt;&gt;",$N$6:$N451,"&lt;=0"),"")</f>
        <v/>
      </c>
      <c r="AB451" s="16" t="str">
        <f aca="false">IF($C451="","",IF(COUNTIF($C$6:$C451,$C451)&gt;1,"",MAX($AB$5:AB450)+1))</f>
        <v/>
      </c>
      <c r="AC451" s="16" t="str">
        <f aca="false">IF($H451="","",IF(COUNTIF($H$6:$H451,$H451)&gt;1,"",MAX($AC$5:AC450)+1))</f>
        <v/>
      </c>
    </row>
    <row r="452" customFormat="false" ht="15" hidden="false" customHeight="false" outlineLevel="0" collapsed="false">
      <c r="A452" s="16" t="str">
        <f aca="false">IF($C452="","",COUNTA($C$6:$C452))</f>
        <v/>
      </c>
      <c r="B452" s="17"/>
      <c r="C452" s="8"/>
      <c r="D452" s="8"/>
      <c r="E452" s="8"/>
      <c r="F452" s="8"/>
      <c r="G452" s="8"/>
      <c r="H452" s="8"/>
      <c r="I452" s="9"/>
      <c r="J452" s="10" t="str">
        <f aca="false">IF($H452="","",IFERROR(VLOOKUP($H452,'BẢNG GIÁ GỐC'!$A$5:$D$204,3,FALSE()),""))</f>
        <v/>
      </c>
      <c r="K452" s="9"/>
      <c r="L452" s="10" t="str">
        <f aca="false">IF($C452="","",N($I452)*N($K452))</f>
        <v/>
      </c>
      <c r="M452" s="8"/>
      <c r="N452" s="11" t="str">
        <f aca="false">IF($C452="","",IF($M452="VAT 5%",0.05,IF($M452="VAT 8%",0.08,IF($M452="VAT 10%",0.1,0))))</f>
        <v/>
      </c>
      <c r="O452" s="10" t="str">
        <f aca="false">IF($C452="","",$L452*$N452)</f>
        <v/>
      </c>
      <c r="P452" s="10" t="str">
        <f aca="false">IF($C452="","",$L452+$O452)</f>
        <v/>
      </c>
      <c r="Q452" s="9"/>
      <c r="R452" s="10" t="str">
        <f aca="false">IF($C452="","",MAX(0,$P452-N($Q452)))</f>
        <v/>
      </c>
      <c r="S452" s="19" t="str">
        <f aca="false">IF(OR($C452="",$P452=0),"",IF(N($Q452)&lt;=0,"Chưa thanh toán",IF(N($Q452)&lt;$P452,"Thanh toán một phần","Đã thanh toán")))</f>
        <v/>
      </c>
      <c r="T452" s="10" t="str">
        <f aca="false">IF(OR($C452="",$J452=""),"",N($I452)*$J452)</f>
        <v/>
      </c>
      <c r="U452" s="10" t="str">
        <f aca="false">IF(OR($C452="",$T452=""),"",$L452-$T452)</f>
        <v/>
      </c>
      <c r="V452" s="11" t="str">
        <f aca="false">IF(OR($U452="",$L452=0),"",$U452/$L452)</f>
        <v/>
      </c>
      <c r="W452" s="8"/>
      <c r="X452" s="19" t="str">
        <f aca="false">IF($C452="","",IF(AND($H452="",N($I452)=0,N($K452)=0),"Dòng chỉ lưu thông tin khách (chưa có đơn); ",IF($B452="","Thiếu ngày đặt; ","")&amp;IF($H452="","Thiếu tên sản phẩm; ",IF($J452="","Sản phẩm chưa có trong BẢNG GIÁ GỐC; ",""))&amp;IF(N($I452)&lt;=0,"Thiếu số lượng; ","")&amp;IF(N($K452)&lt;=0,"Thiếu giá bán; ","")&amp;IF(AND($N452&gt;0,$F452=""),"Khách lấy VAT thiếu mã số thuế; ","")&amp;IF(N($Q452)&gt;$P452,"Đã thu vượt tổng phải thu; ","")&amp;IF(AND($L452&gt;0,$U452&lt;0),"CẢNH BÁO: ĐƠN NÀY ĐANG LỖ; ","")))</f>
        <v/>
      </c>
      <c r="Y452" s="16" t="str">
        <f aca="false">IF(AND($C452&lt;&gt;"",$R452&gt;0),COUNTIFS($C$6:$C452,"&lt;&gt;",$R$6:$R452,"&gt;0"),"")</f>
        <v/>
      </c>
      <c r="Z452" s="16" t="str">
        <f aca="false">IF(AND($H452&lt;&gt;"",N($N452)&gt;0),COUNTIFS($H$6:$H452,"&lt;&gt;",$N$6:$N452,"&gt;0"),"")</f>
        <v/>
      </c>
      <c r="AA452" s="16" t="str">
        <f aca="false">IF(AND($H452&lt;&gt;"",N($N452)=0),COUNTIFS($H$6:$H452,"&lt;&gt;",$N$6:$N452,"&lt;=0"),"")</f>
        <v/>
      </c>
      <c r="AB452" s="16" t="str">
        <f aca="false">IF($C452="","",IF(COUNTIF($C$6:$C452,$C452)&gt;1,"",MAX($AB$5:AB451)+1))</f>
        <v/>
      </c>
      <c r="AC452" s="16" t="str">
        <f aca="false">IF($H452="","",IF(COUNTIF($H$6:$H452,$H452)&gt;1,"",MAX($AC$5:AC451)+1))</f>
        <v/>
      </c>
    </row>
    <row r="453" customFormat="false" ht="15" hidden="false" customHeight="false" outlineLevel="0" collapsed="false">
      <c r="A453" s="16" t="str">
        <f aca="false">IF($C453="","",COUNTA($C$6:$C453))</f>
        <v/>
      </c>
      <c r="B453" s="17"/>
      <c r="C453" s="8"/>
      <c r="D453" s="8"/>
      <c r="E453" s="8"/>
      <c r="F453" s="8"/>
      <c r="G453" s="8"/>
      <c r="H453" s="8"/>
      <c r="I453" s="9"/>
      <c r="J453" s="10" t="str">
        <f aca="false">IF($H453="","",IFERROR(VLOOKUP($H453,'BẢNG GIÁ GỐC'!$A$5:$D$204,3,FALSE()),""))</f>
        <v/>
      </c>
      <c r="K453" s="9"/>
      <c r="L453" s="10" t="str">
        <f aca="false">IF($C453="","",N($I453)*N($K453))</f>
        <v/>
      </c>
      <c r="M453" s="8"/>
      <c r="N453" s="11" t="str">
        <f aca="false">IF($C453="","",IF($M453="VAT 5%",0.05,IF($M453="VAT 8%",0.08,IF($M453="VAT 10%",0.1,0))))</f>
        <v/>
      </c>
      <c r="O453" s="10" t="str">
        <f aca="false">IF($C453="","",$L453*$N453)</f>
        <v/>
      </c>
      <c r="P453" s="10" t="str">
        <f aca="false">IF($C453="","",$L453+$O453)</f>
        <v/>
      </c>
      <c r="Q453" s="9"/>
      <c r="R453" s="10" t="str">
        <f aca="false">IF($C453="","",MAX(0,$P453-N($Q453)))</f>
        <v/>
      </c>
      <c r="S453" s="19" t="str">
        <f aca="false">IF(OR($C453="",$P453=0),"",IF(N($Q453)&lt;=0,"Chưa thanh toán",IF(N($Q453)&lt;$P453,"Thanh toán một phần","Đã thanh toán")))</f>
        <v/>
      </c>
      <c r="T453" s="10" t="str">
        <f aca="false">IF(OR($C453="",$J453=""),"",N($I453)*$J453)</f>
        <v/>
      </c>
      <c r="U453" s="10" t="str">
        <f aca="false">IF(OR($C453="",$T453=""),"",$L453-$T453)</f>
        <v/>
      </c>
      <c r="V453" s="11" t="str">
        <f aca="false">IF(OR($U453="",$L453=0),"",$U453/$L453)</f>
        <v/>
      </c>
      <c r="W453" s="8"/>
      <c r="X453" s="19" t="str">
        <f aca="false">IF($C453="","",IF(AND($H453="",N($I453)=0,N($K453)=0),"Dòng chỉ lưu thông tin khách (chưa có đơn); ",IF($B453="","Thiếu ngày đặt; ","")&amp;IF($H453="","Thiếu tên sản phẩm; ",IF($J453="","Sản phẩm chưa có trong BẢNG GIÁ GỐC; ",""))&amp;IF(N($I453)&lt;=0,"Thiếu số lượng; ","")&amp;IF(N($K453)&lt;=0,"Thiếu giá bán; ","")&amp;IF(AND($N453&gt;0,$F453=""),"Khách lấy VAT thiếu mã số thuế; ","")&amp;IF(N($Q453)&gt;$P453,"Đã thu vượt tổng phải thu; ","")&amp;IF(AND($L453&gt;0,$U453&lt;0),"CẢNH BÁO: ĐƠN NÀY ĐANG LỖ; ","")))</f>
        <v/>
      </c>
      <c r="Y453" s="16" t="str">
        <f aca="false">IF(AND($C453&lt;&gt;"",$R453&gt;0),COUNTIFS($C$6:$C453,"&lt;&gt;",$R$6:$R453,"&gt;0"),"")</f>
        <v/>
      </c>
      <c r="Z453" s="16" t="str">
        <f aca="false">IF(AND($H453&lt;&gt;"",N($N453)&gt;0),COUNTIFS($H$6:$H453,"&lt;&gt;",$N$6:$N453,"&gt;0"),"")</f>
        <v/>
      </c>
      <c r="AA453" s="16" t="str">
        <f aca="false">IF(AND($H453&lt;&gt;"",N($N453)=0),COUNTIFS($H$6:$H453,"&lt;&gt;",$N$6:$N453,"&lt;=0"),"")</f>
        <v/>
      </c>
      <c r="AB453" s="16" t="str">
        <f aca="false">IF($C453="","",IF(COUNTIF($C$6:$C453,$C453)&gt;1,"",MAX($AB$5:AB452)+1))</f>
        <v/>
      </c>
      <c r="AC453" s="16" t="str">
        <f aca="false">IF($H453="","",IF(COUNTIF($H$6:$H453,$H453)&gt;1,"",MAX($AC$5:AC452)+1))</f>
        <v/>
      </c>
    </row>
    <row r="454" customFormat="false" ht="15" hidden="false" customHeight="false" outlineLevel="0" collapsed="false">
      <c r="A454" s="16" t="str">
        <f aca="false">IF($C454="","",COUNTA($C$6:$C454))</f>
        <v/>
      </c>
      <c r="B454" s="17"/>
      <c r="C454" s="8"/>
      <c r="D454" s="8"/>
      <c r="E454" s="8"/>
      <c r="F454" s="8"/>
      <c r="G454" s="8"/>
      <c r="H454" s="8"/>
      <c r="I454" s="9"/>
      <c r="J454" s="10" t="str">
        <f aca="false">IF($H454="","",IFERROR(VLOOKUP($H454,'BẢNG GIÁ GỐC'!$A$5:$D$204,3,FALSE()),""))</f>
        <v/>
      </c>
      <c r="K454" s="9"/>
      <c r="L454" s="10" t="str">
        <f aca="false">IF($C454="","",N($I454)*N($K454))</f>
        <v/>
      </c>
      <c r="M454" s="8"/>
      <c r="N454" s="11" t="str">
        <f aca="false">IF($C454="","",IF($M454="VAT 5%",0.05,IF($M454="VAT 8%",0.08,IF($M454="VAT 10%",0.1,0))))</f>
        <v/>
      </c>
      <c r="O454" s="10" t="str">
        <f aca="false">IF($C454="","",$L454*$N454)</f>
        <v/>
      </c>
      <c r="P454" s="10" t="str">
        <f aca="false">IF($C454="","",$L454+$O454)</f>
        <v/>
      </c>
      <c r="Q454" s="9"/>
      <c r="R454" s="10" t="str">
        <f aca="false">IF($C454="","",MAX(0,$P454-N($Q454)))</f>
        <v/>
      </c>
      <c r="S454" s="19" t="str">
        <f aca="false">IF(OR($C454="",$P454=0),"",IF(N($Q454)&lt;=0,"Chưa thanh toán",IF(N($Q454)&lt;$P454,"Thanh toán một phần","Đã thanh toán")))</f>
        <v/>
      </c>
      <c r="T454" s="10" t="str">
        <f aca="false">IF(OR($C454="",$J454=""),"",N($I454)*$J454)</f>
        <v/>
      </c>
      <c r="U454" s="10" t="str">
        <f aca="false">IF(OR($C454="",$T454=""),"",$L454-$T454)</f>
        <v/>
      </c>
      <c r="V454" s="11" t="str">
        <f aca="false">IF(OR($U454="",$L454=0),"",$U454/$L454)</f>
        <v/>
      </c>
      <c r="W454" s="8"/>
      <c r="X454" s="19" t="str">
        <f aca="false">IF($C454="","",IF(AND($H454="",N($I454)=0,N($K454)=0),"Dòng chỉ lưu thông tin khách (chưa có đơn); ",IF($B454="","Thiếu ngày đặt; ","")&amp;IF($H454="","Thiếu tên sản phẩm; ",IF($J454="","Sản phẩm chưa có trong BẢNG GIÁ GỐC; ",""))&amp;IF(N($I454)&lt;=0,"Thiếu số lượng; ","")&amp;IF(N($K454)&lt;=0,"Thiếu giá bán; ","")&amp;IF(AND($N454&gt;0,$F454=""),"Khách lấy VAT thiếu mã số thuế; ","")&amp;IF(N($Q454)&gt;$P454,"Đã thu vượt tổng phải thu; ","")&amp;IF(AND($L454&gt;0,$U454&lt;0),"CẢNH BÁO: ĐƠN NÀY ĐANG LỖ; ","")))</f>
        <v/>
      </c>
      <c r="Y454" s="16" t="str">
        <f aca="false">IF(AND($C454&lt;&gt;"",$R454&gt;0),COUNTIFS($C$6:$C454,"&lt;&gt;",$R$6:$R454,"&gt;0"),"")</f>
        <v/>
      </c>
      <c r="Z454" s="16" t="str">
        <f aca="false">IF(AND($H454&lt;&gt;"",N($N454)&gt;0),COUNTIFS($H$6:$H454,"&lt;&gt;",$N$6:$N454,"&gt;0"),"")</f>
        <v/>
      </c>
      <c r="AA454" s="16" t="str">
        <f aca="false">IF(AND($H454&lt;&gt;"",N($N454)=0),COUNTIFS($H$6:$H454,"&lt;&gt;",$N$6:$N454,"&lt;=0"),"")</f>
        <v/>
      </c>
      <c r="AB454" s="16" t="str">
        <f aca="false">IF($C454="","",IF(COUNTIF($C$6:$C454,$C454)&gt;1,"",MAX($AB$5:AB453)+1))</f>
        <v/>
      </c>
      <c r="AC454" s="16" t="str">
        <f aca="false">IF($H454="","",IF(COUNTIF($H$6:$H454,$H454)&gt;1,"",MAX($AC$5:AC453)+1))</f>
        <v/>
      </c>
    </row>
    <row r="455" customFormat="false" ht="15" hidden="false" customHeight="false" outlineLevel="0" collapsed="false">
      <c r="A455" s="16" t="str">
        <f aca="false">IF($C455="","",COUNTA($C$6:$C455))</f>
        <v/>
      </c>
      <c r="B455" s="17"/>
      <c r="C455" s="8"/>
      <c r="D455" s="8"/>
      <c r="E455" s="8"/>
      <c r="F455" s="8"/>
      <c r="G455" s="8"/>
      <c r="H455" s="8"/>
      <c r="I455" s="9"/>
      <c r="J455" s="10" t="str">
        <f aca="false">IF($H455="","",IFERROR(VLOOKUP($H455,'BẢNG GIÁ GỐC'!$A$5:$D$204,3,FALSE()),""))</f>
        <v/>
      </c>
      <c r="K455" s="9"/>
      <c r="L455" s="10" t="str">
        <f aca="false">IF($C455="","",N($I455)*N($K455))</f>
        <v/>
      </c>
      <c r="M455" s="8"/>
      <c r="N455" s="11" t="str">
        <f aca="false">IF($C455="","",IF($M455="VAT 5%",0.05,IF($M455="VAT 8%",0.08,IF($M455="VAT 10%",0.1,0))))</f>
        <v/>
      </c>
      <c r="O455" s="10" t="str">
        <f aca="false">IF($C455="","",$L455*$N455)</f>
        <v/>
      </c>
      <c r="P455" s="10" t="str">
        <f aca="false">IF($C455="","",$L455+$O455)</f>
        <v/>
      </c>
      <c r="Q455" s="9"/>
      <c r="R455" s="10" t="str">
        <f aca="false">IF($C455="","",MAX(0,$P455-N($Q455)))</f>
        <v/>
      </c>
      <c r="S455" s="19" t="str">
        <f aca="false">IF(OR($C455="",$P455=0),"",IF(N($Q455)&lt;=0,"Chưa thanh toán",IF(N($Q455)&lt;$P455,"Thanh toán một phần","Đã thanh toán")))</f>
        <v/>
      </c>
      <c r="T455" s="10" t="str">
        <f aca="false">IF(OR($C455="",$J455=""),"",N($I455)*$J455)</f>
        <v/>
      </c>
      <c r="U455" s="10" t="str">
        <f aca="false">IF(OR($C455="",$T455=""),"",$L455-$T455)</f>
        <v/>
      </c>
      <c r="V455" s="11" t="str">
        <f aca="false">IF(OR($U455="",$L455=0),"",$U455/$L455)</f>
        <v/>
      </c>
      <c r="W455" s="8"/>
      <c r="X455" s="19" t="str">
        <f aca="false">IF($C455="","",IF(AND($H455="",N($I455)=0,N($K455)=0),"Dòng chỉ lưu thông tin khách (chưa có đơn); ",IF($B455="","Thiếu ngày đặt; ","")&amp;IF($H455="","Thiếu tên sản phẩm; ",IF($J455="","Sản phẩm chưa có trong BẢNG GIÁ GỐC; ",""))&amp;IF(N($I455)&lt;=0,"Thiếu số lượng; ","")&amp;IF(N($K455)&lt;=0,"Thiếu giá bán; ","")&amp;IF(AND($N455&gt;0,$F455=""),"Khách lấy VAT thiếu mã số thuế; ","")&amp;IF(N($Q455)&gt;$P455,"Đã thu vượt tổng phải thu; ","")&amp;IF(AND($L455&gt;0,$U455&lt;0),"CẢNH BÁO: ĐƠN NÀY ĐANG LỖ; ","")))</f>
        <v/>
      </c>
      <c r="Y455" s="16" t="str">
        <f aca="false">IF(AND($C455&lt;&gt;"",$R455&gt;0),COUNTIFS($C$6:$C455,"&lt;&gt;",$R$6:$R455,"&gt;0"),"")</f>
        <v/>
      </c>
      <c r="Z455" s="16" t="str">
        <f aca="false">IF(AND($H455&lt;&gt;"",N($N455)&gt;0),COUNTIFS($H$6:$H455,"&lt;&gt;",$N$6:$N455,"&gt;0"),"")</f>
        <v/>
      </c>
      <c r="AA455" s="16" t="str">
        <f aca="false">IF(AND($H455&lt;&gt;"",N($N455)=0),COUNTIFS($H$6:$H455,"&lt;&gt;",$N$6:$N455,"&lt;=0"),"")</f>
        <v/>
      </c>
      <c r="AB455" s="16" t="str">
        <f aca="false">IF($C455="","",IF(COUNTIF($C$6:$C455,$C455)&gt;1,"",MAX($AB$5:AB454)+1))</f>
        <v/>
      </c>
      <c r="AC455" s="16" t="str">
        <f aca="false">IF($H455="","",IF(COUNTIF($H$6:$H455,$H455)&gt;1,"",MAX($AC$5:AC454)+1))</f>
        <v/>
      </c>
    </row>
    <row r="456" customFormat="false" ht="15" hidden="false" customHeight="false" outlineLevel="0" collapsed="false">
      <c r="A456" s="16" t="str">
        <f aca="false">IF($C456="","",COUNTA($C$6:$C456))</f>
        <v/>
      </c>
      <c r="B456" s="17"/>
      <c r="C456" s="8"/>
      <c r="D456" s="8"/>
      <c r="E456" s="8"/>
      <c r="F456" s="8"/>
      <c r="G456" s="8"/>
      <c r="H456" s="8"/>
      <c r="I456" s="9"/>
      <c r="J456" s="10" t="str">
        <f aca="false">IF($H456="","",IFERROR(VLOOKUP($H456,'BẢNG GIÁ GỐC'!$A$5:$D$204,3,FALSE()),""))</f>
        <v/>
      </c>
      <c r="K456" s="9"/>
      <c r="L456" s="10" t="str">
        <f aca="false">IF($C456="","",N($I456)*N($K456))</f>
        <v/>
      </c>
      <c r="M456" s="8"/>
      <c r="N456" s="11" t="str">
        <f aca="false">IF($C456="","",IF($M456="VAT 5%",0.05,IF($M456="VAT 8%",0.08,IF($M456="VAT 10%",0.1,0))))</f>
        <v/>
      </c>
      <c r="O456" s="10" t="str">
        <f aca="false">IF($C456="","",$L456*$N456)</f>
        <v/>
      </c>
      <c r="P456" s="10" t="str">
        <f aca="false">IF($C456="","",$L456+$O456)</f>
        <v/>
      </c>
      <c r="Q456" s="9"/>
      <c r="R456" s="10" t="str">
        <f aca="false">IF($C456="","",MAX(0,$P456-N($Q456)))</f>
        <v/>
      </c>
      <c r="S456" s="19" t="str">
        <f aca="false">IF(OR($C456="",$P456=0),"",IF(N($Q456)&lt;=0,"Chưa thanh toán",IF(N($Q456)&lt;$P456,"Thanh toán một phần","Đã thanh toán")))</f>
        <v/>
      </c>
      <c r="T456" s="10" t="str">
        <f aca="false">IF(OR($C456="",$J456=""),"",N($I456)*$J456)</f>
        <v/>
      </c>
      <c r="U456" s="10" t="str">
        <f aca="false">IF(OR($C456="",$T456=""),"",$L456-$T456)</f>
        <v/>
      </c>
      <c r="V456" s="11" t="str">
        <f aca="false">IF(OR($U456="",$L456=0),"",$U456/$L456)</f>
        <v/>
      </c>
      <c r="W456" s="8"/>
      <c r="X456" s="19" t="str">
        <f aca="false">IF($C456="","",IF(AND($H456="",N($I456)=0,N($K456)=0),"Dòng chỉ lưu thông tin khách (chưa có đơn); ",IF($B456="","Thiếu ngày đặt; ","")&amp;IF($H456="","Thiếu tên sản phẩm; ",IF($J456="","Sản phẩm chưa có trong BẢNG GIÁ GỐC; ",""))&amp;IF(N($I456)&lt;=0,"Thiếu số lượng; ","")&amp;IF(N($K456)&lt;=0,"Thiếu giá bán; ","")&amp;IF(AND($N456&gt;0,$F456=""),"Khách lấy VAT thiếu mã số thuế; ","")&amp;IF(N($Q456)&gt;$P456,"Đã thu vượt tổng phải thu; ","")&amp;IF(AND($L456&gt;0,$U456&lt;0),"CẢNH BÁO: ĐƠN NÀY ĐANG LỖ; ","")))</f>
        <v/>
      </c>
      <c r="Y456" s="16" t="str">
        <f aca="false">IF(AND($C456&lt;&gt;"",$R456&gt;0),COUNTIFS($C$6:$C456,"&lt;&gt;",$R$6:$R456,"&gt;0"),"")</f>
        <v/>
      </c>
      <c r="Z456" s="16" t="str">
        <f aca="false">IF(AND($H456&lt;&gt;"",N($N456)&gt;0),COUNTIFS($H$6:$H456,"&lt;&gt;",$N$6:$N456,"&gt;0"),"")</f>
        <v/>
      </c>
      <c r="AA456" s="16" t="str">
        <f aca="false">IF(AND($H456&lt;&gt;"",N($N456)=0),COUNTIFS($H$6:$H456,"&lt;&gt;",$N$6:$N456,"&lt;=0"),"")</f>
        <v/>
      </c>
      <c r="AB456" s="16" t="str">
        <f aca="false">IF($C456="","",IF(COUNTIF($C$6:$C456,$C456)&gt;1,"",MAX($AB$5:AB455)+1))</f>
        <v/>
      </c>
      <c r="AC456" s="16" t="str">
        <f aca="false">IF($H456="","",IF(COUNTIF($H$6:$H456,$H456)&gt;1,"",MAX($AC$5:AC455)+1))</f>
        <v/>
      </c>
    </row>
    <row r="457" customFormat="false" ht="15" hidden="false" customHeight="false" outlineLevel="0" collapsed="false">
      <c r="A457" s="16" t="str">
        <f aca="false">IF($C457="","",COUNTA($C$6:$C457))</f>
        <v/>
      </c>
      <c r="B457" s="17"/>
      <c r="C457" s="8"/>
      <c r="D457" s="8"/>
      <c r="E457" s="8"/>
      <c r="F457" s="8"/>
      <c r="G457" s="8"/>
      <c r="H457" s="8"/>
      <c r="I457" s="9"/>
      <c r="J457" s="10" t="str">
        <f aca="false">IF($H457="","",IFERROR(VLOOKUP($H457,'BẢNG GIÁ GỐC'!$A$5:$D$204,3,FALSE()),""))</f>
        <v/>
      </c>
      <c r="K457" s="9"/>
      <c r="L457" s="10" t="str">
        <f aca="false">IF($C457="","",N($I457)*N($K457))</f>
        <v/>
      </c>
      <c r="M457" s="8"/>
      <c r="N457" s="11" t="str">
        <f aca="false">IF($C457="","",IF($M457="VAT 5%",0.05,IF($M457="VAT 8%",0.08,IF($M457="VAT 10%",0.1,0))))</f>
        <v/>
      </c>
      <c r="O457" s="10" t="str">
        <f aca="false">IF($C457="","",$L457*$N457)</f>
        <v/>
      </c>
      <c r="P457" s="10" t="str">
        <f aca="false">IF($C457="","",$L457+$O457)</f>
        <v/>
      </c>
      <c r="Q457" s="9"/>
      <c r="R457" s="10" t="str">
        <f aca="false">IF($C457="","",MAX(0,$P457-N($Q457)))</f>
        <v/>
      </c>
      <c r="S457" s="19" t="str">
        <f aca="false">IF(OR($C457="",$P457=0),"",IF(N($Q457)&lt;=0,"Chưa thanh toán",IF(N($Q457)&lt;$P457,"Thanh toán một phần","Đã thanh toán")))</f>
        <v/>
      </c>
      <c r="T457" s="10" t="str">
        <f aca="false">IF(OR($C457="",$J457=""),"",N($I457)*$J457)</f>
        <v/>
      </c>
      <c r="U457" s="10" t="str">
        <f aca="false">IF(OR($C457="",$T457=""),"",$L457-$T457)</f>
        <v/>
      </c>
      <c r="V457" s="11" t="str">
        <f aca="false">IF(OR($U457="",$L457=0),"",$U457/$L457)</f>
        <v/>
      </c>
      <c r="W457" s="8"/>
      <c r="X457" s="19" t="str">
        <f aca="false">IF($C457="","",IF(AND($H457="",N($I457)=0,N($K457)=0),"Dòng chỉ lưu thông tin khách (chưa có đơn); ",IF($B457="","Thiếu ngày đặt; ","")&amp;IF($H457="","Thiếu tên sản phẩm; ",IF($J457="","Sản phẩm chưa có trong BẢNG GIÁ GỐC; ",""))&amp;IF(N($I457)&lt;=0,"Thiếu số lượng; ","")&amp;IF(N($K457)&lt;=0,"Thiếu giá bán; ","")&amp;IF(AND($N457&gt;0,$F457=""),"Khách lấy VAT thiếu mã số thuế; ","")&amp;IF(N($Q457)&gt;$P457,"Đã thu vượt tổng phải thu; ","")&amp;IF(AND($L457&gt;0,$U457&lt;0),"CẢNH BÁO: ĐƠN NÀY ĐANG LỖ; ","")))</f>
        <v/>
      </c>
      <c r="Y457" s="16" t="str">
        <f aca="false">IF(AND($C457&lt;&gt;"",$R457&gt;0),COUNTIFS($C$6:$C457,"&lt;&gt;",$R$6:$R457,"&gt;0"),"")</f>
        <v/>
      </c>
      <c r="Z457" s="16" t="str">
        <f aca="false">IF(AND($H457&lt;&gt;"",N($N457)&gt;0),COUNTIFS($H$6:$H457,"&lt;&gt;",$N$6:$N457,"&gt;0"),"")</f>
        <v/>
      </c>
      <c r="AA457" s="16" t="str">
        <f aca="false">IF(AND($H457&lt;&gt;"",N($N457)=0),COUNTIFS($H$6:$H457,"&lt;&gt;",$N$6:$N457,"&lt;=0"),"")</f>
        <v/>
      </c>
      <c r="AB457" s="16" t="str">
        <f aca="false">IF($C457="","",IF(COUNTIF($C$6:$C457,$C457)&gt;1,"",MAX($AB$5:AB456)+1))</f>
        <v/>
      </c>
      <c r="AC457" s="16" t="str">
        <f aca="false">IF($H457="","",IF(COUNTIF($H$6:$H457,$H457)&gt;1,"",MAX($AC$5:AC456)+1))</f>
        <v/>
      </c>
    </row>
    <row r="458" customFormat="false" ht="15" hidden="false" customHeight="false" outlineLevel="0" collapsed="false">
      <c r="A458" s="16" t="str">
        <f aca="false">IF($C458="","",COUNTA($C$6:$C458))</f>
        <v/>
      </c>
      <c r="B458" s="17"/>
      <c r="C458" s="8"/>
      <c r="D458" s="8"/>
      <c r="E458" s="8"/>
      <c r="F458" s="8"/>
      <c r="G458" s="8"/>
      <c r="H458" s="8"/>
      <c r="I458" s="9"/>
      <c r="J458" s="10" t="str">
        <f aca="false">IF($H458="","",IFERROR(VLOOKUP($H458,'BẢNG GIÁ GỐC'!$A$5:$D$204,3,FALSE()),""))</f>
        <v/>
      </c>
      <c r="K458" s="9"/>
      <c r="L458" s="10" t="str">
        <f aca="false">IF($C458="","",N($I458)*N($K458))</f>
        <v/>
      </c>
      <c r="M458" s="8"/>
      <c r="N458" s="11" t="str">
        <f aca="false">IF($C458="","",IF($M458="VAT 5%",0.05,IF($M458="VAT 8%",0.08,IF($M458="VAT 10%",0.1,0))))</f>
        <v/>
      </c>
      <c r="O458" s="10" t="str">
        <f aca="false">IF($C458="","",$L458*$N458)</f>
        <v/>
      </c>
      <c r="P458" s="10" t="str">
        <f aca="false">IF($C458="","",$L458+$O458)</f>
        <v/>
      </c>
      <c r="Q458" s="9"/>
      <c r="R458" s="10" t="str">
        <f aca="false">IF($C458="","",MAX(0,$P458-N($Q458)))</f>
        <v/>
      </c>
      <c r="S458" s="19" t="str">
        <f aca="false">IF(OR($C458="",$P458=0),"",IF(N($Q458)&lt;=0,"Chưa thanh toán",IF(N($Q458)&lt;$P458,"Thanh toán một phần","Đã thanh toán")))</f>
        <v/>
      </c>
      <c r="T458" s="10" t="str">
        <f aca="false">IF(OR($C458="",$J458=""),"",N($I458)*$J458)</f>
        <v/>
      </c>
      <c r="U458" s="10" t="str">
        <f aca="false">IF(OR($C458="",$T458=""),"",$L458-$T458)</f>
        <v/>
      </c>
      <c r="V458" s="11" t="str">
        <f aca="false">IF(OR($U458="",$L458=0),"",$U458/$L458)</f>
        <v/>
      </c>
      <c r="W458" s="8"/>
      <c r="X458" s="19" t="str">
        <f aca="false">IF($C458="","",IF(AND($H458="",N($I458)=0,N($K458)=0),"Dòng chỉ lưu thông tin khách (chưa có đơn); ",IF($B458="","Thiếu ngày đặt; ","")&amp;IF($H458="","Thiếu tên sản phẩm; ",IF($J458="","Sản phẩm chưa có trong BẢNG GIÁ GỐC; ",""))&amp;IF(N($I458)&lt;=0,"Thiếu số lượng; ","")&amp;IF(N($K458)&lt;=0,"Thiếu giá bán; ","")&amp;IF(AND($N458&gt;0,$F458=""),"Khách lấy VAT thiếu mã số thuế; ","")&amp;IF(N($Q458)&gt;$P458,"Đã thu vượt tổng phải thu; ","")&amp;IF(AND($L458&gt;0,$U458&lt;0),"CẢNH BÁO: ĐƠN NÀY ĐANG LỖ; ","")))</f>
        <v/>
      </c>
      <c r="Y458" s="16" t="str">
        <f aca="false">IF(AND($C458&lt;&gt;"",$R458&gt;0),COUNTIFS($C$6:$C458,"&lt;&gt;",$R$6:$R458,"&gt;0"),"")</f>
        <v/>
      </c>
      <c r="Z458" s="16" t="str">
        <f aca="false">IF(AND($H458&lt;&gt;"",N($N458)&gt;0),COUNTIFS($H$6:$H458,"&lt;&gt;",$N$6:$N458,"&gt;0"),"")</f>
        <v/>
      </c>
      <c r="AA458" s="16" t="str">
        <f aca="false">IF(AND($H458&lt;&gt;"",N($N458)=0),COUNTIFS($H$6:$H458,"&lt;&gt;",$N$6:$N458,"&lt;=0"),"")</f>
        <v/>
      </c>
      <c r="AB458" s="16" t="str">
        <f aca="false">IF($C458="","",IF(COUNTIF($C$6:$C458,$C458)&gt;1,"",MAX($AB$5:AB457)+1))</f>
        <v/>
      </c>
      <c r="AC458" s="16" t="str">
        <f aca="false">IF($H458="","",IF(COUNTIF($H$6:$H458,$H458)&gt;1,"",MAX($AC$5:AC457)+1))</f>
        <v/>
      </c>
    </row>
    <row r="459" customFormat="false" ht="15" hidden="false" customHeight="false" outlineLevel="0" collapsed="false">
      <c r="A459" s="16" t="str">
        <f aca="false">IF($C459="","",COUNTA($C$6:$C459))</f>
        <v/>
      </c>
      <c r="B459" s="17"/>
      <c r="C459" s="8"/>
      <c r="D459" s="8"/>
      <c r="E459" s="8"/>
      <c r="F459" s="8"/>
      <c r="G459" s="8"/>
      <c r="H459" s="8"/>
      <c r="I459" s="9"/>
      <c r="J459" s="10" t="str">
        <f aca="false">IF($H459="","",IFERROR(VLOOKUP($H459,'BẢNG GIÁ GỐC'!$A$5:$D$204,3,FALSE()),""))</f>
        <v/>
      </c>
      <c r="K459" s="9"/>
      <c r="L459" s="10" t="str">
        <f aca="false">IF($C459="","",N($I459)*N($K459))</f>
        <v/>
      </c>
      <c r="M459" s="8"/>
      <c r="N459" s="11" t="str">
        <f aca="false">IF($C459="","",IF($M459="VAT 5%",0.05,IF($M459="VAT 8%",0.08,IF($M459="VAT 10%",0.1,0))))</f>
        <v/>
      </c>
      <c r="O459" s="10" t="str">
        <f aca="false">IF($C459="","",$L459*$N459)</f>
        <v/>
      </c>
      <c r="P459" s="10" t="str">
        <f aca="false">IF($C459="","",$L459+$O459)</f>
        <v/>
      </c>
      <c r="Q459" s="9"/>
      <c r="R459" s="10" t="str">
        <f aca="false">IF($C459="","",MAX(0,$P459-N($Q459)))</f>
        <v/>
      </c>
      <c r="S459" s="19" t="str">
        <f aca="false">IF(OR($C459="",$P459=0),"",IF(N($Q459)&lt;=0,"Chưa thanh toán",IF(N($Q459)&lt;$P459,"Thanh toán một phần","Đã thanh toán")))</f>
        <v/>
      </c>
      <c r="T459" s="10" t="str">
        <f aca="false">IF(OR($C459="",$J459=""),"",N($I459)*$J459)</f>
        <v/>
      </c>
      <c r="U459" s="10" t="str">
        <f aca="false">IF(OR($C459="",$T459=""),"",$L459-$T459)</f>
        <v/>
      </c>
      <c r="V459" s="11" t="str">
        <f aca="false">IF(OR($U459="",$L459=0),"",$U459/$L459)</f>
        <v/>
      </c>
      <c r="W459" s="8"/>
      <c r="X459" s="19" t="str">
        <f aca="false">IF($C459="","",IF(AND($H459="",N($I459)=0,N($K459)=0),"Dòng chỉ lưu thông tin khách (chưa có đơn); ",IF($B459="","Thiếu ngày đặt; ","")&amp;IF($H459="","Thiếu tên sản phẩm; ",IF($J459="","Sản phẩm chưa có trong BẢNG GIÁ GỐC; ",""))&amp;IF(N($I459)&lt;=0,"Thiếu số lượng; ","")&amp;IF(N($K459)&lt;=0,"Thiếu giá bán; ","")&amp;IF(AND($N459&gt;0,$F459=""),"Khách lấy VAT thiếu mã số thuế; ","")&amp;IF(N($Q459)&gt;$P459,"Đã thu vượt tổng phải thu; ","")&amp;IF(AND($L459&gt;0,$U459&lt;0),"CẢNH BÁO: ĐƠN NÀY ĐANG LỖ; ","")))</f>
        <v/>
      </c>
      <c r="Y459" s="16" t="str">
        <f aca="false">IF(AND($C459&lt;&gt;"",$R459&gt;0),COUNTIFS($C$6:$C459,"&lt;&gt;",$R$6:$R459,"&gt;0"),"")</f>
        <v/>
      </c>
      <c r="Z459" s="16" t="str">
        <f aca="false">IF(AND($H459&lt;&gt;"",N($N459)&gt;0),COUNTIFS($H$6:$H459,"&lt;&gt;",$N$6:$N459,"&gt;0"),"")</f>
        <v/>
      </c>
      <c r="AA459" s="16" t="str">
        <f aca="false">IF(AND($H459&lt;&gt;"",N($N459)=0),COUNTIFS($H$6:$H459,"&lt;&gt;",$N$6:$N459,"&lt;=0"),"")</f>
        <v/>
      </c>
      <c r="AB459" s="16" t="str">
        <f aca="false">IF($C459="","",IF(COUNTIF($C$6:$C459,$C459)&gt;1,"",MAX($AB$5:AB458)+1))</f>
        <v/>
      </c>
      <c r="AC459" s="16" t="str">
        <f aca="false">IF($H459="","",IF(COUNTIF($H$6:$H459,$H459)&gt;1,"",MAX($AC$5:AC458)+1))</f>
        <v/>
      </c>
    </row>
    <row r="460" customFormat="false" ht="15" hidden="false" customHeight="false" outlineLevel="0" collapsed="false">
      <c r="A460" s="16" t="str">
        <f aca="false">IF($C460="","",COUNTA($C$6:$C460))</f>
        <v/>
      </c>
      <c r="B460" s="17"/>
      <c r="C460" s="8"/>
      <c r="D460" s="8"/>
      <c r="E460" s="8"/>
      <c r="F460" s="8"/>
      <c r="G460" s="8"/>
      <c r="H460" s="8"/>
      <c r="I460" s="9"/>
      <c r="J460" s="10" t="str">
        <f aca="false">IF($H460="","",IFERROR(VLOOKUP($H460,'BẢNG GIÁ GỐC'!$A$5:$D$204,3,FALSE()),""))</f>
        <v/>
      </c>
      <c r="K460" s="9"/>
      <c r="L460" s="10" t="str">
        <f aca="false">IF($C460="","",N($I460)*N($K460))</f>
        <v/>
      </c>
      <c r="M460" s="8"/>
      <c r="N460" s="11" t="str">
        <f aca="false">IF($C460="","",IF($M460="VAT 5%",0.05,IF($M460="VAT 8%",0.08,IF($M460="VAT 10%",0.1,0))))</f>
        <v/>
      </c>
      <c r="O460" s="10" t="str">
        <f aca="false">IF($C460="","",$L460*$N460)</f>
        <v/>
      </c>
      <c r="P460" s="10" t="str">
        <f aca="false">IF($C460="","",$L460+$O460)</f>
        <v/>
      </c>
      <c r="Q460" s="9"/>
      <c r="R460" s="10" t="str">
        <f aca="false">IF($C460="","",MAX(0,$P460-N($Q460)))</f>
        <v/>
      </c>
      <c r="S460" s="19" t="str">
        <f aca="false">IF(OR($C460="",$P460=0),"",IF(N($Q460)&lt;=0,"Chưa thanh toán",IF(N($Q460)&lt;$P460,"Thanh toán một phần","Đã thanh toán")))</f>
        <v/>
      </c>
      <c r="T460" s="10" t="str">
        <f aca="false">IF(OR($C460="",$J460=""),"",N($I460)*$J460)</f>
        <v/>
      </c>
      <c r="U460" s="10" t="str">
        <f aca="false">IF(OR($C460="",$T460=""),"",$L460-$T460)</f>
        <v/>
      </c>
      <c r="V460" s="11" t="str">
        <f aca="false">IF(OR($U460="",$L460=0),"",$U460/$L460)</f>
        <v/>
      </c>
      <c r="W460" s="8"/>
      <c r="X460" s="19" t="str">
        <f aca="false">IF($C460="","",IF(AND($H460="",N($I460)=0,N($K460)=0),"Dòng chỉ lưu thông tin khách (chưa có đơn); ",IF($B460="","Thiếu ngày đặt; ","")&amp;IF($H460="","Thiếu tên sản phẩm; ",IF($J460="","Sản phẩm chưa có trong BẢNG GIÁ GỐC; ",""))&amp;IF(N($I460)&lt;=0,"Thiếu số lượng; ","")&amp;IF(N($K460)&lt;=0,"Thiếu giá bán; ","")&amp;IF(AND($N460&gt;0,$F460=""),"Khách lấy VAT thiếu mã số thuế; ","")&amp;IF(N($Q460)&gt;$P460,"Đã thu vượt tổng phải thu; ","")&amp;IF(AND($L460&gt;0,$U460&lt;0),"CẢNH BÁO: ĐƠN NÀY ĐANG LỖ; ","")))</f>
        <v/>
      </c>
      <c r="Y460" s="16" t="str">
        <f aca="false">IF(AND($C460&lt;&gt;"",$R460&gt;0),COUNTIFS($C$6:$C460,"&lt;&gt;",$R$6:$R460,"&gt;0"),"")</f>
        <v/>
      </c>
      <c r="Z460" s="16" t="str">
        <f aca="false">IF(AND($H460&lt;&gt;"",N($N460)&gt;0),COUNTIFS($H$6:$H460,"&lt;&gt;",$N$6:$N460,"&gt;0"),"")</f>
        <v/>
      </c>
      <c r="AA460" s="16" t="str">
        <f aca="false">IF(AND($H460&lt;&gt;"",N($N460)=0),COUNTIFS($H$6:$H460,"&lt;&gt;",$N$6:$N460,"&lt;=0"),"")</f>
        <v/>
      </c>
      <c r="AB460" s="16" t="str">
        <f aca="false">IF($C460="","",IF(COUNTIF($C$6:$C460,$C460)&gt;1,"",MAX($AB$5:AB459)+1))</f>
        <v/>
      </c>
      <c r="AC460" s="16" t="str">
        <f aca="false">IF($H460="","",IF(COUNTIF($H$6:$H460,$H460)&gt;1,"",MAX($AC$5:AC459)+1))</f>
        <v/>
      </c>
    </row>
    <row r="461" customFormat="false" ht="15" hidden="false" customHeight="false" outlineLevel="0" collapsed="false">
      <c r="A461" s="16" t="str">
        <f aca="false">IF($C461="","",COUNTA($C$6:$C461))</f>
        <v/>
      </c>
      <c r="B461" s="17"/>
      <c r="C461" s="8"/>
      <c r="D461" s="8"/>
      <c r="E461" s="8"/>
      <c r="F461" s="8"/>
      <c r="G461" s="8"/>
      <c r="H461" s="8"/>
      <c r="I461" s="9"/>
      <c r="J461" s="10" t="str">
        <f aca="false">IF($H461="","",IFERROR(VLOOKUP($H461,'BẢNG GIÁ GỐC'!$A$5:$D$204,3,FALSE()),""))</f>
        <v/>
      </c>
      <c r="K461" s="9"/>
      <c r="L461" s="10" t="str">
        <f aca="false">IF($C461="","",N($I461)*N($K461))</f>
        <v/>
      </c>
      <c r="M461" s="8"/>
      <c r="N461" s="11" t="str">
        <f aca="false">IF($C461="","",IF($M461="VAT 5%",0.05,IF($M461="VAT 8%",0.08,IF($M461="VAT 10%",0.1,0))))</f>
        <v/>
      </c>
      <c r="O461" s="10" t="str">
        <f aca="false">IF($C461="","",$L461*$N461)</f>
        <v/>
      </c>
      <c r="P461" s="10" t="str">
        <f aca="false">IF($C461="","",$L461+$O461)</f>
        <v/>
      </c>
      <c r="Q461" s="9"/>
      <c r="R461" s="10" t="str">
        <f aca="false">IF($C461="","",MAX(0,$P461-N($Q461)))</f>
        <v/>
      </c>
      <c r="S461" s="19" t="str">
        <f aca="false">IF(OR($C461="",$P461=0),"",IF(N($Q461)&lt;=0,"Chưa thanh toán",IF(N($Q461)&lt;$P461,"Thanh toán một phần","Đã thanh toán")))</f>
        <v/>
      </c>
      <c r="T461" s="10" t="str">
        <f aca="false">IF(OR($C461="",$J461=""),"",N($I461)*$J461)</f>
        <v/>
      </c>
      <c r="U461" s="10" t="str">
        <f aca="false">IF(OR($C461="",$T461=""),"",$L461-$T461)</f>
        <v/>
      </c>
      <c r="V461" s="11" t="str">
        <f aca="false">IF(OR($U461="",$L461=0),"",$U461/$L461)</f>
        <v/>
      </c>
      <c r="W461" s="8"/>
      <c r="X461" s="19" t="str">
        <f aca="false">IF($C461="","",IF(AND($H461="",N($I461)=0,N($K461)=0),"Dòng chỉ lưu thông tin khách (chưa có đơn); ",IF($B461="","Thiếu ngày đặt; ","")&amp;IF($H461="","Thiếu tên sản phẩm; ",IF($J461="","Sản phẩm chưa có trong BẢNG GIÁ GỐC; ",""))&amp;IF(N($I461)&lt;=0,"Thiếu số lượng; ","")&amp;IF(N($K461)&lt;=0,"Thiếu giá bán; ","")&amp;IF(AND($N461&gt;0,$F461=""),"Khách lấy VAT thiếu mã số thuế; ","")&amp;IF(N($Q461)&gt;$P461,"Đã thu vượt tổng phải thu; ","")&amp;IF(AND($L461&gt;0,$U461&lt;0),"CẢNH BÁO: ĐƠN NÀY ĐANG LỖ; ","")))</f>
        <v/>
      </c>
      <c r="Y461" s="16" t="str">
        <f aca="false">IF(AND($C461&lt;&gt;"",$R461&gt;0),COUNTIFS($C$6:$C461,"&lt;&gt;",$R$6:$R461,"&gt;0"),"")</f>
        <v/>
      </c>
      <c r="Z461" s="16" t="str">
        <f aca="false">IF(AND($H461&lt;&gt;"",N($N461)&gt;0),COUNTIFS($H$6:$H461,"&lt;&gt;",$N$6:$N461,"&gt;0"),"")</f>
        <v/>
      </c>
      <c r="AA461" s="16" t="str">
        <f aca="false">IF(AND($H461&lt;&gt;"",N($N461)=0),COUNTIFS($H$6:$H461,"&lt;&gt;",$N$6:$N461,"&lt;=0"),"")</f>
        <v/>
      </c>
      <c r="AB461" s="16" t="str">
        <f aca="false">IF($C461="","",IF(COUNTIF($C$6:$C461,$C461)&gt;1,"",MAX($AB$5:AB460)+1))</f>
        <v/>
      </c>
      <c r="AC461" s="16" t="str">
        <f aca="false">IF($H461="","",IF(COUNTIF($H$6:$H461,$H461)&gt;1,"",MAX($AC$5:AC460)+1))</f>
        <v/>
      </c>
    </row>
    <row r="462" customFormat="false" ht="15" hidden="false" customHeight="false" outlineLevel="0" collapsed="false">
      <c r="A462" s="16" t="str">
        <f aca="false">IF($C462="","",COUNTA($C$6:$C462))</f>
        <v/>
      </c>
      <c r="B462" s="17"/>
      <c r="C462" s="8"/>
      <c r="D462" s="8"/>
      <c r="E462" s="8"/>
      <c r="F462" s="8"/>
      <c r="G462" s="8"/>
      <c r="H462" s="8"/>
      <c r="I462" s="9"/>
      <c r="J462" s="10" t="str">
        <f aca="false">IF($H462="","",IFERROR(VLOOKUP($H462,'BẢNG GIÁ GỐC'!$A$5:$D$204,3,FALSE()),""))</f>
        <v/>
      </c>
      <c r="K462" s="9"/>
      <c r="L462" s="10" t="str">
        <f aca="false">IF($C462="","",N($I462)*N($K462))</f>
        <v/>
      </c>
      <c r="M462" s="8"/>
      <c r="N462" s="11" t="str">
        <f aca="false">IF($C462="","",IF($M462="VAT 5%",0.05,IF($M462="VAT 8%",0.08,IF($M462="VAT 10%",0.1,0))))</f>
        <v/>
      </c>
      <c r="O462" s="10" t="str">
        <f aca="false">IF($C462="","",$L462*$N462)</f>
        <v/>
      </c>
      <c r="P462" s="10" t="str">
        <f aca="false">IF($C462="","",$L462+$O462)</f>
        <v/>
      </c>
      <c r="Q462" s="9"/>
      <c r="R462" s="10" t="str">
        <f aca="false">IF($C462="","",MAX(0,$P462-N($Q462)))</f>
        <v/>
      </c>
      <c r="S462" s="19" t="str">
        <f aca="false">IF(OR($C462="",$P462=0),"",IF(N($Q462)&lt;=0,"Chưa thanh toán",IF(N($Q462)&lt;$P462,"Thanh toán một phần","Đã thanh toán")))</f>
        <v/>
      </c>
      <c r="T462" s="10" t="str">
        <f aca="false">IF(OR($C462="",$J462=""),"",N($I462)*$J462)</f>
        <v/>
      </c>
      <c r="U462" s="10" t="str">
        <f aca="false">IF(OR($C462="",$T462=""),"",$L462-$T462)</f>
        <v/>
      </c>
      <c r="V462" s="11" t="str">
        <f aca="false">IF(OR($U462="",$L462=0),"",$U462/$L462)</f>
        <v/>
      </c>
      <c r="W462" s="8"/>
      <c r="X462" s="19" t="str">
        <f aca="false">IF($C462="","",IF(AND($H462="",N($I462)=0,N($K462)=0),"Dòng chỉ lưu thông tin khách (chưa có đơn); ",IF($B462="","Thiếu ngày đặt; ","")&amp;IF($H462="","Thiếu tên sản phẩm; ",IF($J462="","Sản phẩm chưa có trong BẢNG GIÁ GỐC; ",""))&amp;IF(N($I462)&lt;=0,"Thiếu số lượng; ","")&amp;IF(N($K462)&lt;=0,"Thiếu giá bán; ","")&amp;IF(AND($N462&gt;0,$F462=""),"Khách lấy VAT thiếu mã số thuế; ","")&amp;IF(N($Q462)&gt;$P462,"Đã thu vượt tổng phải thu; ","")&amp;IF(AND($L462&gt;0,$U462&lt;0),"CẢNH BÁO: ĐƠN NÀY ĐANG LỖ; ","")))</f>
        <v/>
      </c>
      <c r="Y462" s="16" t="str">
        <f aca="false">IF(AND($C462&lt;&gt;"",$R462&gt;0),COUNTIFS($C$6:$C462,"&lt;&gt;",$R$6:$R462,"&gt;0"),"")</f>
        <v/>
      </c>
      <c r="Z462" s="16" t="str">
        <f aca="false">IF(AND($H462&lt;&gt;"",N($N462)&gt;0),COUNTIFS($H$6:$H462,"&lt;&gt;",$N$6:$N462,"&gt;0"),"")</f>
        <v/>
      </c>
      <c r="AA462" s="16" t="str">
        <f aca="false">IF(AND($H462&lt;&gt;"",N($N462)=0),COUNTIFS($H$6:$H462,"&lt;&gt;",$N$6:$N462,"&lt;=0"),"")</f>
        <v/>
      </c>
      <c r="AB462" s="16" t="str">
        <f aca="false">IF($C462="","",IF(COUNTIF($C$6:$C462,$C462)&gt;1,"",MAX($AB$5:AB461)+1))</f>
        <v/>
      </c>
      <c r="AC462" s="16" t="str">
        <f aca="false">IF($H462="","",IF(COUNTIF($H$6:$H462,$H462)&gt;1,"",MAX($AC$5:AC461)+1))</f>
        <v/>
      </c>
    </row>
    <row r="463" customFormat="false" ht="15" hidden="false" customHeight="false" outlineLevel="0" collapsed="false">
      <c r="A463" s="16" t="str">
        <f aca="false">IF($C463="","",COUNTA($C$6:$C463))</f>
        <v/>
      </c>
      <c r="B463" s="17"/>
      <c r="C463" s="8"/>
      <c r="D463" s="8"/>
      <c r="E463" s="8"/>
      <c r="F463" s="8"/>
      <c r="G463" s="8"/>
      <c r="H463" s="8"/>
      <c r="I463" s="9"/>
      <c r="J463" s="10" t="str">
        <f aca="false">IF($H463="","",IFERROR(VLOOKUP($H463,'BẢNG GIÁ GỐC'!$A$5:$D$204,3,FALSE()),""))</f>
        <v/>
      </c>
      <c r="K463" s="9"/>
      <c r="L463" s="10" t="str">
        <f aca="false">IF($C463="","",N($I463)*N($K463))</f>
        <v/>
      </c>
      <c r="M463" s="8"/>
      <c r="N463" s="11" t="str">
        <f aca="false">IF($C463="","",IF($M463="VAT 5%",0.05,IF($M463="VAT 8%",0.08,IF($M463="VAT 10%",0.1,0))))</f>
        <v/>
      </c>
      <c r="O463" s="10" t="str">
        <f aca="false">IF($C463="","",$L463*$N463)</f>
        <v/>
      </c>
      <c r="P463" s="10" t="str">
        <f aca="false">IF($C463="","",$L463+$O463)</f>
        <v/>
      </c>
      <c r="Q463" s="9"/>
      <c r="R463" s="10" t="str">
        <f aca="false">IF($C463="","",MAX(0,$P463-N($Q463)))</f>
        <v/>
      </c>
      <c r="S463" s="19" t="str">
        <f aca="false">IF(OR($C463="",$P463=0),"",IF(N($Q463)&lt;=0,"Chưa thanh toán",IF(N($Q463)&lt;$P463,"Thanh toán một phần","Đã thanh toán")))</f>
        <v/>
      </c>
      <c r="T463" s="10" t="str">
        <f aca="false">IF(OR($C463="",$J463=""),"",N($I463)*$J463)</f>
        <v/>
      </c>
      <c r="U463" s="10" t="str">
        <f aca="false">IF(OR($C463="",$T463=""),"",$L463-$T463)</f>
        <v/>
      </c>
      <c r="V463" s="11" t="str">
        <f aca="false">IF(OR($U463="",$L463=0),"",$U463/$L463)</f>
        <v/>
      </c>
      <c r="W463" s="8"/>
      <c r="X463" s="19" t="str">
        <f aca="false">IF($C463="","",IF(AND($H463="",N($I463)=0,N($K463)=0),"Dòng chỉ lưu thông tin khách (chưa có đơn); ",IF($B463="","Thiếu ngày đặt; ","")&amp;IF($H463="","Thiếu tên sản phẩm; ",IF($J463="","Sản phẩm chưa có trong BẢNG GIÁ GỐC; ",""))&amp;IF(N($I463)&lt;=0,"Thiếu số lượng; ","")&amp;IF(N($K463)&lt;=0,"Thiếu giá bán; ","")&amp;IF(AND($N463&gt;0,$F463=""),"Khách lấy VAT thiếu mã số thuế; ","")&amp;IF(N($Q463)&gt;$P463,"Đã thu vượt tổng phải thu; ","")&amp;IF(AND($L463&gt;0,$U463&lt;0),"CẢNH BÁO: ĐƠN NÀY ĐANG LỖ; ","")))</f>
        <v/>
      </c>
      <c r="Y463" s="16" t="str">
        <f aca="false">IF(AND($C463&lt;&gt;"",$R463&gt;0),COUNTIFS($C$6:$C463,"&lt;&gt;",$R$6:$R463,"&gt;0"),"")</f>
        <v/>
      </c>
      <c r="Z463" s="16" t="str">
        <f aca="false">IF(AND($H463&lt;&gt;"",N($N463)&gt;0),COUNTIFS($H$6:$H463,"&lt;&gt;",$N$6:$N463,"&gt;0"),"")</f>
        <v/>
      </c>
      <c r="AA463" s="16" t="str">
        <f aca="false">IF(AND($H463&lt;&gt;"",N($N463)=0),COUNTIFS($H$6:$H463,"&lt;&gt;",$N$6:$N463,"&lt;=0"),"")</f>
        <v/>
      </c>
      <c r="AB463" s="16" t="str">
        <f aca="false">IF($C463="","",IF(COUNTIF($C$6:$C463,$C463)&gt;1,"",MAX($AB$5:AB462)+1))</f>
        <v/>
      </c>
      <c r="AC463" s="16" t="str">
        <f aca="false">IF($H463="","",IF(COUNTIF($H$6:$H463,$H463)&gt;1,"",MAX($AC$5:AC462)+1))</f>
        <v/>
      </c>
    </row>
    <row r="464" customFormat="false" ht="15" hidden="false" customHeight="false" outlineLevel="0" collapsed="false">
      <c r="A464" s="16" t="str">
        <f aca="false">IF($C464="","",COUNTA($C$6:$C464))</f>
        <v/>
      </c>
      <c r="B464" s="17"/>
      <c r="C464" s="8"/>
      <c r="D464" s="8"/>
      <c r="E464" s="8"/>
      <c r="F464" s="8"/>
      <c r="G464" s="8"/>
      <c r="H464" s="8"/>
      <c r="I464" s="9"/>
      <c r="J464" s="10" t="str">
        <f aca="false">IF($H464="","",IFERROR(VLOOKUP($H464,'BẢNG GIÁ GỐC'!$A$5:$D$204,3,FALSE()),""))</f>
        <v/>
      </c>
      <c r="K464" s="9"/>
      <c r="L464" s="10" t="str">
        <f aca="false">IF($C464="","",N($I464)*N($K464))</f>
        <v/>
      </c>
      <c r="M464" s="8"/>
      <c r="N464" s="11" t="str">
        <f aca="false">IF($C464="","",IF($M464="VAT 5%",0.05,IF($M464="VAT 8%",0.08,IF($M464="VAT 10%",0.1,0))))</f>
        <v/>
      </c>
      <c r="O464" s="10" t="str">
        <f aca="false">IF($C464="","",$L464*$N464)</f>
        <v/>
      </c>
      <c r="P464" s="10" t="str">
        <f aca="false">IF($C464="","",$L464+$O464)</f>
        <v/>
      </c>
      <c r="Q464" s="9"/>
      <c r="R464" s="10" t="str">
        <f aca="false">IF($C464="","",MAX(0,$P464-N($Q464)))</f>
        <v/>
      </c>
      <c r="S464" s="19" t="str">
        <f aca="false">IF(OR($C464="",$P464=0),"",IF(N($Q464)&lt;=0,"Chưa thanh toán",IF(N($Q464)&lt;$P464,"Thanh toán một phần","Đã thanh toán")))</f>
        <v/>
      </c>
      <c r="T464" s="10" t="str">
        <f aca="false">IF(OR($C464="",$J464=""),"",N($I464)*$J464)</f>
        <v/>
      </c>
      <c r="U464" s="10" t="str">
        <f aca="false">IF(OR($C464="",$T464=""),"",$L464-$T464)</f>
        <v/>
      </c>
      <c r="V464" s="11" t="str">
        <f aca="false">IF(OR($U464="",$L464=0),"",$U464/$L464)</f>
        <v/>
      </c>
      <c r="W464" s="8"/>
      <c r="X464" s="19" t="str">
        <f aca="false">IF($C464="","",IF(AND($H464="",N($I464)=0,N($K464)=0),"Dòng chỉ lưu thông tin khách (chưa có đơn); ",IF($B464="","Thiếu ngày đặt; ","")&amp;IF($H464="","Thiếu tên sản phẩm; ",IF($J464="","Sản phẩm chưa có trong BẢNG GIÁ GỐC; ",""))&amp;IF(N($I464)&lt;=0,"Thiếu số lượng; ","")&amp;IF(N($K464)&lt;=0,"Thiếu giá bán; ","")&amp;IF(AND($N464&gt;0,$F464=""),"Khách lấy VAT thiếu mã số thuế; ","")&amp;IF(N($Q464)&gt;$P464,"Đã thu vượt tổng phải thu; ","")&amp;IF(AND($L464&gt;0,$U464&lt;0),"CẢNH BÁO: ĐƠN NÀY ĐANG LỖ; ","")))</f>
        <v/>
      </c>
      <c r="Y464" s="16" t="str">
        <f aca="false">IF(AND($C464&lt;&gt;"",$R464&gt;0),COUNTIFS($C$6:$C464,"&lt;&gt;",$R$6:$R464,"&gt;0"),"")</f>
        <v/>
      </c>
      <c r="Z464" s="16" t="str">
        <f aca="false">IF(AND($H464&lt;&gt;"",N($N464)&gt;0),COUNTIFS($H$6:$H464,"&lt;&gt;",$N$6:$N464,"&gt;0"),"")</f>
        <v/>
      </c>
      <c r="AA464" s="16" t="str">
        <f aca="false">IF(AND($H464&lt;&gt;"",N($N464)=0),COUNTIFS($H$6:$H464,"&lt;&gt;",$N$6:$N464,"&lt;=0"),"")</f>
        <v/>
      </c>
      <c r="AB464" s="16" t="str">
        <f aca="false">IF($C464="","",IF(COUNTIF($C$6:$C464,$C464)&gt;1,"",MAX($AB$5:AB463)+1))</f>
        <v/>
      </c>
      <c r="AC464" s="16" t="str">
        <f aca="false">IF($H464="","",IF(COUNTIF($H$6:$H464,$H464)&gt;1,"",MAX($AC$5:AC463)+1))</f>
        <v/>
      </c>
    </row>
    <row r="465" customFormat="false" ht="15" hidden="false" customHeight="false" outlineLevel="0" collapsed="false">
      <c r="A465" s="16" t="str">
        <f aca="false">IF($C465="","",COUNTA($C$6:$C465))</f>
        <v/>
      </c>
      <c r="B465" s="17"/>
      <c r="C465" s="8"/>
      <c r="D465" s="8"/>
      <c r="E465" s="8"/>
      <c r="F465" s="8"/>
      <c r="G465" s="8"/>
      <c r="H465" s="8"/>
      <c r="I465" s="9"/>
      <c r="J465" s="10" t="str">
        <f aca="false">IF($H465="","",IFERROR(VLOOKUP($H465,'BẢNG GIÁ GỐC'!$A$5:$D$204,3,FALSE()),""))</f>
        <v/>
      </c>
      <c r="K465" s="9"/>
      <c r="L465" s="10" t="str">
        <f aca="false">IF($C465="","",N($I465)*N($K465))</f>
        <v/>
      </c>
      <c r="M465" s="8"/>
      <c r="N465" s="11" t="str">
        <f aca="false">IF($C465="","",IF($M465="VAT 5%",0.05,IF($M465="VAT 8%",0.08,IF($M465="VAT 10%",0.1,0))))</f>
        <v/>
      </c>
      <c r="O465" s="10" t="str">
        <f aca="false">IF($C465="","",$L465*$N465)</f>
        <v/>
      </c>
      <c r="P465" s="10" t="str">
        <f aca="false">IF($C465="","",$L465+$O465)</f>
        <v/>
      </c>
      <c r="Q465" s="9"/>
      <c r="R465" s="10" t="str">
        <f aca="false">IF($C465="","",MAX(0,$P465-N($Q465)))</f>
        <v/>
      </c>
      <c r="S465" s="19" t="str">
        <f aca="false">IF(OR($C465="",$P465=0),"",IF(N($Q465)&lt;=0,"Chưa thanh toán",IF(N($Q465)&lt;$P465,"Thanh toán một phần","Đã thanh toán")))</f>
        <v/>
      </c>
      <c r="T465" s="10" t="str">
        <f aca="false">IF(OR($C465="",$J465=""),"",N($I465)*$J465)</f>
        <v/>
      </c>
      <c r="U465" s="10" t="str">
        <f aca="false">IF(OR($C465="",$T465=""),"",$L465-$T465)</f>
        <v/>
      </c>
      <c r="V465" s="11" t="str">
        <f aca="false">IF(OR($U465="",$L465=0),"",$U465/$L465)</f>
        <v/>
      </c>
      <c r="W465" s="8"/>
      <c r="X465" s="19" t="str">
        <f aca="false">IF($C465="","",IF(AND($H465="",N($I465)=0,N($K465)=0),"Dòng chỉ lưu thông tin khách (chưa có đơn); ",IF($B465="","Thiếu ngày đặt; ","")&amp;IF($H465="","Thiếu tên sản phẩm; ",IF($J465="","Sản phẩm chưa có trong BẢNG GIÁ GỐC; ",""))&amp;IF(N($I465)&lt;=0,"Thiếu số lượng; ","")&amp;IF(N($K465)&lt;=0,"Thiếu giá bán; ","")&amp;IF(AND($N465&gt;0,$F465=""),"Khách lấy VAT thiếu mã số thuế; ","")&amp;IF(N($Q465)&gt;$P465,"Đã thu vượt tổng phải thu; ","")&amp;IF(AND($L465&gt;0,$U465&lt;0),"CẢNH BÁO: ĐƠN NÀY ĐANG LỖ; ","")))</f>
        <v/>
      </c>
      <c r="Y465" s="16" t="str">
        <f aca="false">IF(AND($C465&lt;&gt;"",$R465&gt;0),COUNTIFS($C$6:$C465,"&lt;&gt;",$R$6:$R465,"&gt;0"),"")</f>
        <v/>
      </c>
      <c r="Z465" s="16" t="str">
        <f aca="false">IF(AND($H465&lt;&gt;"",N($N465)&gt;0),COUNTIFS($H$6:$H465,"&lt;&gt;",$N$6:$N465,"&gt;0"),"")</f>
        <v/>
      </c>
      <c r="AA465" s="16" t="str">
        <f aca="false">IF(AND($H465&lt;&gt;"",N($N465)=0),COUNTIFS($H$6:$H465,"&lt;&gt;",$N$6:$N465,"&lt;=0"),"")</f>
        <v/>
      </c>
      <c r="AB465" s="16" t="str">
        <f aca="false">IF($C465="","",IF(COUNTIF($C$6:$C465,$C465)&gt;1,"",MAX($AB$5:AB464)+1))</f>
        <v/>
      </c>
      <c r="AC465" s="16" t="str">
        <f aca="false">IF($H465="","",IF(COUNTIF($H$6:$H465,$H465)&gt;1,"",MAX($AC$5:AC464)+1))</f>
        <v/>
      </c>
    </row>
    <row r="466" customFormat="false" ht="15" hidden="false" customHeight="false" outlineLevel="0" collapsed="false">
      <c r="A466" s="16" t="str">
        <f aca="false">IF($C466="","",COUNTA($C$6:$C466))</f>
        <v/>
      </c>
      <c r="B466" s="17"/>
      <c r="C466" s="8"/>
      <c r="D466" s="8"/>
      <c r="E466" s="8"/>
      <c r="F466" s="8"/>
      <c r="G466" s="8"/>
      <c r="H466" s="8"/>
      <c r="I466" s="9"/>
      <c r="J466" s="10" t="str">
        <f aca="false">IF($H466="","",IFERROR(VLOOKUP($H466,'BẢNG GIÁ GỐC'!$A$5:$D$204,3,FALSE()),""))</f>
        <v/>
      </c>
      <c r="K466" s="9"/>
      <c r="L466" s="10" t="str">
        <f aca="false">IF($C466="","",N($I466)*N($K466))</f>
        <v/>
      </c>
      <c r="M466" s="8"/>
      <c r="N466" s="11" t="str">
        <f aca="false">IF($C466="","",IF($M466="VAT 5%",0.05,IF($M466="VAT 8%",0.08,IF($M466="VAT 10%",0.1,0))))</f>
        <v/>
      </c>
      <c r="O466" s="10" t="str">
        <f aca="false">IF($C466="","",$L466*$N466)</f>
        <v/>
      </c>
      <c r="P466" s="10" t="str">
        <f aca="false">IF($C466="","",$L466+$O466)</f>
        <v/>
      </c>
      <c r="Q466" s="9"/>
      <c r="R466" s="10" t="str">
        <f aca="false">IF($C466="","",MAX(0,$P466-N($Q466)))</f>
        <v/>
      </c>
      <c r="S466" s="19" t="str">
        <f aca="false">IF(OR($C466="",$P466=0),"",IF(N($Q466)&lt;=0,"Chưa thanh toán",IF(N($Q466)&lt;$P466,"Thanh toán một phần","Đã thanh toán")))</f>
        <v/>
      </c>
      <c r="T466" s="10" t="str">
        <f aca="false">IF(OR($C466="",$J466=""),"",N($I466)*$J466)</f>
        <v/>
      </c>
      <c r="U466" s="10" t="str">
        <f aca="false">IF(OR($C466="",$T466=""),"",$L466-$T466)</f>
        <v/>
      </c>
      <c r="V466" s="11" t="str">
        <f aca="false">IF(OR($U466="",$L466=0),"",$U466/$L466)</f>
        <v/>
      </c>
      <c r="W466" s="8"/>
      <c r="X466" s="19" t="str">
        <f aca="false">IF($C466="","",IF(AND($H466="",N($I466)=0,N($K466)=0),"Dòng chỉ lưu thông tin khách (chưa có đơn); ",IF($B466="","Thiếu ngày đặt; ","")&amp;IF($H466="","Thiếu tên sản phẩm; ",IF($J466="","Sản phẩm chưa có trong BẢNG GIÁ GỐC; ",""))&amp;IF(N($I466)&lt;=0,"Thiếu số lượng; ","")&amp;IF(N($K466)&lt;=0,"Thiếu giá bán; ","")&amp;IF(AND($N466&gt;0,$F466=""),"Khách lấy VAT thiếu mã số thuế; ","")&amp;IF(N($Q466)&gt;$P466,"Đã thu vượt tổng phải thu; ","")&amp;IF(AND($L466&gt;0,$U466&lt;0),"CẢNH BÁO: ĐƠN NÀY ĐANG LỖ; ","")))</f>
        <v/>
      </c>
      <c r="Y466" s="16" t="str">
        <f aca="false">IF(AND($C466&lt;&gt;"",$R466&gt;0),COUNTIFS($C$6:$C466,"&lt;&gt;",$R$6:$R466,"&gt;0"),"")</f>
        <v/>
      </c>
      <c r="Z466" s="16" t="str">
        <f aca="false">IF(AND($H466&lt;&gt;"",N($N466)&gt;0),COUNTIFS($H$6:$H466,"&lt;&gt;",$N$6:$N466,"&gt;0"),"")</f>
        <v/>
      </c>
      <c r="AA466" s="16" t="str">
        <f aca="false">IF(AND($H466&lt;&gt;"",N($N466)=0),COUNTIFS($H$6:$H466,"&lt;&gt;",$N$6:$N466,"&lt;=0"),"")</f>
        <v/>
      </c>
      <c r="AB466" s="16" t="str">
        <f aca="false">IF($C466="","",IF(COUNTIF($C$6:$C466,$C466)&gt;1,"",MAX($AB$5:AB465)+1))</f>
        <v/>
      </c>
      <c r="AC466" s="16" t="str">
        <f aca="false">IF($H466="","",IF(COUNTIF($H$6:$H466,$H466)&gt;1,"",MAX($AC$5:AC465)+1))</f>
        <v/>
      </c>
    </row>
    <row r="467" customFormat="false" ht="15" hidden="false" customHeight="false" outlineLevel="0" collapsed="false">
      <c r="A467" s="16" t="str">
        <f aca="false">IF($C467="","",COUNTA($C$6:$C467))</f>
        <v/>
      </c>
      <c r="B467" s="17"/>
      <c r="C467" s="8"/>
      <c r="D467" s="8"/>
      <c r="E467" s="8"/>
      <c r="F467" s="8"/>
      <c r="G467" s="8"/>
      <c r="H467" s="8"/>
      <c r="I467" s="9"/>
      <c r="J467" s="10" t="str">
        <f aca="false">IF($H467="","",IFERROR(VLOOKUP($H467,'BẢNG GIÁ GỐC'!$A$5:$D$204,3,FALSE()),""))</f>
        <v/>
      </c>
      <c r="K467" s="9"/>
      <c r="L467" s="10" t="str">
        <f aca="false">IF($C467="","",N($I467)*N($K467))</f>
        <v/>
      </c>
      <c r="M467" s="8"/>
      <c r="N467" s="11" t="str">
        <f aca="false">IF($C467="","",IF($M467="VAT 5%",0.05,IF($M467="VAT 8%",0.08,IF($M467="VAT 10%",0.1,0))))</f>
        <v/>
      </c>
      <c r="O467" s="10" t="str">
        <f aca="false">IF($C467="","",$L467*$N467)</f>
        <v/>
      </c>
      <c r="P467" s="10" t="str">
        <f aca="false">IF($C467="","",$L467+$O467)</f>
        <v/>
      </c>
      <c r="Q467" s="9"/>
      <c r="R467" s="10" t="str">
        <f aca="false">IF($C467="","",MAX(0,$P467-N($Q467)))</f>
        <v/>
      </c>
      <c r="S467" s="19" t="str">
        <f aca="false">IF(OR($C467="",$P467=0),"",IF(N($Q467)&lt;=0,"Chưa thanh toán",IF(N($Q467)&lt;$P467,"Thanh toán một phần","Đã thanh toán")))</f>
        <v/>
      </c>
      <c r="T467" s="10" t="str">
        <f aca="false">IF(OR($C467="",$J467=""),"",N($I467)*$J467)</f>
        <v/>
      </c>
      <c r="U467" s="10" t="str">
        <f aca="false">IF(OR($C467="",$T467=""),"",$L467-$T467)</f>
        <v/>
      </c>
      <c r="V467" s="11" t="str">
        <f aca="false">IF(OR($U467="",$L467=0),"",$U467/$L467)</f>
        <v/>
      </c>
      <c r="W467" s="8"/>
      <c r="X467" s="19" t="str">
        <f aca="false">IF($C467="","",IF(AND($H467="",N($I467)=0,N($K467)=0),"Dòng chỉ lưu thông tin khách (chưa có đơn); ",IF($B467="","Thiếu ngày đặt; ","")&amp;IF($H467="","Thiếu tên sản phẩm; ",IF($J467="","Sản phẩm chưa có trong BẢNG GIÁ GỐC; ",""))&amp;IF(N($I467)&lt;=0,"Thiếu số lượng; ","")&amp;IF(N($K467)&lt;=0,"Thiếu giá bán; ","")&amp;IF(AND($N467&gt;0,$F467=""),"Khách lấy VAT thiếu mã số thuế; ","")&amp;IF(N($Q467)&gt;$P467,"Đã thu vượt tổng phải thu; ","")&amp;IF(AND($L467&gt;0,$U467&lt;0),"CẢNH BÁO: ĐƠN NÀY ĐANG LỖ; ","")))</f>
        <v/>
      </c>
      <c r="Y467" s="16" t="str">
        <f aca="false">IF(AND($C467&lt;&gt;"",$R467&gt;0),COUNTIFS($C$6:$C467,"&lt;&gt;",$R$6:$R467,"&gt;0"),"")</f>
        <v/>
      </c>
      <c r="Z467" s="16" t="str">
        <f aca="false">IF(AND($H467&lt;&gt;"",N($N467)&gt;0),COUNTIFS($H$6:$H467,"&lt;&gt;",$N$6:$N467,"&gt;0"),"")</f>
        <v/>
      </c>
      <c r="AA467" s="16" t="str">
        <f aca="false">IF(AND($H467&lt;&gt;"",N($N467)=0),COUNTIFS($H$6:$H467,"&lt;&gt;",$N$6:$N467,"&lt;=0"),"")</f>
        <v/>
      </c>
      <c r="AB467" s="16" t="str">
        <f aca="false">IF($C467="","",IF(COUNTIF($C$6:$C467,$C467)&gt;1,"",MAX($AB$5:AB466)+1))</f>
        <v/>
      </c>
      <c r="AC467" s="16" t="str">
        <f aca="false">IF($H467="","",IF(COUNTIF($H$6:$H467,$H467)&gt;1,"",MAX($AC$5:AC466)+1))</f>
        <v/>
      </c>
    </row>
    <row r="468" customFormat="false" ht="15" hidden="false" customHeight="false" outlineLevel="0" collapsed="false">
      <c r="A468" s="16" t="str">
        <f aca="false">IF($C468="","",COUNTA($C$6:$C468))</f>
        <v/>
      </c>
      <c r="B468" s="17"/>
      <c r="C468" s="8"/>
      <c r="D468" s="8"/>
      <c r="E468" s="8"/>
      <c r="F468" s="8"/>
      <c r="G468" s="8"/>
      <c r="H468" s="8"/>
      <c r="I468" s="9"/>
      <c r="J468" s="10" t="str">
        <f aca="false">IF($H468="","",IFERROR(VLOOKUP($H468,'BẢNG GIÁ GỐC'!$A$5:$D$204,3,FALSE()),""))</f>
        <v/>
      </c>
      <c r="K468" s="9"/>
      <c r="L468" s="10" t="str">
        <f aca="false">IF($C468="","",N($I468)*N($K468))</f>
        <v/>
      </c>
      <c r="M468" s="8"/>
      <c r="N468" s="11" t="str">
        <f aca="false">IF($C468="","",IF($M468="VAT 5%",0.05,IF($M468="VAT 8%",0.08,IF($M468="VAT 10%",0.1,0))))</f>
        <v/>
      </c>
      <c r="O468" s="10" t="str">
        <f aca="false">IF($C468="","",$L468*$N468)</f>
        <v/>
      </c>
      <c r="P468" s="10" t="str">
        <f aca="false">IF($C468="","",$L468+$O468)</f>
        <v/>
      </c>
      <c r="Q468" s="9"/>
      <c r="R468" s="10" t="str">
        <f aca="false">IF($C468="","",MAX(0,$P468-N($Q468)))</f>
        <v/>
      </c>
      <c r="S468" s="19" t="str">
        <f aca="false">IF(OR($C468="",$P468=0),"",IF(N($Q468)&lt;=0,"Chưa thanh toán",IF(N($Q468)&lt;$P468,"Thanh toán một phần","Đã thanh toán")))</f>
        <v/>
      </c>
      <c r="T468" s="10" t="str">
        <f aca="false">IF(OR($C468="",$J468=""),"",N($I468)*$J468)</f>
        <v/>
      </c>
      <c r="U468" s="10" t="str">
        <f aca="false">IF(OR($C468="",$T468=""),"",$L468-$T468)</f>
        <v/>
      </c>
      <c r="V468" s="11" t="str">
        <f aca="false">IF(OR($U468="",$L468=0),"",$U468/$L468)</f>
        <v/>
      </c>
      <c r="W468" s="8"/>
      <c r="X468" s="19" t="str">
        <f aca="false">IF($C468="","",IF(AND($H468="",N($I468)=0,N($K468)=0),"Dòng chỉ lưu thông tin khách (chưa có đơn); ",IF($B468="","Thiếu ngày đặt; ","")&amp;IF($H468="","Thiếu tên sản phẩm; ",IF($J468="","Sản phẩm chưa có trong BẢNG GIÁ GỐC; ",""))&amp;IF(N($I468)&lt;=0,"Thiếu số lượng; ","")&amp;IF(N($K468)&lt;=0,"Thiếu giá bán; ","")&amp;IF(AND($N468&gt;0,$F468=""),"Khách lấy VAT thiếu mã số thuế; ","")&amp;IF(N($Q468)&gt;$P468,"Đã thu vượt tổng phải thu; ","")&amp;IF(AND($L468&gt;0,$U468&lt;0),"CẢNH BÁO: ĐƠN NÀY ĐANG LỖ; ","")))</f>
        <v/>
      </c>
      <c r="Y468" s="16" t="str">
        <f aca="false">IF(AND($C468&lt;&gt;"",$R468&gt;0),COUNTIFS($C$6:$C468,"&lt;&gt;",$R$6:$R468,"&gt;0"),"")</f>
        <v/>
      </c>
      <c r="Z468" s="16" t="str">
        <f aca="false">IF(AND($H468&lt;&gt;"",N($N468)&gt;0),COUNTIFS($H$6:$H468,"&lt;&gt;",$N$6:$N468,"&gt;0"),"")</f>
        <v/>
      </c>
      <c r="AA468" s="16" t="str">
        <f aca="false">IF(AND($H468&lt;&gt;"",N($N468)=0),COUNTIFS($H$6:$H468,"&lt;&gt;",$N$6:$N468,"&lt;=0"),"")</f>
        <v/>
      </c>
      <c r="AB468" s="16" t="str">
        <f aca="false">IF($C468="","",IF(COUNTIF($C$6:$C468,$C468)&gt;1,"",MAX($AB$5:AB467)+1))</f>
        <v/>
      </c>
      <c r="AC468" s="16" t="str">
        <f aca="false">IF($H468="","",IF(COUNTIF($H$6:$H468,$H468)&gt;1,"",MAX($AC$5:AC467)+1))</f>
        <v/>
      </c>
    </row>
    <row r="469" customFormat="false" ht="15" hidden="false" customHeight="false" outlineLevel="0" collapsed="false">
      <c r="A469" s="16" t="str">
        <f aca="false">IF($C469="","",COUNTA($C$6:$C469))</f>
        <v/>
      </c>
      <c r="B469" s="17"/>
      <c r="C469" s="8"/>
      <c r="D469" s="8"/>
      <c r="E469" s="8"/>
      <c r="F469" s="8"/>
      <c r="G469" s="8"/>
      <c r="H469" s="8"/>
      <c r="I469" s="9"/>
      <c r="J469" s="10" t="str">
        <f aca="false">IF($H469="","",IFERROR(VLOOKUP($H469,'BẢNG GIÁ GỐC'!$A$5:$D$204,3,FALSE()),""))</f>
        <v/>
      </c>
      <c r="K469" s="9"/>
      <c r="L469" s="10" t="str">
        <f aca="false">IF($C469="","",N($I469)*N($K469))</f>
        <v/>
      </c>
      <c r="M469" s="8"/>
      <c r="N469" s="11" t="str">
        <f aca="false">IF($C469="","",IF($M469="VAT 5%",0.05,IF($M469="VAT 8%",0.08,IF($M469="VAT 10%",0.1,0))))</f>
        <v/>
      </c>
      <c r="O469" s="10" t="str">
        <f aca="false">IF($C469="","",$L469*$N469)</f>
        <v/>
      </c>
      <c r="P469" s="10" t="str">
        <f aca="false">IF($C469="","",$L469+$O469)</f>
        <v/>
      </c>
      <c r="Q469" s="9"/>
      <c r="R469" s="10" t="str">
        <f aca="false">IF($C469="","",MAX(0,$P469-N($Q469)))</f>
        <v/>
      </c>
      <c r="S469" s="19" t="str">
        <f aca="false">IF(OR($C469="",$P469=0),"",IF(N($Q469)&lt;=0,"Chưa thanh toán",IF(N($Q469)&lt;$P469,"Thanh toán một phần","Đã thanh toán")))</f>
        <v/>
      </c>
      <c r="T469" s="10" t="str">
        <f aca="false">IF(OR($C469="",$J469=""),"",N($I469)*$J469)</f>
        <v/>
      </c>
      <c r="U469" s="10" t="str">
        <f aca="false">IF(OR($C469="",$T469=""),"",$L469-$T469)</f>
        <v/>
      </c>
      <c r="V469" s="11" t="str">
        <f aca="false">IF(OR($U469="",$L469=0),"",$U469/$L469)</f>
        <v/>
      </c>
      <c r="W469" s="8"/>
      <c r="X469" s="19" t="str">
        <f aca="false">IF($C469="","",IF(AND($H469="",N($I469)=0,N($K469)=0),"Dòng chỉ lưu thông tin khách (chưa có đơn); ",IF($B469="","Thiếu ngày đặt; ","")&amp;IF($H469="","Thiếu tên sản phẩm; ",IF($J469="","Sản phẩm chưa có trong BẢNG GIÁ GỐC; ",""))&amp;IF(N($I469)&lt;=0,"Thiếu số lượng; ","")&amp;IF(N($K469)&lt;=0,"Thiếu giá bán; ","")&amp;IF(AND($N469&gt;0,$F469=""),"Khách lấy VAT thiếu mã số thuế; ","")&amp;IF(N($Q469)&gt;$P469,"Đã thu vượt tổng phải thu; ","")&amp;IF(AND($L469&gt;0,$U469&lt;0),"CẢNH BÁO: ĐƠN NÀY ĐANG LỖ; ","")))</f>
        <v/>
      </c>
      <c r="Y469" s="16" t="str">
        <f aca="false">IF(AND($C469&lt;&gt;"",$R469&gt;0),COUNTIFS($C$6:$C469,"&lt;&gt;",$R$6:$R469,"&gt;0"),"")</f>
        <v/>
      </c>
      <c r="Z469" s="16" t="str">
        <f aca="false">IF(AND($H469&lt;&gt;"",N($N469)&gt;0),COUNTIFS($H$6:$H469,"&lt;&gt;",$N$6:$N469,"&gt;0"),"")</f>
        <v/>
      </c>
      <c r="AA469" s="16" t="str">
        <f aca="false">IF(AND($H469&lt;&gt;"",N($N469)=0),COUNTIFS($H$6:$H469,"&lt;&gt;",$N$6:$N469,"&lt;=0"),"")</f>
        <v/>
      </c>
      <c r="AB469" s="16" t="str">
        <f aca="false">IF($C469="","",IF(COUNTIF($C$6:$C469,$C469)&gt;1,"",MAX($AB$5:AB468)+1))</f>
        <v/>
      </c>
      <c r="AC469" s="16" t="str">
        <f aca="false">IF($H469="","",IF(COUNTIF($H$6:$H469,$H469)&gt;1,"",MAX($AC$5:AC468)+1))</f>
        <v/>
      </c>
    </row>
    <row r="470" customFormat="false" ht="15" hidden="false" customHeight="false" outlineLevel="0" collapsed="false">
      <c r="A470" s="16" t="str">
        <f aca="false">IF($C470="","",COUNTA($C$6:$C470))</f>
        <v/>
      </c>
      <c r="B470" s="17"/>
      <c r="C470" s="8"/>
      <c r="D470" s="8"/>
      <c r="E470" s="8"/>
      <c r="F470" s="8"/>
      <c r="G470" s="8"/>
      <c r="H470" s="8"/>
      <c r="I470" s="9"/>
      <c r="J470" s="10" t="str">
        <f aca="false">IF($H470="","",IFERROR(VLOOKUP($H470,'BẢNG GIÁ GỐC'!$A$5:$D$204,3,FALSE()),""))</f>
        <v/>
      </c>
      <c r="K470" s="9"/>
      <c r="L470" s="10" t="str">
        <f aca="false">IF($C470="","",N($I470)*N($K470))</f>
        <v/>
      </c>
      <c r="M470" s="8"/>
      <c r="N470" s="11" t="str">
        <f aca="false">IF($C470="","",IF($M470="VAT 5%",0.05,IF($M470="VAT 8%",0.08,IF($M470="VAT 10%",0.1,0))))</f>
        <v/>
      </c>
      <c r="O470" s="10" t="str">
        <f aca="false">IF($C470="","",$L470*$N470)</f>
        <v/>
      </c>
      <c r="P470" s="10" t="str">
        <f aca="false">IF($C470="","",$L470+$O470)</f>
        <v/>
      </c>
      <c r="Q470" s="9"/>
      <c r="R470" s="10" t="str">
        <f aca="false">IF($C470="","",MAX(0,$P470-N($Q470)))</f>
        <v/>
      </c>
      <c r="S470" s="19" t="str">
        <f aca="false">IF(OR($C470="",$P470=0),"",IF(N($Q470)&lt;=0,"Chưa thanh toán",IF(N($Q470)&lt;$P470,"Thanh toán một phần","Đã thanh toán")))</f>
        <v/>
      </c>
      <c r="T470" s="10" t="str">
        <f aca="false">IF(OR($C470="",$J470=""),"",N($I470)*$J470)</f>
        <v/>
      </c>
      <c r="U470" s="10" t="str">
        <f aca="false">IF(OR($C470="",$T470=""),"",$L470-$T470)</f>
        <v/>
      </c>
      <c r="V470" s="11" t="str">
        <f aca="false">IF(OR($U470="",$L470=0),"",$U470/$L470)</f>
        <v/>
      </c>
      <c r="W470" s="8"/>
      <c r="X470" s="19" t="str">
        <f aca="false">IF($C470="","",IF(AND($H470="",N($I470)=0,N($K470)=0),"Dòng chỉ lưu thông tin khách (chưa có đơn); ",IF($B470="","Thiếu ngày đặt; ","")&amp;IF($H470="","Thiếu tên sản phẩm; ",IF($J470="","Sản phẩm chưa có trong BẢNG GIÁ GỐC; ",""))&amp;IF(N($I470)&lt;=0,"Thiếu số lượng; ","")&amp;IF(N($K470)&lt;=0,"Thiếu giá bán; ","")&amp;IF(AND($N470&gt;0,$F470=""),"Khách lấy VAT thiếu mã số thuế; ","")&amp;IF(N($Q470)&gt;$P470,"Đã thu vượt tổng phải thu; ","")&amp;IF(AND($L470&gt;0,$U470&lt;0),"CẢNH BÁO: ĐƠN NÀY ĐANG LỖ; ","")))</f>
        <v/>
      </c>
      <c r="Y470" s="16" t="str">
        <f aca="false">IF(AND($C470&lt;&gt;"",$R470&gt;0),COUNTIFS($C$6:$C470,"&lt;&gt;",$R$6:$R470,"&gt;0"),"")</f>
        <v/>
      </c>
      <c r="Z470" s="16" t="str">
        <f aca="false">IF(AND($H470&lt;&gt;"",N($N470)&gt;0),COUNTIFS($H$6:$H470,"&lt;&gt;",$N$6:$N470,"&gt;0"),"")</f>
        <v/>
      </c>
      <c r="AA470" s="16" t="str">
        <f aca="false">IF(AND($H470&lt;&gt;"",N($N470)=0),COUNTIFS($H$6:$H470,"&lt;&gt;",$N$6:$N470,"&lt;=0"),"")</f>
        <v/>
      </c>
      <c r="AB470" s="16" t="str">
        <f aca="false">IF($C470="","",IF(COUNTIF($C$6:$C470,$C470)&gt;1,"",MAX($AB$5:AB469)+1))</f>
        <v/>
      </c>
      <c r="AC470" s="16" t="str">
        <f aca="false">IF($H470="","",IF(COUNTIF($H$6:$H470,$H470)&gt;1,"",MAX($AC$5:AC469)+1))</f>
        <v/>
      </c>
    </row>
    <row r="471" customFormat="false" ht="15" hidden="false" customHeight="false" outlineLevel="0" collapsed="false">
      <c r="A471" s="16" t="str">
        <f aca="false">IF($C471="","",COUNTA($C$6:$C471))</f>
        <v/>
      </c>
      <c r="B471" s="17"/>
      <c r="C471" s="8"/>
      <c r="D471" s="8"/>
      <c r="E471" s="8"/>
      <c r="F471" s="8"/>
      <c r="G471" s="8"/>
      <c r="H471" s="8"/>
      <c r="I471" s="9"/>
      <c r="J471" s="10" t="str">
        <f aca="false">IF($H471="","",IFERROR(VLOOKUP($H471,'BẢNG GIÁ GỐC'!$A$5:$D$204,3,FALSE()),""))</f>
        <v/>
      </c>
      <c r="K471" s="9"/>
      <c r="L471" s="10" t="str">
        <f aca="false">IF($C471="","",N($I471)*N($K471))</f>
        <v/>
      </c>
      <c r="M471" s="8"/>
      <c r="N471" s="11" t="str">
        <f aca="false">IF($C471="","",IF($M471="VAT 5%",0.05,IF($M471="VAT 8%",0.08,IF($M471="VAT 10%",0.1,0))))</f>
        <v/>
      </c>
      <c r="O471" s="10" t="str">
        <f aca="false">IF($C471="","",$L471*$N471)</f>
        <v/>
      </c>
      <c r="P471" s="10" t="str">
        <f aca="false">IF($C471="","",$L471+$O471)</f>
        <v/>
      </c>
      <c r="Q471" s="9"/>
      <c r="R471" s="10" t="str">
        <f aca="false">IF($C471="","",MAX(0,$P471-N($Q471)))</f>
        <v/>
      </c>
      <c r="S471" s="19" t="str">
        <f aca="false">IF(OR($C471="",$P471=0),"",IF(N($Q471)&lt;=0,"Chưa thanh toán",IF(N($Q471)&lt;$P471,"Thanh toán một phần","Đã thanh toán")))</f>
        <v/>
      </c>
      <c r="T471" s="10" t="str">
        <f aca="false">IF(OR($C471="",$J471=""),"",N($I471)*$J471)</f>
        <v/>
      </c>
      <c r="U471" s="10" t="str">
        <f aca="false">IF(OR($C471="",$T471=""),"",$L471-$T471)</f>
        <v/>
      </c>
      <c r="V471" s="11" t="str">
        <f aca="false">IF(OR($U471="",$L471=0),"",$U471/$L471)</f>
        <v/>
      </c>
      <c r="W471" s="8"/>
      <c r="X471" s="19" t="str">
        <f aca="false">IF($C471="","",IF(AND($H471="",N($I471)=0,N($K471)=0),"Dòng chỉ lưu thông tin khách (chưa có đơn); ",IF($B471="","Thiếu ngày đặt; ","")&amp;IF($H471="","Thiếu tên sản phẩm; ",IF($J471="","Sản phẩm chưa có trong BẢNG GIÁ GỐC; ",""))&amp;IF(N($I471)&lt;=0,"Thiếu số lượng; ","")&amp;IF(N($K471)&lt;=0,"Thiếu giá bán; ","")&amp;IF(AND($N471&gt;0,$F471=""),"Khách lấy VAT thiếu mã số thuế; ","")&amp;IF(N($Q471)&gt;$P471,"Đã thu vượt tổng phải thu; ","")&amp;IF(AND($L471&gt;0,$U471&lt;0),"CẢNH BÁO: ĐƠN NÀY ĐANG LỖ; ","")))</f>
        <v/>
      </c>
      <c r="Y471" s="16" t="str">
        <f aca="false">IF(AND($C471&lt;&gt;"",$R471&gt;0),COUNTIFS($C$6:$C471,"&lt;&gt;",$R$6:$R471,"&gt;0"),"")</f>
        <v/>
      </c>
      <c r="Z471" s="16" t="str">
        <f aca="false">IF(AND($H471&lt;&gt;"",N($N471)&gt;0),COUNTIFS($H$6:$H471,"&lt;&gt;",$N$6:$N471,"&gt;0"),"")</f>
        <v/>
      </c>
      <c r="AA471" s="16" t="str">
        <f aca="false">IF(AND($H471&lt;&gt;"",N($N471)=0),COUNTIFS($H$6:$H471,"&lt;&gt;",$N$6:$N471,"&lt;=0"),"")</f>
        <v/>
      </c>
      <c r="AB471" s="16" t="str">
        <f aca="false">IF($C471="","",IF(COUNTIF($C$6:$C471,$C471)&gt;1,"",MAX($AB$5:AB470)+1))</f>
        <v/>
      </c>
      <c r="AC471" s="16" t="str">
        <f aca="false">IF($H471="","",IF(COUNTIF($H$6:$H471,$H471)&gt;1,"",MAX($AC$5:AC470)+1))</f>
        <v/>
      </c>
    </row>
    <row r="472" customFormat="false" ht="15" hidden="false" customHeight="false" outlineLevel="0" collapsed="false">
      <c r="A472" s="16" t="str">
        <f aca="false">IF($C472="","",COUNTA($C$6:$C472))</f>
        <v/>
      </c>
      <c r="B472" s="17"/>
      <c r="C472" s="8"/>
      <c r="D472" s="8"/>
      <c r="E472" s="8"/>
      <c r="F472" s="8"/>
      <c r="G472" s="8"/>
      <c r="H472" s="8"/>
      <c r="I472" s="9"/>
      <c r="J472" s="10" t="str">
        <f aca="false">IF($H472="","",IFERROR(VLOOKUP($H472,'BẢNG GIÁ GỐC'!$A$5:$D$204,3,FALSE()),""))</f>
        <v/>
      </c>
      <c r="K472" s="9"/>
      <c r="L472" s="10" t="str">
        <f aca="false">IF($C472="","",N($I472)*N($K472))</f>
        <v/>
      </c>
      <c r="M472" s="8"/>
      <c r="N472" s="11" t="str">
        <f aca="false">IF($C472="","",IF($M472="VAT 5%",0.05,IF($M472="VAT 8%",0.08,IF($M472="VAT 10%",0.1,0))))</f>
        <v/>
      </c>
      <c r="O472" s="10" t="str">
        <f aca="false">IF($C472="","",$L472*$N472)</f>
        <v/>
      </c>
      <c r="P472" s="10" t="str">
        <f aca="false">IF($C472="","",$L472+$O472)</f>
        <v/>
      </c>
      <c r="Q472" s="9"/>
      <c r="R472" s="10" t="str">
        <f aca="false">IF($C472="","",MAX(0,$P472-N($Q472)))</f>
        <v/>
      </c>
      <c r="S472" s="19" t="str">
        <f aca="false">IF(OR($C472="",$P472=0),"",IF(N($Q472)&lt;=0,"Chưa thanh toán",IF(N($Q472)&lt;$P472,"Thanh toán một phần","Đã thanh toán")))</f>
        <v/>
      </c>
      <c r="T472" s="10" t="str">
        <f aca="false">IF(OR($C472="",$J472=""),"",N($I472)*$J472)</f>
        <v/>
      </c>
      <c r="U472" s="10" t="str">
        <f aca="false">IF(OR($C472="",$T472=""),"",$L472-$T472)</f>
        <v/>
      </c>
      <c r="V472" s="11" t="str">
        <f aca="false">IF(OR($U472="",$L472=0),"",$U472/$L472)</f>
        <v/>
      </c>
      <c r="W472" s="8"/>
      <c r="X472" s="19" t="str">
        <f aca="false">IF($C472="","",IF(AND($H472="",N($I472)=0,N($K472)=0),"Dòng chỉ lưu thông tin khách (chưa có đơn); ",IF($B472="","Thiếu ngày đặt; ","")&amp;IF($H472="","Thiếu tên sản phẩm; ",IF($J472="","Sản phẩm chưa có trong BẢNG GIÁ GỐC; ",""))&amp;IF(N($I472)&lt;=0,"Thiếu số lượng; ","")&amp;IF(N($K472)&lt;=0,"Thiếu giá bán; ","")&amp;IF(AND($N472&gt;0,$F472=""),"Khách lấy VAT thiếu mã số thuế; ","")&amp;IF(N($Q472)&gt;$P472,"Đã thu vượt tổng phải thu; ","")&amp;IF(AND($L472&gt;0,$U472&lt;0),"CẢNH BÁO: ĐƠN NÀY ĐANG LỖ; ","")))</f>
        <v/>
      </c>
      <c r="Y472" s="16" t="str">
        <f aca="false">IF(AND($C472&lt;&gt;"",$R472&gt;0),COUNTIFS($C$6:$C472,"&lt;&gt;",$R$6:$R472,"&gt;0"),"")</f>
        <v/>
      </c>
      <c r="Z472" s="16" t="str">
        <f aca="false">IF(AND($H472&lt;&gt;"",N($N472)&gt;0),COUNTIFS($H$6:$H472,"&lt;&gt;",$N$6:$N472,"&gt;0"),"")</f>
        <v/>
      </c>
      <c r="AA472" s="16" t="str">
        <f aca="false">IF(AND($H472&lt;&gt;"",N($N472)=0),COUNTIFS($H$6:$H472,"&lt;&gt;",$N$6:$N472,"&lt;=0"),"")</f>
        <v/>
      </c>
      <c r="AB472" s="16" t="str">
        <f aca="false">IF($C472="","",IF(COUNTIF($C$6:$C472,$C472)&gt;1,"",MAX($AB$5:AB471)+1))</f>
        <v/>
      </c>
      <c r="AC472" s="16" t="str">
        <f aca="false">IF($H472="","",IF(COUNTIF($H$6:$H472,$H472)&gt;1,"",MAX($AC$5:AC471)+1))</f>
        <v/>
      </c>
    </row>
    <row r="473" customFormat="false" ht="15" hidden="false" customHeight="false" outlineLevel="0" collapsed="false">
      <c r="A473" s="16" t="str">
        <f aca="false">IF($C473="","",COUNTA($C$6:$C473))</f>
        <v/>
      </c>
      <c r="B473" s="17"/>
      <c r="C473" s="8"/>
      <c r="D473" s="8"/>
      <c r="E473" s="8"/>
      <c r="F473" s="8"/>
      <c r="G473" s="8"/>
      <c r="H473" s="8"/>
      <c r="I473" s="9"/>
      <c r="J473" s="10" t="str">
        <f aca="false">IF($H473="","",IFERROR(VLOOKUP($H473,'BẢNG GIÁ GỐC'!$A$5:$D$204,3,FALSE()),""))</f>
        <v/>
      </c>
      <c r="K473" s="9"/>
      <c r="L473" s="10" t="str">
        <f aca="false">IF($C473="","",N($I473)*N($K473))</f>
        <v/>
      </c>
      <c r="M473" s="8"/>
      <c r="N473" s="11" t="str">
        <f aca="false">IF($C473="","",IF($M473="VAT 5%",0.05,IF($M473="VAT 8%",0.08,IF($M473="VAT 10%",0.1,0))))</f>
        <v/>
      </c>
      <c r="O473" s="10" t="str">
        <f aca="false">IF($C473="","",$L473*$N473)</f>
        <v/>
      </c>
      <c r="P473" s="10" t="str">
        <f aca="false">IF($C473="","",$L473+$O473)</f>
        <v/>
      </c>
      <c r="Q473" s="9"/>
      <c r="R473" s="10" t="str">
        <f aca="false">IF($C473="","",MAX(0,$P473-N($Q473)))</f>
        <v/>
      </c>
      <c r="S473" s="19" t="str">
        <f aca="false">IF(OR($C473="",$P473=0),"",IF(N($Q473)&lt;=0,"Chưa thanh toán",IF(N($Q473)&lt;$P473,"Thanh toán một phần","Đã thanh toán")))</f>
        <v/>
      </c>
      <c r="T473" s="10" t="str">
        <f aca="false">IF(OR($C473="",$J473=""),"",N($I473)*$J473)</f>
        <v/>
      </c>
      <c r="U473" s="10" t="str">
        <f aca="false">IF(OR($C473="",$T473=""),"",$L473-$T473)</f>
        <v/>
      </c>
      <c r="V473" s="11" t="str">
        <f aca="false">IF(OR($U473="",$L473=0),"",$U473/$L473)</f>
        <v/>
      </c>
      <c r="W473" s="8"/>
      <c r="X473" s="19" t="str">
        <f aca="false">IF($C473="","",IF(AND($H473="",N($I473)=0,N($K473)=0),"Dòng chỉ lưu thông tin khách (chưa có đơn); ",IF($B473="","Thiếu ngày đặt; ","")&amp;IF($H473="","Thiếu tên sản phẩm; ",IF($J473="","Sản phẩm chưa có trong BẢNG GIÁ GỐC; ",""))&amp;IF(N($I473)&lt;=0,"Thiếu số lượng; ","")&amp;IF(N($K473)&lt;=0,"Thiếu giá bán; ","")&amp;IF(AND($N473&gt;0,$F473=""),"Khách lấy VAT thiếu mã số thuế; ","")&amp;IF(N($Q473)&gt;$P473,"Đã thu vượt tổng phải thu; ","")&amp;IF(AND($L473&gt;0,$U473&lt;0),"CẢNH BÁO: ĐƠN NÀY ĐANG LỖ; ","")))</f>
        <v/>
      </c>
      <c r="Y473" s="16" t="str">
        <f aca="false">IF(AND($C473&lt;&gt;"",$R473&gt;0),COUNTIFS($C$6:$C473,"&lt;&gt;",$R$6:$R473,"&gt;0"),"")</f>
        <v/>
      </c>
      <c r="Z473" s="16" t="str">
        <f aca="false">IF(AND($H473&lt;&gt;"",N($N473)&gt;0),COUNTIFS($H$6:$H473,"&lt;&gt;",$N$6:$N473,"&gt;0"),"")</f>
        <v/>
      </c>
      <c r="AA473" s="16" t="str">
        <f aca="false">IF(AND($H473&lt;&gt;"",N($N473)=0),COUNTIFS($H$6:$H473,"&lt;&gt;",$N$6:$N473,"&lt;=0"),"")</f>
        <v/>
      </c>
      <c r="AB473" s="16" t="str">
        <f aca="false">IF($C473="","",IF(COUNTIF($C$6:$C473,$C473)&gt;1,"",MAX($AB$5:AB472)+1))</f>
        <v/>
      </c>
      <c r="AC473" s="16" t="str">
        <f aca="false">IF($H473="","",IF(COUNTIF($H$6:$H473,$H473)&gt;1,"",MAX($AC$5:AC472)+1))</f>
        <v/>
      </c>
    </row>
    <row r="474" customFormat="false" ht="15" hidden="false" customHeight="false" outlineLevel="0" collapsed="false">
      <c r="A474" s="16" t="str">
        <f aca="false">IF($C474="","",COUNTA($C$6:$C474))</f>
        <v/>
      </c>
      <c r="B474" s="17"/>
      <c r="C474" s="8"/>
      <c r="D474" s="8"/>
      <c r="E474" s="8"/>
      <c r="F474" s="8"/>
      <c r="G474" s="8"/>
      <c r="H474" s="8"/>
      <c r="I474" s="9"/>
      <c r="J474" s="10" t="str">
        <f aca="false">IF($H474="","",IFERROR(VLOOKUP($H474,'BẢNG GIÁ GỐC'!$A$5:$D$204,3,FALSE()),""))</f>
        <v/>
      </c>
      <c r="K474" s="9"/>
      <c r="L474" s="10" t="str">
        <f aca="false">IF($C474="","",N($I474)*N($K474))</f>
        <v/>
      </c>
      <c r="M474" s="8"/>
      <c r="N474" s="11" t="str">
        <f aca="false">IF($C474="","",IF($M474="VAT 5%",0.05,IF($M474="VAT 8%",0.08,IF($M474="VAT 10%",0.1,0))))</f>
        <v/>
      </c>
      <c r="O474" s="10" t="str">
        <f aca="false">IF($C474="","",$L474*$N474)</f>
        <v/>
      </c>
      <c r="P474" s="10" t="str">
        <f aca="false">IF($C474="","",$L474+$O474)</f>
        <v/>
      </c>
      <c r="Q474" s="9"/>
      <c r="R474" s="10" t="str">
        <f aca="false">IF($C474="","",MAX(0,$P474-N($Q474)))</f>
        <v/>
      </c>
      <c r="S474" s="19" t="str">
        <f aca="false">IF(OR($C474="",$P474=0),"",IF(N($Q474)&lt;=0,"Chưa thanh toán",IF(N($Q474)&lt;$P474,"Thanh toán một phần","Đã thanh toán")))</f>
        <v/>
      </c>
      <c r="T474" s="10" t="str">
        <f aca="false">IF(OR($C474="",$J474=""),"",N($I474)*$J474)</f>
        <v/>
      </c>
      <c r="U474" s="10" t="str">
        <f aca="false">IF(OR($C474="",$T474=""),"",$L474-$T474)</f>
        <v/>
      </c>
      <c r="V474" s="11" t="str">
        <f aca="false">IF(OR($U474="",$L474=0),"",$U474/$L474)</f>
        <v/>
      </c>
      <c r="W474" s="8"/>
      <c r="X474" s="19" t="str">
        <f aca="false">IF($C474="","",IF(AND($H474="",N($I474)=0,N($K474)=0),"Dòng chỉ lưu thông tin khách (chưa có đơn); ",IF($B474="","Thiếu ngày đặt; ","")&amp;IF($H474="","Thiếu tên sản phẩm; ",IF($J474="","Sản phẩm chưa có trong BẢNG GIÁ GỐC; ",""))&amp;IF(N($I474)&lt;=0,"Thiếu số lượng; ","")&amp;IF(N($K474)&lt;=0,"Thiếu giá bán; ","")&amp;IF(AND($N474&gt;0,$F474=""),"Khách lấy VAT thiếu mã số thuế; ","")&amp;IF(N($Q474)&gt;$P474,"Đã thu vượt tổng phải thu; ","")&amp;IF(AND($L474&gt;0,$U474&lt;0),"CẢNH BÁO: ĐƠN NÀY ĐANG LỖ; ","")))</f>
        <v/>
      </c>
      <c r="Y474" s="16" t="str">
        <f aca="false">IF(AND($C474&lt;&gt;"",$R474&gt;0),COUNTIFS($C$6:$C474,"&lt;&gt;",$R$6:$R474,"&gt;0"),"")</f>
        <v/>
      </c>
      <c r="Z474" s="16" t="str">
        <f aca="false">IF(AND($H474&lt;&gt;"",N($N474)&gt;0),COUNTIFS($H$6:$H474,"&lt;&gt;",$N$6:$N474,"&gt;0"),"")</f>
        <v/>
      </c>
      <c r="AA474" s="16" t="str">
        <f aca="false">IF(AND($H474&lt;&gt;"",N($N474)=0),COUNTIFS($H$6:$H474,"&lt;&gt;",$N$6:$N474,"&lt;=0"),"")</f>
        <v/>
      </c>
      <c r="AB474" s="16" t="str">
        <f aca="false">IF($C474="","",IF(COUNTIF($C$6:$C474,$C474)&gt;1,"",MAX($AB$5:AB473)+1))</f>
        <v/>
      </c>
      <c r="AC474" s="16" t="str">
        <f aca="false">IF($H474="","",IF(COUNTIF($H$6:$H474,$H474)&gt;1,"",MAX($AC$5:AC473)+1))</f>
        <v/>
      </c>
    </row>
    <row r="475" customFormat="false" ht="15" hidden="false" customHeight="false" outlineLevel="0" collapsed="false">
      <c r="A475" s="16" t="str">
        <f aca="false">IF($C475="","",COUNTA($C$6:$C475))</f>
        <v/>
      </c>
      <c r="B475" s="17"/>
      <c r="C475" s="8"/>
      <c r="D475" s="8"/>
      <c r="E475" s="8"/>
      <c r="F475" s="8"/>
      <c r="G475" s="8"/>
      <c r="H475" s="8"/>
      <c r="I475" s="9"/>
      <c r="J475" s="10" t="str">
        <f aca="false">IF($H475="","",IFERROR(VLOOKUP($H475,'BẢNG GIÁ GỐC'!$A$5:$D$204,3,FALSE()),""))</f>
        <v/>
      </c>
      <c r="K475" s="9"/>
      <c r="L475" s="10" t="str">
        <f aca="false">IF($C475="","",N($I475)*N($K475))</f>
        <v/>
      </c>
      <c r="M475" s="8"/>
      <c r="N475" s="11" t="str">
        <f aca="false">IF($C475="","",IF($M475="VAT 5%",0.05,IF($M475="VAT 8%",0.08,IF($M475="VAT 10%",0.1,0))))</f>
        <v/>
      </c>
      <c r="O475" s="10" t="str">
        <f aca="false">IF($C475="","",$L475*$N475)</f>
        <v/>
      </c>
      <c r="P475" s="10" t="str">
        <f aca="false">IF($C475="","",$L475+$O475)</f>
        <v/>
      </c>
      <c r="Q475" s="9"/>
      <c r="R475" s="10" t="str">
        <f aca="false">IF($C475="","",MAX(0,$P475-N($Q475)))</f>
        <v/>
      </c>
      <c r="S475" s="19" t="str">
        <f aca="false">IF(OR($C475="",$P475=0),"",IF(N($Q475)&lt;=0,"Chưa thanh toán",IF(N($Q475)&lt;$P475,"Thanh toán một phần","Đã thanh toán")))</f>
        <v/>
      </c>
      <c r="T475" s="10" t="str">
        <f aca="false">IF(OR($C475="",$J475=""),"",N($I475)*$J475)</f>
        <v/>
      </c>
      <c r="U475" s="10" t="str">
        <f aca="false">IF(OR($C475="",$T475=""),"",$L475-$T475)</f>
        <v/>
      </c>
      <c r="V475" s="11" t="str">
        <f aca="false">IF(OR($U475="",$L475=0),"",$U475/$L475)</f>
        <v/>
      </c>
      <c r="W475" s="8"/>
      <c r="X475" s="19" t="str">
        <f aca="false">IF($C475="","",IF(AND($H475="",N($I475)=0,N($K475)=0),"Dòng chỉ lưu thông tin khách (chưa có đơn); ",IF($B475="","Thiếu ngày đặt; ","")&amp;IF($H475="","Thiếu tên sản phẩm; ",IF($J475="","Sản phẩm chưa có trong BẢNG GIÁ GỐC; ",""))&amp;IF(N($I475)&lt;=0,"Thiếu số lượng; ","")&amp;IF(N($K475)&lt;=0,"Thiếu giá bán; ","")&amp;IF(AND($N475&gt;0,$F475=""),"Khách lấy VAT thiếu mã số thuế; ","")&amp;IF(N($Q475)&gt;$P475,"Đã thu vượt tổng phải thu; ","")&amp;IF(AND($L475&gt;0,$U475&lt;0),"CẢNH BÁO: ĐƠN NÀY ĐANG LỖ; ","")))</f>
        <v/>
      </c>
      <c r="Y475" s="16" t="str">
        <f aca="false">IF(AND($C475&lt;&gt;"",$R475&gt;0),COUNTIFS($C$6:$C475,"&lt;&gt;",$R$6:$R475,"&gt;0"),"")</f>
        <v/>
      </c>
      <c r="Z475" s="16" t="str">
        <f aca="false">IF(AND($H475&lt;&gt;"",N($N475)&gt;0),COUNTIFS($H$6:$H475,"&lt;&gt;",$N$6:$N475,"&gt;0"),"")</f>
        <v/>
      </c>
      <c r="AA475" s="16" t="str">
        <f aca="false">IF(AND($H475&lt;&gt;"",N($N475)=0),COUNTIFS($H$6:$H475,"&lt;&gt;",$N$6:$N475,"&lt;=0"),"")</f>
        <v/>
      </c>
      <c r="AB475" s="16" t="str">
        <f aca="false">IF($C475="","",IF(COUNTIF($C$6:$C475,$C475)&gt;1,"",MAX($AB$5:AB474)+1))</f>
        <v/>
      </c>
      <c r="AC475" s="16" t="str">
        <f aca="false">IF($H475="","",IF(COUNTIF($H$6:$H475,$H475)&gt;1,"",MAX($AC$5:AC474)+1))</f>
        <v/>
      </c>
    </row>
    <row r="476" customFormat="false" ht="15" hidden="false" customHeight="false" outlineLevel="0" collapsed="false">
      <c r="A476" s="16" t="str">
        <f aca="false">IF($C476="","",COUNTA($C$6:$C476))</f>
        <v/>
      </c>
      <c r="B476" s="17"/>
      <c r="C476" s="8"/>
      <c r="D476" s="8"/>
      <c r="E476" s="8"/>
      <c r="F476" s="8"/>
      <c r="G476" s="8"/>
      <c r="H476" s="8"/>
      <c r="I476" s="9"/>
      <c r="J476" s="10" t="str">
        <f aca="false">IF($H476="","",IFERROR(VLOOKUP($H476,'BẢNG GIÁ GỐC'!$A$5:$D$204,3,FALSE()),""))</f>
        <v/>
      </c>
      <c r="K476" s="9"/>
      <c r="L476" s="10" t="str">
        <f aca="false">IF($C476="","",N($I476)*N($K476))</f>
        <v/>
      </c>
      <c r="M476" s="8"/>
      <c r="N476" s="11" t="str">
        <f aca="false">IF($C476="","",IF($M476="VAT 5%",0.05,IF($M476="VAT 8%",0.08,IF($M476="VAT 10%",0.1,0))))</f>
        <v/>
      </c>
      <c r="O476" s="10" t="str">
        <f aca="false">IF($C476="","",$L476*$N476)</f>
        <v/>
      </c>
      <c r="P476" s="10" t="str">
        <f aca="false">IF($C476="","",$L476+$O476)</f>
        <v/>
      </c>
      <c r="Q476" s="9"/>
      <c r="R476" s="10" t="str">
        <f aca="false">IF($C476="","",MAX(0,$P476-N($Q476)))</f>
        <v/>
      </c>
      <c r="S476" s="19" t="str">
        <f aca="false">IF(OR($C476="",$P476=0),"",IF(N($Q476)&lt;=0,"Chưa thanh toán",IF(N($Q476)&lt;$P476,"Thanh toán một phần","Đã thanh toán")))</f>
        <v/>
      </c>
      <c r="T476" s="10" t="str">
        <f aca="false">IF(OR($C476="",$J476=""),"",N($I476)*$J476)</f>
        <v/>
      </c>
      <c r="U476" s="10" t="str">
        <f aca="false">IF(OR($C476="",$T476=""),"",$L476-$T476)</f>
        <v/>
      </c>
      <c r="V476" s="11" t="str">
        <f aca="false">IF(OR($U476="",$L476=0),"",$U476/$L476)</f>
        <v/>
      </c>
      <c r="W476" s="8"/>
      <c r="X476" s="19" t="str">
        <f aca="false">IF($C476="","",IF(AND($H476="",N($I476)=0,N($K476)=0),"Dòng chỉ lưu thông tin khách (chưa có đơn); ",IF($B476="","Thiếu ngày đặt; ","")&amp;IF($H476="","Thiếu tên sản phẩm; ",IF($J476="","Sản phẩm chưa có trong BẢNG GIÁ GỐC; ",""))&amp;IF(N($I476)&lt;=0,"Thiếu số lượng; ","")&amp;IF(N($K476)&lt;=0,"Thiếu giá bán; ","")&amp;IF(AND($N476&gt;0,$F476=""),"Khách lấy VAT thiếu mã số thuế; ","")&amp;IF(N($Q476)&gt;$P476,"Đã thu vượt tổng phải thu; ","")&amp;IF(AND($L476&gt;0,$U476&lt;0),"CẢNH BÁO: ĐƠN NÀY ĐANG LỖ; ","")))</f>
        <v/>
      </c>
      <c r="Y476" s="16" t="str">
        <f aca="false">IF(AND($C476&lt;&gt;"",$R476&gt;0),COUNTIFS($C$6:$C476,"&lt;&gt;",$R$6:$R476,"&gt;0"),"")</f>
        <v/>
      </c>
      <c r="Z476" s="16" t="str">
        <f aca="false">IF(AND($H476&lt;&gt;"",N($N476)&gt;0),COUNTIFS($H$6:$H476,"&lt;&gt;",$N$6:$N476,"&gt;0"),"")</f>
        <v/>
      </c>
      <c r="AA476" s="16" t="str">
        <f aca="false">IF(AND($H476&lt;&gt;"",N($N476)=0),COUNTIFS($H$6:$H476,"&lt;&gt;",$N$6:$N476,"&lt;=0"),"")</f>
        <v/>
      </c>
      <c r="AB476" s="16" t="str">
        <f aca="false">IF($C476="","",IF(COUNTIF($C$6:$C476,$C476)&gt;1,"",MAX($AB$5:AB475)+1))</f>
        <v/>
      </c>
      <c r="AC476" s="16" t="str">
        <f aca="false">IF($H476="","",IF(COUNTIF($H$6:$H476,$H476)&gt;1,"",MAX($AC$5:AC475)+1))</f>
        <v/>
      </c>
    </row>
    <row r="477" customFormat="false" ht="15" hidden="false" customHeight="false" outlineLevel="0" collapsed="false">
      <c r="A477" s="16" t="str">
        <f aca="false">IF($C477="","",COUNTA($C$6:$C477))</f>
        <v/>
      </c>
      <c r="B477" s="17"/>
      <c r="C477" s="8"/>
      <c r="D477" s="8"/>
      <c r="E477" s="8"/>
      <c r="F477" s="8"/>
      <c r="G477" s="8"/>
      <c r="H477" s="8"/>
      <c r="I477" s="9"/>
      <c r="J477" s="10" t="str">
        <f aca="false">IF($H477="","",IFERROR(VLOOKUP($H477,'BẢNG GIÁ GỐC'!$A$5:$D$204,3,FALSE()),""))</f>
        <v/>
      </c>
      <c r="K477" s="9"/>
      <c r="L477" s="10" t="str">
        <f aca="false">IF($C477="","",N($I477)*N($K477))</f>
        <v/>
      </c>
      <c r="M477" s="8"/>
      <c r="N477" s="11" t="str">
        <f aca="false">IF($C477="","",IF($M477="VAT 5%",0.05,IF($M477="VAT 8%",0.08,IF($M477="VAT 10%",0.1,0))))</f>
        <v/>
      </c>
      <c r="O477" s="10" t="str">
        <f aca="false">IF($C477="","",$L477*$N477)</f>
        <v/>
      </c>
      <c r="P477" s="10" t="str">
        <f aca="false">IF($C477="","",$L477+$O477)</f>
        <v/>
      </c>
      <c r="Q477" s="9"/>
      <c r="R477" s="10" t="str">
        <f aca="false">IF($C477="","",MAX(0,$P477-N($Q477)))</f>
        <v/>
      </c>
      <c r="S477" s="19" t="str">
        <f aca="false">IF(OR($C477="",$P477=0),"",IF(N($Q477)&lt;=0,"Chưa thanh toán",IF(N($Q477)&lt;$P477,"Thanh toán một phần","Đã thanh toán")))</f>
        <v/>
      </c>
      <c r="T477" s="10" t="str">
        <f aca="false">IF(OR($C477="",$J477=""),"",N($I477)*$J477)</f>
        <v/>
      </c>
      <c r="U477" s="10" t="str">
        <f aca="false">IF(OR($C477="",$T477=""),"",$L477-$T477)</f>
        <v/>
      </c>
      <c r="V477" s="11" t="str">
        <f aca="false">IF(OR($U477="",$L477=0),"",$U477/$L477)</f>
        <v/>
      </c>
      <c r="W477" s="8"/>
      <c r="X477" s="19" t="str">
        <f aca="false">IF($C477="","",IF(AND($H477="",N($I477)=0,N($K477)=0),"Dòng chỉ lưu thông tin khách (chưa có đơn); ",IF($B477="","Thiếu ngày đặt; ","")&amp;IF($H477="","Thiếu tên sản phẩm; ",IF($J477="","Sản phẩm chưa có trong BẢNG GIÁ GỐC; ",""))&amp;IF(N($I477)&lt;=0,"Thiếu số lượng; ","")&amp;IF(N($K477)&lt;=0,"Thiếu giá bán; ","")&amp;IF(AND($N477&gt;0,$F477=""),"Khách lấy VAT thiếu mã số thuế; ","")&amp;IF(N($Q477)&gt;$P477,"Đã thu vượt tổng phải thu; ","")&amp;IF(AND($L477&gt;0,$U477&lt;0),"CẢNH BÁO: ĐƠN NÀY ĐANG LỖ; ","")))</f>
        <v/>
      </c>
      <c r="Y477" s="16" t="str">
        <f aca="false">IF(AND($C477&lt;&gt;"",$R477&gt;0),COUNTIFS($C$6:$C477,"&lt;&gt;",$R$6:$R477,"&gt;0"),"")</f>
        <v/>
      </c>
      <c r="Z477" s="16" t="str">
        <f aca="false">IF(AND($H477&lt;&gt;"",N($N477)&gt;0),COUNTIFS($H$6:$H477,"&lt;&gt;",$N$6:$N477,"&gt;0"),"")</f>
        <v/>
      </c>
      <c r="AA477" s="16" t="str">
        <f aca="false">IF(AND($H477&lt;&gt;"",N($N477)=0),COUNTIFS($H$6:$H477,"&lt;&gt;",$N$6:$N477,"&lt;=0"),"")</f>
        <v/>
      </c>
      <c r="AB477" s="16" t="str">
        <f aca="false">IF($C477="","",IF(COUNTIF($C$6:$C477,$C477)&gt;1,"",MAX($AB$5:AB476)+1))</f>
        <v/>
      </c>
      <c r="AC477" s="16" t="str">
        <f aca="false">IF($H477="","",IF(COUNTIF($H$6:$H477,$H477)&gt;1,"",MAX($AC$5:AC476)+1))</f>
        <v/>
      </c>
    </row>
    <row r="478" customFormat="false" ht="15" hidden="false" customHeight="false" outlineLevel="0" collapsed="false">
      <c r="A478" s="16" t="str">
        <f aca="false">IF($C478="","",COUNTA($C$6:$C478))</f>
        <v/>
      </c>
      <c r="B478" s="17"/>
      <c r="C478" s="8"/>
      <c r="D478" s="8"/>
      <c r="E478" s="8"/>
      <c r="F478" s="8"/>
      <c r="G478" s="8"/>
      <c r="H478" s="8"/>
      <c r="I478" s="9"/>
      <c r="J478" s="10" t="str">
        <f aca="false">IF($H478="","",IFERROR(VLOOKUP($H478,'BẢNG GIÁ GỐC'!$A$5:$D$204,3,FALSE()),""))</f>
        <v/>
      </c>
      <c r="K478" s="9"/>
      <c r="L478" s="10" t="str">
        <f aca="false">IF($C478="","",N($I478)*N($K478))</f>
        <v/>
      </c>
      <c r="M478" s="8"/>
      <c r="N478" s="11" t="str">
        <f aca="false">IF($C478="","",IF($M478="VAT 5%",0.05,IF($M478="VAT 8%",0.08,IF($M478="VAT 10%",0.1,0))))</f>
        <v/>
      </c>
      <c r="O478" s="10" t="str">
        <f aca="false">IF($C478="","",$L478*$N478)</f>
        <v/>
      </c>
      <c r="P478" s="10" t="str">
        <f aca="false">IF($C478="","",$L478+$O478)</f>
        <v/>
      </c>
      <c r="Q478" s="9"/>
      <c r="R478" s="10" t="str">
        <f aca="false">IF($C478="","",MAX(0,$P478-N($Q478)))</f>
        <v/>
      </c>
      <c r="S478" s="19" t="str">
        <f aca="false">IF(OR($C478="",$P478=0),"",IF(N($Q478)&lt;=0,"Chưa thanh toán",IF(N($Q478)&lt;$P478,"Thanh toán một phần","Đã thanh toán")))</f>
        <v/>
      </c>
      <c r="T478" s="10" t="str">
        <f aca="false">IF(OR($C478="",$J478=""),"",N($I478)*$J478)</f>
        <v/>
      </c>
      <c r="U478" s="10" t="str">
        <f aca="false">IF(OR($C478="",$T478=""),"",$L478-$T478)</f>
        <v/>
      </c>
      <c r="V478" s="11" t="str">
        <f aca="false">IF(OR($U478="",$L478=0),"",$U478/$L478)</f>
        <v/>
      </c>
      <c r="W478" s="8"/>
      <c r="X478" s="19" t="str">
        <f aca="false">IF($C478="","",IF(AND($H478="",N($I478)=0,N($K478)=0),"Dòng chỉ lưu thông tin khách (chưa có đơn); ",IF($B478="","Thiếu ngày đặt; ","")&amp;IF($H478="","Thiếu tên sản phẩm; ",IF($J478="","Sản phẩm chưa có trong BẢNG GIÁ GỐC; ",""))&amp;IF(N($I478)&lt;=0,"Thiếu số lượng; ","")&amp;IF(N($K478)&lt;=0,"Thiếu giá bán; ","")&amp;IF(AND($N478&gt;0,$F478=""),"Khách lấy VAT thiếu mã số thuế; ","")&amp;IF(N($Q478)&gt;$P478,"Đã thu vượt tổng phải thu; ","")&amp;IF(AND($L478&gt;0,$U478&lt;0),"CẢNH BÁO: ĐƠN NÀY ĐANG LỖ; ","")))</f>
        <v/>
      </c>
      <c r="Y478" s="16" t="str">
        <f aca="false">IF(AND($C478&lt;&gt;"",$R478&gt;0),COUNTIFS($C$6:$C478,"&lt;&gt;",$R$6:$R478,"&gt;0"),"")</f>
        <v/>
      </c>
      <c r="Z478" s="16" t="str">
        <f aca="false">IF(AND($H478&lt;&gt;"",N($N478)&gt;0),COUNTIFS($H$6:$H478,"&lt;&gt;",$N$6:$N478,"&gt;0"),"")</f>
        <v/>
      </c>
      <c r="AA478" s="16" t="str">
        <f aca="false">IF(AND($H478&lt;&gt;"",N($N478)=0),COUNTIFS($H$6:$H478,"&lt;&gt;",$N$6:$N478,"&lt;=0"),"")</f>
        <v/>
      </c>
      <c r="AB478" s="16" t="str">
        <f aca="false">IF($C478="","",IF(COUNTIF($C$6:$C478,$C478)&gt;1,"",MAX($AB$5:AB477)+1))</f>
        <v/>
      </c>
      <c r="AC478" s="16" t="str">
        <f aca="false">IF($H478="","",IF(COUNTIF($H$6:$H478,$H478)&gt;1,"",MAX($AC$5:AC477)+1))</f>
        <v/>
      </c>
    </row>
    <row r="479" customFormat="false" ht="15" hidden="false" customHeight="false" outlineLevel="0" collapsed="false">
      <c r="A479" s="16" t="str">
        <f aca="false">IF($C479="","",COUNTA($C$6:$C479))</f>
        <v/>
      </c>
      <c r="B479" s="17"/>
      <c r="C479" s="8"/>
      <c r="D479" s="8"/>
      <c r="E479" s="8"/>
      <c r="F479" s="8"/>
      <c r="G479" s="8"/>
      <c r="H479" s="8"/>
      <c r="I479" s="9"/>
      <c r="J479" s="10" t="str">
        <f aca="false">IF($H479="","",IFERROR(VLOOKUP($H479,'BẢNG GIÁ GỐC'!$A$5:$D$204,3,FALSE()),""))</f>
        <v/>
      </c>
      <c r="K479" s="9"/>
      <c r="L479" s="10" t="str">
        <f aca="false">IF($C479="","",N($I479)*N($K479))</f>
        <v/>
      </c>
      <c r="M479" s="8"/>
      <c r="N479" s="11" t="str">
        <f aca="false">IF($C479="","",IF($M479="VAT 5%",0.05,IF($M479="VAT 8%",0.08,IF($M479="VAT 10%",0.1,0))))</f>
        <v/>
      </c>
      <c r="O479" s="10" t="str">
        <f aca="false">IF($C479="","",$L479*$N479)</f>
        <v/>
      </c>
      <c r="P479" s="10" t="str">
        <f aca="false">IF($C479="","",$L479+$O479)</f>
        <v/>
      </c>
      <c r="Q479" s="9"/>
      <c r="R479" s="10" t="str">
        <f aca="false">IF($C479="","",MAX(0,$P479-N($Q479)))</f>
        <v/>
      </c>
      <c r="S479" s="19" t="str">
        <f aca="false">IF(OR($C479="",$P479=0),"",IF(N($Q479)&lt;=0,"Chưa thanh toán",IF(N($Q479)&lt;$P479,"Thanh toán một phần","Đã thanh toán")))</f>
        <v/>
      </c>
      <c r="T479" s="10" t="str">
        <f aca="false">IF(OR($C479="",$J479=""),"",N($I479)*$J479)</f>
        <v/>
      </c>
      <c r="U479" s="10" t="str">
        <f aca="false">IF(OR($C479="",$T479=""),"",$L479-$T479)</f>
        <v/>
      </c>
      <c r="V479" s="11" t="str">
        <f aca="false">IF(OR($U479="",$L479=0),"",$U479/$L479)</f>
        <v/>
      </c>
      <c r="W479" s="8"/>
      <c r="X479" s="19" t="str">
        <f aca="false">IF($C479="","",IF(AND($H479="",N($I479)=0,N($K479)=0),"Dòng chỉ lưu thông tin khách (chưa có đơn); ",IF($B479="","Thiếu ngày đặt; ","")&amp;IF($H479="","Thiếu tên sản phẩm; ",IF($J479="","Sản phẩm chưa có trong BẢNG GIÁ GỐC; ",""))&amp;IF(N($I479)&lt;=0,"Thiếu số lượng; ","")&amp;IF(N($K479)&lt;=0,"Thiếu giá bán; ","")&amp;IF(AND($N479&gt;0,$F479=""),"Khách lấy VAT thiếu mã số thuế; ","")&amp;IF(N($Q479)&gt;$P479,"Đã thu vượt tổng phải thu; ","")&amp;IF(AND($L479&gt;0,$U479&lt;0),"CẢNH BÁO: ĐƠN NÀY ĐANG LỖ; ","")))</f>
        <v/>
      </c>
      <c r="Y479" s="16" t="str">
        <f aca="false">IF(AND($C479&lt;&gt;"",$R479&gt;0),COUNTIFS($C$6:$C479,"&lt;&gt;",$R$6:$R479,"&gt;0"),"")</f>
        <v/>
      </c>
      <c r="Z479" s="16" t="str">
        <f aca="false">IF(AND($H479&lt;&gt;"",N($N479)&gt;0),COUNTIFS($H$6:$H479,"&lt;&gt;",$N$6:$N479,"&gt;0"),"")</f>
        <v/>
      </c>
      <c r="AA479" s="16" t="str">
        <f aca="false">IF(AND($H479&lt;&gt;"",N($N479)=0),COUNTIFS($H$6:$H479,"&lt;&gt;",$N$6:$N479,"&lt;=0"),"")</f>
        <v/>
      </c>
      <c r="AB479" s="16" t="str">
        <f aca="false">IF($C479="","",IF(COUNTIF($C$6:$C479,$C479)&gt;1,"",MAX($AB$5:AB478)+1))</f>
        <v/>
      </c>
      <c r="AC479" s="16" t="str">
        <f aca="false">IF($H479="","",IF(COUNTIF($H$6:$H479,$H479)&gt;1,"",MAX($AC$5:AC478)+1))</f>
        <v/>
      </c>
    </row>
    <row r="480" customFormat="false" ht="15" hidden="false" customHeight="false" outlineLevel="0" collapsed="false">
      <c r="A480" s="16" t="str">
        <f aca="false">IF($C480="","",COUNTA($C$6:$C480))</f>
        <v/>
      </c>
      <c r="B480" s="17"/>
      <c r="C480" s="8"/>
      <c r="D480" s="8"/>
      <c r="E480" s="8"/>
      <c r="F480" s="8"/>
      <c r="G480" s="8"/>
      <c r="H480" s="8"/>
      <c r="I480" s="9"/>
      <c r="J480" s="10" t="str">
        <f aca="false">IF($H480="","",IFERROR(VLOOKUP($H480,'BẢNG GIÁ GỐC'!$A$5:$D$204,3,FALSE()),""))</f>
        <v/>
      </c>
      <c r="K480" s="9"/>
      <c r="L480" s="10" t="str">
        <f aca="false">IF($C480="","",N($I480)*N($K480))</f>
        <v/>
      </c>
      <c r="M480" s="8"/>
      <c r="N480" s="11" t="str">
        <f aca="false">IF($C480="","",IF($M480="VAT 5%",0.05,IF($M480="VAT 8%",0.08,IF($M480="VAT 10%",0.1,0))))</f>
        <v/>
      </c>
      <c r="O480" s="10" t="str">
        <f aca="false">IF($C480="","",$L480*$N480)</f>
        <v/>
      </c>
      <c r="P480" s="10" t="str">
        <f aca="false">IF($C480="","",$L480+$O480)</f>
        <v/>
      </c>
      <c r="Q480" s="9"/>
      <c r="R480" s="10" t="str">
        <f aca="false">IF($C480="","",MAX(0,$P480-N($Q480)))</f>
        <v/>
      </c>
      <c r="S480" s="19" t="str">
        <f aca="false">IF(OR($C480="",$P480=0),"",IF(N($Q480)&lt;=0,"Chưa thanh toán",IF(N($Q480)&lt;$P480,"Thanh toán một phần","Đã thanh toán")))</f>
        <v/>
      </c>
      <c r="T480" s="10" t="str">
        <f aca="false">IF(OR($C480="",$J480=""),"",N($I480)*$J480)</f>
        <v/>
      </c>
      <c r="U480" s="10" t="str">
        <f aca="false">IF(OR($C480="",$T480=""),"",$L480-$T480)</f>
        <v/>
      </c>
      <c r="V480" s="11" t="str">
        <f aca="false">IF(OR($U480="",$L480=0),"",$U480/$L480)</f>
        <v/>
      </c>
      <c r="W480" s="8"/>
      <c r="X480" s="19" t="str">
        <f aca="false">IF($C480="","",IF(AND($H480="",N($I480)=0,N($K480)=0),"Dòng chỉ lưu thông tin khách (chưa có đơn); ",IF($B480="","Thiếu ngày đặt; ","")&amp;IF($H480="","Thiếu tên sản phẩm; ",IF($J480="","Sản phẩm chưa có trong BẢNG GIÁ GỐC; ",""))&amp;IF(N($I480)&lt;=0,"Thiếu số lượng; ","")&amp;IF(N($K480)&lt;=0,"Thiếu giá bán; ","")&amp;IF(AND($N480&gt;0,$F480=""),"Khách lấy VAT thiếu mã số thuế; ","")&amp;IF(N($Q480)&gt;$P480,"Đã thu vượt tổng phải thu; ","")&amp;IF(AND($L480&gt;0,$U480&lt;0),"CẢNH BÁO: ĐƠN NÀY ĐANG LỖ; ","")))</f>
        <v/>
      </c>
      <c r="Y480" s="16" t="str">
        <f aca="false">IF(AND($C480&lt;&gt;"",$R480&gt;0),COUNTIFS($C$6:$C480,"&lt;&gt;",$R$6:$R480,"&gt;0"),"")</f>
        <v/>
      </c>
      <c r="Z480" s="16" t="str">
        <f aca="false">IF(AND($H480&lt;&gt;"",N($N480)&gt;0),COUNTIFS($H$6:$H480,"&lt;&gt;",$N$6:$N480,"&gt;0"),"")</f>
        <v/>
      </c>
      <c r="AA480" s="16" t="str">
        <f aca="false">IF(AND($H480&lt;&gt;"",N($N480)=0),COUNTIFS($H$6:$H480,"&lt;&gt;",$N$6:$N480,"&lt;=0"),"")</f>
        <v/>
      </c>
      <c r="AB480" s="16" t="str">
        <f aca="false">IF($C480="","",IF(COUNTIF($C$6:$C480,$C480)&gt;1,"",MAX($AB$5:AB479)+1))</f>
        <v/>
      </c>
      <c r="AC480" s="16" t="str">
        <f aca="false">IF($H480="","",IF(COUNTIF($H$6:$H480,$H480)&gt;1,"",MAX($AC$5:AC479)+1))</f>
        <v/>
      </c>
    </row>
    <row r="481" customFormat="false" ht="15" hidden="false" customHeight="false" outlineLevel="0" collapsed="false">
      <c r="A481" s="16" t="str">
        <f aca="false">IF($C481="","",COUNTA($C$6:$C481))</f>
        <v/>
      </c>
      <c r="B481" s="17"/>
      <c r="C481" s="8"/>
      <c r="D481" s="8"/>
      <c r="E481" s="8"/>
      <c r="F481" s="8"/>
      <c r="G481" s="8"/>
      <c r="H481" s="8"/>
      <c r="I481" s="9"/>
      <c r="J481" s="10" t="str">
        <f aca="false">IF($H481="","",IFERROR(VLOOKUP($H481,'BẢNG GIÁ GỐC'!$A$5:$D$204,3,FALSE()),""))</f>
        <v/>
      </c>
      <c r="K481" s="9"/>
      <c r="L481" s="10" t="str">
        <f aca="false">IF($C481="","",N($I481)*N($K481))</f>
        <v/>
      </c>
      <c r="M481" s="8"/>
      <c r="N481" s="11" t="str">
        <f aca="false">IF($C481="","",IF($M481="VAT 5%",0.05,IF($M481="VAT 8%",0.08,IF($M481="VAT 10%",0.1,0))))</f>
        <v/>
      </c>
      <c r="O481" s="10" t="str">
        <f aca="false">IF($C481="","",$L481*$N481)</f>
        <v/>
      </c>
      <c r="P481" s="10" t="str">
        <f aca="false">IF($C481="","",$L481+$O481)</f>
        <v/>
      </c>
      <c r="Q481" s="9"/>
      <c r="R481" s="10" t="str">
        <f aca="false">IF($C481="","",MAX(0,$P481-N($Q481)))</f>
        <v/>
      </c>
      <c r="S481" s="19" t="str">
        <f aca="false">IF(OR($C481="",$P481=0),"",IF(N($Q481)&lt;=0,"Chưa thanh toán",IF(N($Q481)&lt;$P481,"Thanh toán một phần","Đã thanh toán")))</f>
        <v/>
      </c>
      <c r="T481" s="10" t="str">
        <f aca="false">IF(OR($C481="",$J481=""),"",N($I481)*$J481)</f>
        <v/>
      </c>
      <c r="U481" s="10" t="str">
        <f aca="false">IF(OR($C481="",$T481=""),"",$L481-$T481)</f>
        <v/>
      </c>
      <c r="V481" s="11" t="str">
        <f aca="false">IF(OR($U481="",$L481=0),"",$U481/$L481)</f>
        <v/>
      </c>
      <c r="W481" s="8"/>
      <c r="X481" s="19" t="str">
        <f aca="false">IF($C481="","",IF(AND($H481="",N($I481)=0,N($K481)=0),"Dòng chỉ lưu thông tin khách (chưa có đơn); ",IF($B481="","Thiếu ngày đặt; ","")&amp;IF($H481="","Thiếu tên sản phẩm; ",IF($J481="","Sản phẩm chưa có trong BẢNG GIÁ GỐC; ",""))&amp;IF(N($I481)&lt;=0,"Thiếu số lượng; ","")&amp;IF(N($K481)&lt;=0,"Thiếu giá bán; ","")&amp;IF(AND($N481&gt;0,$F481=""),"Khách lấy VAT thiếu mã số thuế; ","")&amp;IF(N($Q481)&gt;$P481,"Đã thu vượt tổng phải thu; ","")&amp;IF(AND($L481&gt;0,$U481&lt;0),"CẢNH BÁO: ĐƠN NÀY ĐANG LỖ; ","")))</f>
        <v/>
      </c>
      <c r="Y481" s="16" t="str">
        <f aca="false">IF(AND($C481&lt;&gt;"",$R481&gt;0),COUNTIFS($C$6:$C481,"&lt;&gt;",$R$6:$R481,"&gt;0"),"")</f>
        <v/>
      </c>
      <c r="Z481" s="16" t="str">
        <f aca="false">IF(AND($H481&lt;&gt;"",N($N481)&gt;0),COUNTIFS($H$6:$H481,"&lt;&gt;",$N$6:$N481,"&gt;0"),"")</f>
        <v/>
      </c>
      <c r="AA481" s="16" t="str">
        <f aca="false">IF(AND($H481&lt;&gt;"",N($N481)=0),COUNTIFS($H$6:$H481,"&lt;&gt;",$N$6:$N481,"&lt;=0"),"")</f>
        <v/>
      </c>
      <c r="AB481" s="16" t="str">
        <f aca="false">IF($C481="","",IF(COUNTIF($C$6:$C481,$C481)&gt;1,"",MAX($AB$5:AB480)+1))</f>
        <v/>
      </c>
      <c r="AC481" s="16" t="str">
        <f aca="false">IF($H481="","",IF(COUNTIF($H$6:$H481,$H481)&gt;1,"",MAX($AC$5:AC480)+1))</f>
        <v/>
      </c>
    </row>
    <row r="482" customFormat="false" ht="15" hidden="false" customHeight="false" outlineLevel="0" collapsed="false">
      <c r="A482" s="16" t="str">
        <f aca="false">IF($C482="","",COUNTA($C$6:$C482))</f>
        <v/>
      </c>
      <c r="B482" s="17"/>
      <c r="C482" s="8"/>
      <c r="D482" s="8"/>
      <c r="E482" s="8"/>
      <c r="F482" s="8"/>
      <c r="G482" s="8"/>
      <c r="H482" s="8"/>
      <c r="I482" s="9"/>
      <c r="J482" s="10" t="str">
        <f aca="false">IF($H482="","",IFERROR(VLOOKUP($H482,'BẢNG GIÁ GỐC'!$A$5:$D$204,3,FALSE()),""))</f>
        <v/>
      </c>
      <c r="K482" s="9"/>
      <c r="L482" s="10" t="str">
        <f aca="false">IF($C482="","",N($I482)*N($K482))</f>
        <v/>
      </c>
      <c r="M482" s="8"/>
      <c r="N482" s="11" t="str">
        <f aca="false">IF($C482="","",IF($M482="VAT 5%",0.05,IF($M482="VAT 8%",0.08,IF($M482="VAT 10%",0.1,0))))</f>
        <v/>
      </c>
      <c r="O482" s="10" t="str">
        <f aca="false">IF($C482="","",$L482*$N482)</f>
        <v/>
      </c>
      <c r="P482" s="10" t="str">
        <f aca="false">IF($C482="","",$L482+$O482)</f>
        <v/>
      </c>
      <c r="Q482" s="9"/>
      <c r="R482" s="10" t="str">
        <f aca="false">IF($C482="","",MAX(0,$P482-N($Q482)))</f>
        <v/>
      </c>
      <c r="S482" s="19" t="str">
        <f aca="false">IF(OR($C482="",$P482=0),"",IF(N($Q482)&lt;=0,"Chưa thanh toán",IF(N($Q482)&lt;$P482,"Thanh toán một phần","Đã thanh toán")))</f>
        <v/>
      </c>
      <c r="T482" s="10" t="str">
        <f aca="false">IF(OR($C482="",$J482=""),"",N($I482)*$J482)</f>
        <v/>
      </c>
      <c r="U482" s="10" t="str">
        <f aca="false">IF(OR($C482="",$T482=""),"",$L482-$T482)</f>
        <v/>
      </c>
      <c r="V482" s="11" t="str">
        <f aca="false">IF(OR($U482="",$L482=0),"",$U482/$L482)</f>
        <v/>
      </c>
      <c r="W482" s="8"/>
      <c r="X482" s="19" t="str">
        <f aca="false">IF($C482="","",IF(AND($H482="",N($I482)=0,N($K482)=0),"Dòng chỉ lưu thông tin khách (chưa có đơn); ",IF($B482="","Thiếu ngày đặt; ","")&amp;IF($H482="","Thiếu tên sản phẩm; ",IF($J482="","Sản phẩm chưa có trong BẢNG GIÁ GỐC; ",""))&amp;IF(N($I482)&lt;=0,"Thiếu số lượng; ","")&amp;IF(N($K482)&lt;=0,"Thiếu giá bán; ","")&amp;IF(AND($N482&gt;0,$F482=""),"Khách lấy VAT thiếu mã số thuế; ","")&amp;IF(N($Q482)&gt;$P482,"Đã thu vượt tổng phải thu; ","")&amp;IF(AND($L482&gt;0,$U482&lt;0),"CẢNH BÁO: ĐƠN NÀY ĐANG LỖ; ","")))</f>
        <v/>
      </c>
      <c r="Y482" s="16" t="str">
        <f aca="false">IF(AND($C482&lt;&gt;"",$R482&gt;0),COUNTIFS($C$6:$C482,"&lt;&gt;",$R$6:$R482,"&gt;0"),"")</f>
        <v/>
      </c>
      <c r="Z482" s="16" t="str">
        <f aca="false">IF(AND($H482&lt;&gt;"",N($N482)&gt;0),COUNTIFS($H$6:$H482,"&lt;&gt;",$N$6:$N482,"&gt;0"),"")</f>
        <v/>
      </c>
      <c r="AA482" s="16" t="str">
        <f aca="false">IF(AND($H482&lt;&gt;"",N($N482)=0),COUNTIFS($H$6:$H482,"&lt;&gt;",$N$6:$N482,"&lt;=0"),"")</f>
        <v/>
      </c>
      <c r="AB482" s="16" t="str">
        <f aca="false">IF($C482="","",IF(COUNTIF($C$6:$C482,$C482)&gt;1,"",MAX($AB$5:AB481)+1))</f>
        <v/>
      </c>
      <c r="AC482" s="16" t="str">
        <f aca="false">IF($H482="","",IF(COUNTIF($H$6:$H482,$H482)&gt;1,"",MAX($AC$5:AC481)+1))</f>
        <v/>
      </c>
    </row>
    <row r="483" customFormat="false" ht="15" hidden="false" customHeight="false" outlineLevel="0" collapsed="false">
      <c r="A483" s="16" t="str">
        <f aca="false">IF($C483="","",COUNTA($C$6:$C483))</f>
        <v/>
      </c>
      <c r="B483" s="17"/>
      <c r="C483" s="8"/>
      <c r="D483" s="8"/>
      <c r="E483" s="8"/>
      <c r="F483" s="8"/>
      <c r="G483" s="8"/>
      <c r="H483" s="8"/>
      <c r="I483" s="9"/>
      <c r="J483" s="10" t="str">
        <f aca="false">IF($H483="","",IFERROR(VLOOKUP($H483,'BẢNG GIÁ GỐC'!$A$5:$D$204,3,FALSE()),""))</f>
        <v/>
      </c>
      <c r="K483" s="9"/>
      <c r="L483" s="10" t="str">
        <f aca="false">IF($C483="","",N($I483)*N($K483))</f>
        <v/>
      </c>
      <c r="M483" s="8"/>
      <c r="N483" s="11" t="str">
        <f aca="false">IF($C483="","",IF($M483="VAT 5%",0.05,IF($M483="VAT 8%",0.08,IF($M483="VAT 10%",0.1,0))))</f>
        <v/>
      </c>
      <c r="O483" s="10" t="str">
        <f aca="false">IF($C483="","",$L483*$N483)</f>
        <v/>
      </c>
      <c r="P483" s="10" t="str">
        <f aca="false">IF($C483="","",$L483+$O483)</f>
        <v/>
      </c>
      <c r="Q483" s="9"/>
      <c r="R483" s="10" t="str">
        <f aca="false">IF($C483="","",MAX(0,$P483-N($Q483)))</f>
        <v/>
      </c>
      <c r="S483" s="19" t="str">
        <f aca="false">IF(OR($C483="",$P483=0),"",IF(N($Q483)&lt;=0,"Chưa thanh toán",IF(N($Q483)&lt;$P483,"Thanh toán một phần","Đã thanh toán")))</f>
        <v/>
      </c>
      <c r="T483" s="10" t="str">
        <f aca="false">IF(OR($C483="",$J483=""),"",N($I483)*$J483)</f>
        <v/>
      </c>
      <c r="U483" s="10" t="str">
        <f aca="false">IF(OR($C483="",$T483=""),"",$L483-$T483)</f>
        <v/>
      </c>
      <c r="V483" s="11" t="str">
        <f aca="false">IF(OR($U483="",$L483=0),"",$U483/$L483)</f>
        <v/>
      </c>
      <c r="W483" s="8"/>
      <c r="X483" s="19" t="str">
        <f aca="false">IF($C483="","",IF(AND($H483="",N($I483)=0,N($K483)=0),"Dòng chỉ lưu thông tin khách (chưa có đơn); ",IF($B483="","Thiếu ngày đặt; ","")&amp;IF($H483="","Thiếu tên sản phẩm; ",IF($J483="","Sản phẩm chưa có trong BẢNG GIÁ GỐC; ",""))&amp;IF(N($I483)&lt;=0,"Thiếu số lượng; ","")&amp;IF(N($K483)&lt;=0,"Thiếu giá bán; ","")&amp;IF(AND($N483&gt;0,$F483=""),"Khách lấy VAT thiếu mã số thuế; ","")&amp;IF(N($Q483)&gt;$P483,"Đã thu vượt tổng phải thu; ","")&amp;IF(AND($L483&gt;0,$U483&lt;0),"CẢNH BÁO: ĐƠN NÀY ĐANG LỖ; ","")))</f>
        <v/>
      </c>
      <c r="Y483" s="16" t="str">
        <f aca="false">IF(AND($C483&lt;&gt;"",$R483&gt;0),COUNTIFS($C$6:$C483,"&lt;&gt;",$R$6:$R483,"&gt;0"),"")</f>
        <v/>
      </c>
      <c r="Z483" s="16" t="str">
        <f aca="false">IF(AND($H483&lt;&gt;"",N($N483)&gt;0),COUNTIFS($H$6:$H483,"&lt;&gt;",$N$6:$N483,"&gt;0"),"")</f>
        <v/>
      </c>
      <c r="AA483" s="16" t="str">
        <f aca="false">IF(AND($H483&lt;&gt;"",N($N483)=0),COUNTIFS($H$6:$H483,"&lt;&gt;",$N$6:$N483,"&lt;=0"),"")</f>
        <v/>
      </c>
      <c r="AB483" s="16" t="str">
        <f aca="false">IF($C483="","",IF(COUNTIF($C$6:$C483,$C483)&gt;1,"",MAX($AB$5:AB482)+1))</f>
        <v/>
      </c>
      <c r="AC483" s="16" t="str">
        <f aca="false">IF($H483="","",IF(COUNTIF($H$6:$H483,$H483)&gt;1,"",MAX($AC$5:AC482)+1))</f>
        <v/>
      </c>
    </row>
    <row r="484" customFormat="false" ht="15" hidden="false" customHeight="false" outlineLevel="0" collapsed="false">
      <c r="A484" s="16" t="str">
        <f aca="false">IF($C484="","",COUNTA($C$6:$C484))</f>
        <v/>
      </c>
      <c r="B484" s="17"/>
      <c r="C484" s="8"/>
      <c r="D484" s="8"/>
      <c r="E484" s="8"/>
      <c r="F484" s="8"/>
      <c r="G484" s="8"/>
      <c r="H484" s="8"/>
      <c r="I484" s="9"/>
      <c r="J484" s="10" t="str">
        <f aca="false">IF($H484="","",IFERROR(VLOOKUP($H484,'BẢNG GIÁ GỐC'!$A$5:$D$204,3,FALSE()),""))</f>
        <v/>
      </c>
      <c r="K484" s="9"/>
      <c r="L484" s="10" t="str">
        <f aca="false">IF($C484="","",N($I484)*N($K484))</f>
        <v/>
      </c>
      <c r="M484" s="8"/>
      <c r="N484" s="11" t="str">
        <f aca="false">IF($C484="","",IF($M484="VAT 5%",0.05,IF($M484="VAT 8%",0.08,IF($M484="VAT 10%",0.1,0))))</f>
        <v/>
      </c>
      <c r="O484" s="10" t="str">
        <f aca="false">IF($C484="","",$L484*$N484)</f>
        <v/>
      </c>
      <c r="P484" s="10" t="str">
        <f aca="false">IF($C484="","",$L484+$O484)</f>
        <v/>
      </c>
      <c r="Q484" s="9"/>
      <c r="R484" s="10" t="str">
        <f aca="false">IF($C484="","",MAX(0,$P484-N($Q484)))</f>
        <v/>
      </c>
      <c r="S484" s="19" t="str">
        <f aca="false">IF(OR($C484="",$P484=0),"",IF(N($Q484)&lt;=0,"Chưa thanh toán",IF(N($Q484)&lt;$P484,"Thanh toán một phần","Đã thanh toán")))</f>
        <v/>
      </c>
      <c r="T484" s="10" t="str">
        <f aca="false">IF(OR($C484="",$J484=""),"",N($I484)*$J484)</f>
        <v/>
      </c>
      <c r="U484" s="10" t="str">
        <f aca="false">IF(OR($C484="",$T484=""),"",$L484-$T484)</f>
        <v/>
      </c>
      <c r="V484" s="11" t="str">
        <f aca="false">IF(OR($U484="",$L484=0),"",$U484/$L484)</f>
        <v/>
      </c>
      <c r="W484" s="8"/>
      <c r="X484" s="19" t="str">
        <f aca="false">IF($C484="","",IF(AND($H484="",N($I484)=0,N($K484)=0),"Dòng chỉ lưu thông tin khách (chưa có đơn); ",IF($B484="","Thiếu ngày đặt; ","")&amp;IF($H484="","Thiếu tên sản phẩm; ",IF($J484="","Sản phẩm chưa có trong BẢNG GIÁ GỐC; ",""))&amp;IF(N($I484)&lt;=0,"Thiếu số lượng; ","")&amp;IF(N($K484)&lt;=0,"Thiếu giá bán; ","")&amp;IF(AND($N484&gt;0,$F484=""),"Khách lấy VAT thiếu mã số thuế; ","")&amp;IF(N($Q484)&gt;$P484,"Đã thu vượt tổng phải thu; ","")&amp;IF(AND($L484&gt;0,$U484&lt;0),"CẢNH BÁO: ĐƠN NÀY ĐANG LỖ; ","")))</f>
        <v/>
      </c>
      <c r="Y484" s="16" t="str">
        <f aca="false">IF(AND($C484&lt;&gt;"",$R484&gt;0),COUNTIFS($C$6:$C484,"&lt;&gt;",$R$6:$R484,"&gt;0"),"")</f>
        <v/>
      </c>
      <c r="Z484" s="16" t="str">
        <f aca="false">IF(AND($H484&lt;&gt;"",N($N484)&gt;0),COUNTIFS($H$6:$H484,"&lt;&gt;",$N$6:$N484,"&gt;0"),"")</f>
        <v/>
      </c>
      <c r="AA484" s="16" t="str">
        <f aca="false">IF(AND($H484&lt;&gt;"",N($N484)=0),COUNTIFS($H$6:$H484,"&lt;&gt;",$N$6:$N484,"&lt;=0"),"")</f>
        <v/>
      </c>
      <c r="AB484" s="16" t="str">
        <f aca="false">IF($C484="","",IF(COUNTIF($C$6:$C484,$C484)&gt;1,"",MAX($AB$5:AB483)+1))</f>
        <v/>
      </c>
      <c r="AC484" s="16" t="str">
        <f aca="false">IF($H484="","",IF(COUNTIF($H$6:$H484,$H484)&gt;1,"",MAX($AC$5:AC483)+1))</f>
        <v/>
      </c>
    </row>
    <row r="485" customFormat="false" ht="15" hidden="false" customHeight="false" outlineLevel="0" collapsed="false">
      <c r="A485" s="16" t="str">
        <f aca="false">IF($C485="","",COUNTA($C$6:$C485))</f>
        <v/>
      </c>
      <c r="B485" s="17"/>
      <c r="C485" s="8"/>
      <c r="D485" s="8"/>
      <c r="E485" s="8"/>
      <c r="F485" s="8"/>
      <c r="G485" s="8"/>
      <c r="H485" s="8"/>
      <c r="I485" s="9"/>
      <c r="J485" s="10" t="str">
        <f aca="false">IF($H485="","",IFERROR(VLOOKUP($H485,'BẢNG GIÁ GỐC'!$A$5:$D$204,3,FALSE()),""))</f>
        <v/>
      </c>
      <c r="K485" s="9"/>
      <c r="L485" s="10" t="str">
        <f aca="false">IF($C485="","",N($I485)*N($K485))</f>
        <v/>
      </c>
      <c r="M485" s="8"/>
      <c r="N485" s="11" t="str">
        <f aca="false">IF($C485="","",IF($M485="VAT 5%",0.05,IF($M485="VAT 8%",0.08,IF($M485="VAT 10%",0.1,0))))</f>
        <v/>
      </c>
      <c r="O485" s="10" t="str">
        <f aca="false">IF($C485="","",$L485*$N485)</f>
        <v/>
      </c>
      <c r="P485" s="10" t="str">
        <f aca="false">IF($C485="","",$L485+$O485)</f>
        <v/>
      </c>
      <c r="Q485" s="9"/>
      <c r="R485" s="10" t="str">
        <f aca="false">IF($C485="","",MAX(0,$P485-N($Q485)))</f>
        <v/>
      </c>
      <c r="S485" s="19" t="str">
        <f aca="false">IF(OR($C485="",$P485=0),"",IF(N($Q485)&lt;=0,"Chưa thanh toán",IF(N($Q485)&lt;$P485,"Thanh toán một phần","Đã thanh toán")))</f>
        <v/>
      </c>
      <c r="T485" s="10" t="str">
        <f aca="false">IF(OR($C485="",$J485=""),"",N($I485)*$J485)</f>
        <v/>
      </c>
      <c r="U485" s="10" t="str">
        <f aca="false">IF(OR($C485="",$T485=""),"",$L485-$T485)</f>
        <v/>
      </c>
      <c r="V485" s="11" t="str">
        <f aca="false">IF(OR($U485="",$L485=0),"",$U485/$L485)</f>
        <v/>
      </c>
      <c r="W485" s="8"/>
      <c r="X485" s="19" t="str">
        <f aca="false">IF($C485="","",IF(AND($H485="",N($I485)=0,N($K485)=0),"Dòng chỉ lưu thông tin khách (chưa có đơn); ",IF($B485="","Thiếu ngày đặt; ","")&amp;IF($H485="","Thiếu tên sản phẩm; ",IF($J485="","Sản phẩm chưa có trong BẢNG GIÁ GỐC; ",""))&amp;IF(N($I485)&lt;=0,"Thiếu số lượng; ","")&amp;IF(N($K485)&lt;=0,"Thiếu giá bán; ","")&amp;IF(AND($N485&gt;0,$F485=""),"Khách lấy VAT thiếu mã số thuế; ","")&amp;IF(N($Q485)&gt;$P485,"Đã thu vượt tổng phải thu; ","")&amp;IF(AND($L485&gt;0,$U485&lt;0),"CẢNH BÁO: ĐƠN NÀY ĐANG LỖ; ","")))</f>
        <v/>
      </c>
      <c r="Y485" s="16" t="str">
        <f aca="false">IF(AND($C485&lt;&gt;"",$R485&gt;0),COUNTIFS($C$6:$C485,"&lt;&gt;",$R$6:$R485,"&gt;0"),"")</f>
        <v/>
      </c>
      <c r="Z485" s="16" t="str">
        <f aca="false">IF(AND($H485&lt;&gt;"",N($N485)&gt;0),COUNTIFS($H$6:$H485,"&lt;&gt;",$N$6:$N485,"&gt;0"),"")</f>
        <v/>
      </c>
      <c r="AA485" s="16" t="str">
        <f aca="false">IF(AND($H485&lt;&gt;"",N($N485)=0),COUNTIFS($H$6:$H485,"&lt;&gt;",$N$6:$N485,"&lt;=0"),"")</f>
        <v/>
      </c>
      <c r="AB485" s="16" t="str">
        <f aca="false">IF($C485="","",IF(COUNTIF($C$6:$C485,$C485)&gt;1,"",MAX($AB$5:AB484)+1))</f>
        <v/>
      </c>
      <c r="AC485" s="16" t="str">
        <f aca="false">IF($H485="","",IF(COUNTIF($H$6:$H485,$H485)&gt;1,"",MAX($AC$5:AC484)+1))</f>
        <v/>
      </c>
    </row>
    <row r="486" customFormat="false" ht="15" hidden="false" customHeight="false" outlineLevel="0" collapsed="false">
      <c r="A486" s="16" t="str">
        <f aca="false">IF($C486="","",COUNTA($C$6:$C486))</f>
        <v/>
      </c>
      <c r="B486" s="17"/>
      <c r="C486" s="8"/>
      <c r="D486" s="8"/>
      <c r="E486" s="8"/>
      <c r="F486" s="8"/>
      <c r="G486" s="8"/>
      <c r="H486" s="8"/>
      <c r="I486" s="9"/>
      <c r="J486" s="10" t="str">
        <f aca="false">IF($H486="","",IFERROR(VLOOKUP($H486,'BẢNG GIÁ GỐC'!$A$5:$D$204,3,FALSE()),""))</f>
        <v/>
      </c>
      <c r="K486" s="9"/>
      <c r="L486" s="10" t="str">
        <f aca="false">IF($C486="","",N($I486)*N($K486))</f>
        <v/>
      </c>
      <c r="M486" s="8"/>
      <c r="N486" s="11" t="str">
        <f aca="false">IF($C486="","",IF($M486="VAT 5%",0.05,IF($M486="VAT 8%",0.08,IF($M486="VAT 10%",0.1,0))))</f>
        <v/>
      </c>
      <c r="O486" s="10" t="str">
        <f aca="false">IF($C486="","",$L486*$N486)</f>
        <v/>
      </c>
      <c r="P486" s="10" t="str">
        <f aca="false">IF($C486="","",$L486+$O486)</f>
        <v/>
      </c>
      <c r="Q486" s="9"/>
      <c r="R486" s="10" t="str">
        <f aca="false">IF($C486="","",MAX(0,$P486-N($Q486)))</f>
        <v/>
      </c>
      <c r="S486" s="19" t="str">
        <f aca="false">IF(OR($C486="",$P486=0),"",IF(N($Q486)&lt;=0,"Chưa thanh toán",IF(N($Q486)&lt;$P486,"Thanh toán một phần","Đã thanh toán")))</f>
        <v/>
      </c>
      <c r="T486" s="10" t="str">
        <f aca="false">IF(OR($C486="",$J486=""),"",N($I486)*$J486)</f>
        <v/>
      </c>
      <c r="U486" s="10" t="str">
        <f aca="false">IF(OR($C486="",$T486=""),"",$L486-$T486)</f>
        <v/>
      </c>
      <c r="V486" s="11" t="str">
        <f aca="false">IF(OR($U486="",$L486=0),"",$U486/$L486)</f>
        <v/>
      </c>
      <c r="W486" s="8"/>
      <c r="X486" s="19" t="str">
        <f aca="false">IF($C486="","",IF(AND($H486="",N($I486)=0,N($K486)=0),"Dòng chỉ lưu thông tin khách (chưa có đơn); ",IF($B486="","Thiếu ngày đặt; ","")&amp;IF($H486="","Thiếu tên sản phẩm; ",IF($J486="","Sản phẩm chưa có trong BẢNG GIÁ GỐC; ",""))&amp;IF(N($I486)&lt;=0,"Thiếu số lượng; ","")&amp;IF(N($K486)&lt;=0,"Thiếu giá bán; ","")&amp;IF(AND($N486&gt;0,$F486=""),"Khách lấy VAT thiếu mã số thuế; ","")&amp;IF(N($Q486)&gt;$P486,"Đã thu vượt tổng phải thu; ","")&amp;IF(AND($L486&gt;0,$U486&lt;0),"CẢNH BÁO: ĐƠN NÀY ĐANG LỖ; ","")))</f>
        <v/>
      </c>
      <c r="Y486" s="16" t="str">
        <f aca="false">IF(AND($C486&lt;&gt;"",$R486&gt;0),COUNTIFS($C$6:$C486,"&lt;&gt;",$R$6:$R486,"&gt;0"),"")</f>
        <v/>
      </c>
      <c r="Z486" s="16" t="str">
        <f aca="false">IF(AND($H486&lt;&gt;"",N($N486)&gt;0),COUNTIFS($H$6:$H486,"&lt;&gt;",$N$6:$N486,"&gt;0"),"")</f>
        <v/>
      </c>
      <c r="AA486" s="16" t="str">
        <f aca="false">IF(AND($H486&lt;&gt;"",N($N486)=0),COUNTIFS($H$6:$H486,"&lt;&gt;",$N$6:$N486,"&lt;=0"),"")</f>
        <v/>
      </c>
      <c r="AB486" s="16" t="str">
        <f aca="false">IF($C486="","",IF(COUNTIF($C$6:$C486,$C486)&gt;1,"",MAX($AB$5:AB485)+1))</f>
        <v/>
      </c>
      <c r="AC486" s="16" t="str">
        <f aca="false">IF($H486="","",IF(COUNTIF($H$6:$H486,$H486)&gt;1,"",MAX($AC$5:AC485)+1))</f>
        <v/>
      </c>
    </row>
    <row r="487" customFormat="false" ht="15" hidden="false" customHeight="false" outlineLevel="0" collapsed="false">
      <c r="A487" s="16" t="str">
        <f aca="false">IF($C487="","",COUNTA($C$6:$C487))</f>
        <v/>
      </c>
      <c r="B487" s="17"/>
      <c r="C487" s="8"/>
      <c r="D487" s="8"/>
      <c r="E487" s="8"/>
      <c r="F487" s="8"/>
      <c r="G487" s="8"/>
      <c r="H487" s="8"/>
      <c r="I487" s="9"/>
      <c r="J487" s="10" t="str">
        <f aca="false">IF($H487="","",IFERROR(VLOOKUP($H487,'BẢNG GIÁ GỐC'!$A$5:$D$204,3,FALSE()),""))</f>
        <v/>
      </c>
      <c r="K487" s="9"/>
      <c r="L487" s="10" t="str">
        <f aca="false">IF($C487="","",N($I487)*N($K487))</f>
        <v/>
      </c>
      <c r="M487" s="8"/>
      <c r="N487" s="11" t="str">
        <f aca="false">IF($C487="","",IF($M487="VAT 5%",0.05,IF($M487="VAT 8%",0.08,IF($M487="VAT 10%",0.1,0))))</f>
        <v/>
      </c>
      <c r="O487" s="10" t="str">
        <f aca="false">IF($C487="","",$L487*$N487)</f>
        <v/>
      </c>
      <c r="P487" s="10" t="str">
        <f aca="false">IF($C487="","",$L487+$O487)</f>
        <v/>
      </c>
      <c r="Q487" s="9"/>
      <c r="R487" s="10" t="str">
        <f aca="false">IF($C487="","",MAX(0,$P487-N($Q487)))</f>
        <v/>
      </c>
      <c r="S487" s="19" t="str">
        <f aca="false">IF(OR($C487="",$P487=0),"",IF(N($Q487)&lt;=0,"Chưa thanh toán",IF(N($Q487)&lt;$P487,"Thanh toán một phần","Đã thanh toán")))</f>
        <v/>
      </c>
      <c r="T487" s="10" t="str">
        <f aca="false">IF(OR($C487="",$J487=""),"",N($I487)*$J487)</f>
        <v/>
      </c>
      <c r="U487" s="10" t="str">
        <f aca="false">IF(OR($C487="",$T487=""),"",$L487-$T487)</f>
        <v/>
      </c>
      <c r="V487" s="11" t="str">
        <f aca="false">IF(OR($U487="",$L487=0),"",$U487/$L487)</f>
        <v/>
      </c>
      <c r="W487" s="8"/>
      <c r="X487" s="19" t="str">
        <f aca="false">IF($C487="","",IF(AND($H487="",N($I487)=0,N($K487)=0),"Dòng chỉ lưu thông tin khách (chưa có đơn); ",IF($B487="","Thiếu ngày đặt; ","")&amp;IF($H487="","Thiếu tên sản phẩm; ",IF($J487="","Sản phẩm chưa có trong BẢNG GIÁ GỐC; ",""))&amp;IF(N($I487)&lt;=0,"Thiếu số lượng; ","")&amp;IF(N($K487)&lt;=0,"Thiếu giá bán; ","")&amp;IF(AND($N487&gt;0,$F487=""),"Khách lấy VAT thiếu mã số thuế; ","")&amp;IF(N($Q487)&gt;$P487,"Đã thu vượt tổng phải thu; ","")&amp;IF(AND($L487&gt;0,$U487&lt;0),"CẢNH BÁO: ĐƠN NÀY ĐANG LỖ; ","")))</f>
        <v/>
      </c>
      <c r="Y487" s="16" t="str">
        <f aca="false">IF(AND($C487&lt;&gt;"",$R487&gt;0),COUNTIFS($C$6:$C487,"&lt;&gt;",$R$6:$R487,"&gt;0"),"")</f>
        <v/>
      </c>
      <c r="Z487" s="16" t="str">
        <f aca="false">IF(AND($H487&lt;&gt;"",N($N487)&gt;0),COUNTIFS($H$6:$H487,"&lt;&gt;",$N$6:$N487,"&gt;0"),"")</f>
        <v/>
      </c>
      <c r="AA487" s="16" t="str">
        <f aca="false">IF(AND($H487&lt;&gt;"",N($N487)=0),COUNTIFS($H$6:$H487,"&lt;&gt;",$N$6:$N487,"&lt;=0"),"")</f>
        <v/>
      </c>
      <c r="AB487" s="16" t="str">
        <f aca="false">IF($C487="","",IF(COUNTIF($C$6:$C487,$C487)&gt;1,"",MAX($AB$5:AB486)+1))</f>
        <v/>
      </c>
      <c r="AC487" s="16" t="str">
        <f aca="false">IF($H487="","",IF(COUNTIF($H$6:$H487,$H487)&gt;1,"",MAX($AC$5:AC486)+1))</f>
        <v/>
      </c>
    </row>
    <row r="488" customFormat="false" ht="15" hidden="false" customHeight="false" outlineLevel="0" collapsed="false">
      <c r="A488" s="16" t="str">
        <f aca="false">IF($C488="","",COUNTA($C$6:$C488))</f>
        <v/>
      </c>
      <c r="B488" s="17"/>
      <c r="C488" s="8"/>
      <c r="D488" s="8"/>
      <c r="E488" s="8"/>
      <c r="F488" s="8"/>
      <c r="G488" s="8"/>
      <c r="H488" s="8"/>
      <c r="I488" s="9"/>
      <c r="J488" s="10" t="str">
        <f aca="false">IF($H488="","",IFERROR(VLOOKUP($H488,'BẢNG GIÁ GỐC'!$A$5:$D$204,3,FALSE()),""))</f>
        <v/>
      </c>
      <c r="K488" s="9"/>
      <c r="L488" s="10" t="str">
        <f aca="false">IF($C488="","",N($I488)*N($K488))</f>
        <v/>
      </c>
      <c r="M488" s="8"/>
      <c r="N488" s="11" t="str">
        <f aca="false">IF($C488="","",IF($M488="VAT 5%",0.05,IF($M488="VAT 8%",0.08,IF($M488="VAT 10%",0.1,0))))</f>
        <v/>
      </c>
      <c r="O488" s="10" t="str">
        <f aca="false">IF($C488="","",$L488*$N488)</f>
        <v/>
      </c>
      <c r="P488" s="10" t="str">
        <f aca="false">IF($C488="","",$L488+$O488)</f>
        <v/>
      </c>
      <c r="Q488" s="9"/>
      <c r="R488" s="10" t="str">
        <f aca="false">IF($C488="","",MAX(0,$P488-N($Q488)))</f>
        <v/>
      </c>
      <c r="S488" s="19" t="str">
        <f aca="false">IF(OR($C488="",$P488=0),"",IF(N($Q488)&lt;=0,"Chưa thanh toán",IF(N($Q488)&lt;$P488,"Thanh toán một phần","Đã thanh toán")))</f>
        <v/>
      </c>
      <c r="T488" s="10" t="str">
        <f aca="false">IF(OR($C488="",$J488=""),"",N($I488)*$J488)</f>
        <v/>
      </c>
      <c r="U488" s="10" t="str">
        <f aca="false">IF(OR($C488="",$T488=""),"",$L488-$T488)</f>
        <v/>
      </c>
      <c r="V488" s="11" t="str">
        <f aca="false">IF(OR($U488="",$L488=0),"",$U488/$L488)</f>
        <v/>
      </c>
      <c r="W488" s="8"/>
      <c r="X488" s="19" t="str">
        <f aca="false">IF($C488="","",IF(AND($H488="",N($I488)=0,N($K488)=0),"Dòng chỉ lưu thông tin khách (chưa có đơn); ",IF($B488="","Thiếu ngày đặt; ","")&amp;IF($H488="","Thiếu tên sản phẩm; ",IF($J488="","Sản phẩm chưa có trong BẢNG GIÁ GỐC; ",""))&amp;IF(N($I488)&lt;=0,"Thiếu số lượng; ","")&amp;IF(N($K488)&lt;=0,"Thiếu giá bán; ","")&amp;IF(AND($N488&gt;0,$F488=""),"Khách lấy VAT thiếu mã số thuế; ","")&amp;IF(N($Q488)&gt;$P488,"Đã thu vượt tổng phải thu; ","")&amp;IF(AND($L488&gt;0,$U488&lt;0),"CẢNH BÁO: ĐƠN NÀY ĐANG LỖ; ","")))</f>
        <v/>
      </c>
      <c r="Y488" s="16" t="str">
        <f aca="false">IF(AND($C488&lt;&gt;"",$R488&gt;0),COUNTIFS($C$6:$C488,"&lt;&gt;",$R$6:$R488,"&gt;0"),"")</f>
        <v/>
      </c>
      <c r="Z488" s="16" t="str">
        <f aca="false">IF(AND($H488&lt;&gt;"",N($N488)&gt;0),COUNTIFS($H$6:$H488,"&lt;&gt;",$N$6:$N488,"&gt;0"),"")</f>
        <v/>
      </c>
      <c r="AA488" s="16" t="str">
        <f aca="false">IF(AND($H488&lt;&gt;"",N($N488)=0),COUNTIFS($H$6:$H488,"&lt;&gt;",$N$6:$N488,"&lt;=0"),"")</f>
        <v/>
      </c>
      <c r="AB488" s="16" t="str">
        <f aca="false">IF($C488="","",IF(COUNTIF($C$6:$C488,$C488)&gt;1,"",MAX($AB$5:AB487)+1))</f>
        <v/>
      </c>
      <c r="AC488" s="16" t="str">
        <f aca="false">IF($H488="","",IF(COUNTIF($H$6:$H488,$H488)&gt;1,"",MAX($AC$5:AC487)+1))</f>
        <v/>
      </c>
    </row>
    <row r="489" customFormat="false" ht="15" hidden="false" customHeight="false" outlineLevel="0" collapsed="false">
      <c r="A489" s="16" t="str">
        <f aca="false">IF($C489="","",COUNTA($C$6:$C489))</f>
        <v/>
      </c>
      <c r="B489" s="17"/>
      <c r="C489" s="8"/>
      <c r="D489" s="8"/>
      <c r="E489" s="8"/>
      <c r="F489" s="8"/>
      <c r="G489" s="8"/>
      <c r="H489" s="8"/>
      <c r="I489" s="9"/>
      <c r="J489" s="10" t="str">
        <f aca="false">IF($H489="","",IFERROR(VLOOKUP($H489,'BẢNG GIÁ GỐC'!$A$5:$D$204,3,FALSE()),""))</f>
        <v/>
      </c>
      <c r="K489" s="9"/>
      <c r="L489" s="10" t="str">
        <f aca="false">IF($C489="","",N($I489)*N($K489))</f>
        <v/>
      </c>
      <c r="M489" s="8"/>
      <c r="N489" s="11" t="str">
        <f aca="false">IF($C489="","",IF($M489="VAT 5%",0.05,IF($M489="VAT 8%",0.08,IF($M489="VAT 10%",0.1,0))))</f>
        <v/>
      </c>
      <c r="O489" s="10" t="str">
        <f aca="false">IF($C489="","",$L489*$N489)</f>
        <v/>
      </c>
      <c r="P489" s="10" t="str">
        <f aca="false">IF($C489="","",$L489+$O489)</f>
        <v/>
      </c>
      <c r="Q489" s="9"/>
      <c r="R489" s="10" t="str">
        <f aca="false">IF($C489="","",MAX(0,$P489-N($Q489)))</f>
        <v/>
      </c>
      <c r="S489" s="19" t="str">
        <f aca="false">IF(OR($C489="",$P489=0),"",IF(N($Q489)&lt;=0,"Chưa thanh toán",IF(N($Q489)&lt;$P489,"Thanh toán một phần","Đã thanh toán")))</f>
        <v/>
      </c>
      <c r="T489" s="10" t="str">
        <f aca="false">IF(OR($C489="",$J489=""),"",N($I489)*$J489)</f>
        <v/>
      </c>
      <c r="U489" s="10" t="str">
        <f aca="false">IF(OR($C489="",$T489=""),"",$L489-$T489)</f>
        <v/>
      </c>
      <c r="V489" s="11" t="str">
        <f aca="false">IF(OR($U489="",$L489=0),"",$U489/$L489)</f>
        <v/>
      </c>
      <c r="W489" s="8"/>
      <c r="X489" s="19" t="str">
        <f aca="false">IF($C489="","",IF(AND($H489="",N($I489)=0,N($K489)=0),"Dòng chỉ lưu thông tin khách (chưa có đơn); ",IF($B489="","Thiếu ngày đặt; ","")&amp;IF($H489="","Thiếu tên sản phẩm; ",IF($J489="","Sản phẩm chưa có trong BẢNG GIÁ GỐC; ",""))&amp;IF(N($I489)&lt;=0,"Thiếu số lượng; ","")&amp;IF(N($K489)&lt;=0,"Thiếu giá bán; ","")&amp;IF(AND($N489&gt;0,$F489=""),"Khách lấy VAT thiếu mã số thuế; ","")&amp;IF(N($Q489)&gt;$P489,"Đã thu vượt tổng phải thu; ","")&amp;IF(AND($L489&gt;0,$U489&lt;0),"CẢNH BÁO: ĐƠN NÀY ĐANG LỖ; ","")))</f>
        <v/>
      </c>
      <c r="Y489" s="16" t="str">
        <f aca="false">IF(AND($C489&lt;&gt;"",$R489&gt;0),COUNTIFS($C$6:$C489,"&lt;&gt;",$R$6:$R489,"&gt;0"),"")</f>
        <v/>
      </c>
      <c r="Z489" s="16" t="str">
        <f aca="false">IF(AND($H489&lt;&gt;"",N($N489)&gt;0),COUNTIFS($H$6:$H489,"&lt;&gt;",$N$6:$N489,"&gt;0"),"")</f>
        <v/>
      </c>
      <c r="AA489" s="16" t="str">
        <f aca="false">IF(AND($H489&lt;&gt;"",N($N489)=0),COUNTIFS($H$6:$H489,"&lt;&gt;",$N$6:$N489,"&lt;=0"),"")</f>
        <v/>
      </c>
      <c r="AB489" s="16" t="str">
        <f aca="false">IF($C489="","",IF(COUNTIF($C$6:$C489,$C489)&gt;1,"",MAX($AB$5:AB488)+1))</f>
        <v/>
      </c>
      <c r="AC489" s="16" t="str">
        <f aca="false">IF($H489="","",IF(COUNTIF($H$6:$H489,$H489)&gt;1,"",MAX($AC$5:AC488)+1))</f>
        <v/>
      </c>
    </row>
    <row r="490" customFormat="false" ht="15" hidden="false" customHeight="false" outlineLevel="0" collapsed="false">
      <c r="A490" s="16" t="str">
        <f aca="false">IF($C490="","",COUNTA($C$6:$C490))</f>
        <v/>
      </c>
      <c r="B490" s="17"/>
      <c r="C490" s="8"/>
      <c r="D490" s="8"/>
      <c r="E490" s="8"/>
      <c r="F490" s="8"/>
      <c r="G490" s="8"/>
      <c r="H490" s="8"/>
      <c r="I490" s="9"/>
      <c r="J490" s="10" t="str">
        <f aca="false">IF($H490="","",IFERROR(VLOOKUP($H490,'BẢNG GIÁ GỐC'!$A$5:$D$204,3,FALSE()),""))</f>
        <v/>
      </c>
      <c r="K490" s="9"/>
      <c r="L490" s="10" t="str">
        <f aca="false">IF($C490="","",N($I490)*N($K490))</f>
        <v/>
      </c>
      <c r="M490" s="8"/>
      <c r="N490" s="11" t="str">
        <f aca="false">IF($C490="","",IF($M490="VAT 5%",0.05,IF($M490="VAT 8%",0.08,IF($M490="VAT 10%",0.1,0))))</f>
        <v/>
      </c>
      <c r="O490" s="10" t="str">
        <f aca="false">IF($C490="","",$L490*$N490)</f>
        <v/>
      </c>
      <c r="P490" s="10" t="str">
        <f aca="false">IF($C490="","",$L490+$O490)</f>
        <v/>
      </c>
      <c r="Q490" s="9"/>
      <c r="R490" s="10" t="str">
        <f aca="false">IF($C490="","",MAX(0,$P490-N($Q490)))</f>
        <v/>
      </c>
      <c r="S490" s="19" t="str">
        <f aca="false">IF(OR($C490="",$P490=0),"",IF(N($Q490)&lt;=0,"Chưa thanh toán",IF(N($Q490)&lt;$P490,"Thanh toán một phần","Đã thanh toán")))</f>
        <v/>
      </c>
      <c r="T490" s="10" t="str">
        <f aca="false">IF(OR($C490="",$J490=""),"",N($I490)*$J490)</f>
        <v/>
      </c>
      <c r="U490" s="10" t="str">
        <f aca="false">IF(OR($C490="",$T490=""),"",$L490-$T490)</f>
        <v/>
      </c>
      <c r="V490" s="11" t="str">
        <f aca="false">IF(OR($U490="",$L490=0),"",$U490/$L490)</f>
        <v/>
      </c>
      <c r="W490" s="8"/>
      <c r="X490" s="19" t="str">
        <f aca="false">IF($C490="","",IF(AND($H490="",N($I490)=0,N($K490)=0),"Dòng chỉ lưu thông tin khách (chưa có đơn); ",IF($B490="","Thiếu ngày đặt; ","")&amp;IF($H490="","Thiếu tên sản phẩm; ",IF($J490="","Sản phẩm chưa có trong BẢNG GIÁ GỐC; ",""))&amp;IF(N($I490)&lt;=0,"Thiếu số lượng; ","")&amp;IF(N($K490)&lt;=0,"Thiếu giá bán; ","")&amp;IF(AND($N490&gt;0,$F490=""),"Khách lấy VAT thiếu mã số thuế; ","")&amp;IF(N($Q490)&gt;$P490,"Đã thu vượt tổng phải thu; ","")&amp;IF(AND($L490&gt;0,$U490&lt;0),"CẢNH BÁO: ĐƠN NÀY ĐANG LỖ; ","")))</f>
        <v/>
      </c>
      <c r="Y490" s="16" t="str">
        <f aca="false">IF(AND($C490&lt;&gt;"",$R490&gt;0),COUNTIFS($C$6:$C490,"&lt;&gt;",$R$6:$R490,"&gt;0"),"")</f>
        <v/>
      </c>
      <c r="Z490" s="16" t="str">
        <f aca="false">IF(AND($H490&lt;&gt;"",N($N490)&gt;0),COUNTIFS($H$6:$H490,"&lt;&gt;",$N$6:$N490,"&gt;0"),"")</f>
        <v/>
      </c>
      <c r="AA490" s="16" t="str">
        <f aca="false">IF(AND($H490&lt;&gt;"",N($N490)=0),COUNTIFS($H$6:$H490,"&lt;&gt;",$N$6:$N490,"&lt;=0"),"")</f>
        <v/>
      </c>
      <c r="AB490" s="16" t="str">
        <f aca="false">IF($C490="","",IF(COUNTIF($C$6:$C490,$C490)&gt;1,"",MAX($AB$5:AB489)+1))</f>
        <v/>
      </c>
      <c r="AC490" s="16" t="str">
        <f aca="false">IF($H490="","",IF(COUNTIF($H$6:$H490,$H490)&gt;1,"",MAX($AC$5:AC489)+1))</f>
        <v/>
      </c>
    </row>
    <row r="491" customFormat="false" ht="15" hidden="false" customHeight="false" outlineLevel="0" collapsed="false">
      <c r="A491" s="16" t="str">
        <f aca="false">IF($C491="","",COUNTA($C$6:$C491))</f>
        <v/>
      </c>
      <c r="B491" s="17"/>
      <c r="C491" s="8"/>
      <c r="D491" s="8"/>
      <c r="E491" s="8"/>
      <c r="F491" s="8"/>
      <c r="G491" s="8"/>
      <c r="H491" s="8"/>
      <c r="I491" s="9"/>
      <c r="J491" s="10" t="str">
        <f aca="false">IF($H491="","",IFERROR(VLOOKUP($H491,'BẢNG GIÁ GỐC'!$A$5:$D$204,3,FALSE()),""))</f>
        <v/>
      </c>
      <c r="K491" s="9"/>
      <c r="L491" s="10" t="str">
        <f aca="false">IF($C491="","",N($I491)*N($K491))</f>
        <v/>
      </c>
      <c r="M491" s="8"/>
      <c r="N491" s="11" t="str">
        <f aca="false">IF($C491="","",IF($M491="VAT 5%",0.05,IF($M491="VAT 8%",0.08,IF($M491="VAT 10%",0.1,0))))</f>
        <v/>
      </c>
      <c r="O491" s="10" t="str">
        <f aca="false">IF($C491="","",$L491*$N491)</f>
        <v/>
      </c>
      <c r="P491" s="10" t="str">
        <f aca="false">IF($C491="","",$L491+$O491)</f>
        <v/>
      </c>
      <c r="Q491" s="9"/>
      <c r="R491" s="10" t="str">
        <f aca="false">IF($C491="","",MAX(0,$P491-N($Q491)))</f>
        <v/>
      </c>
      <c r="S491" s="19" t="str">
        <f aca="false">IF(OR($C491="",$P491=0),"",IF(N($Q491)&lt;=0,"Chưa thanh toán",IF(N($Q491)&lt;$P491,"Thanh toán một phần","Đã thanh toán")))</f>
        <v/>
      </c>
      <c r="T491" s="10" t="str">
        <f aca="false">IF(OR($C491="",$J491=""),"",N($I491)*$J491)</f>
        <v/>
      </c>
      <c r="U491" s="10" t="str">
        <f aca="false">IF(OR($C491="",$T491=""),"",$L491-$T491)</f>
        <v/>
      </c>
      <c r="V491" s="11" t="str">
        <f aca="false">IF(OR($U491="",$L491=0),"",$U491/$L491)</f>
        <v/>
      </c>
      <c r="W491" s="8"/>
      <c r="X491" s="19" t="str">
        <f aca="false">IF($C491="","",IF(AND($H491="",N($I491)=0,N($K491)=0),"Dòng chỉ lưu thông tin khách (chưa có đơn); ",IF($B491="","Thiếu ngày đặt; ","")&amp;IF($H491="","Thiếu tên sản phẩm; ",IF($J491="","Sản phẩm chưa có trong BẢNG GIÁ GỐC; ",""))&amp;IF(N($I491)&lt;=0,"Thiếu số lượng; ","")&amp;IF(N($K491)&lt;=0,"Thiếu giá bán; ","")&amp;IF(AND($N491&gt;0,$F491=""),"Khách lấy VAT thiếu mã số thuế; ","")&amp;IF(N($Q491)&gt;$P491,"Đã thu vượt tổng phải thu; ","")&amp;IF(AND($L491&gt;0,$U491&lt;0),"CẢNH BÁO: ĐƠN NÀY ĐANG LỖ; ","")))</f>
        <v/>
      </c>
      <c r="Y491" s="16" t="str">
        <f aca="false">IF(AND($C491&lt;&gt;"",$R491&gt;0),COUNTIFS($C$6:$C491,"&lt;&gt;",$R$6:$R491,"&gt;0"),"")</f>
        <v/>
      </c>
      <c r="Z491" s="16" t="str">
        <f aca="false">IF(AND($H491&lt;&gt;"",N($N491)&gt;0),COUNTIFS($H$6:$H491,"&lt;&gt;",$N$6:$N491,"&gt;0"),"")</f>
        <v/>
      </c>
      <c r="AA491" s="16" t="str">
        <f aca="false">IF(AND($H491&lt;&gt;"",N($N491)=0),COUNTIFS($H$6:$H491,"&lt;&gt;",$N$6:$N491,"&lt;=0"),"")</f>
        <v/>
      </c>
      <c r="AB491" s="16" t="str">
        <f aca="false">IF($C491="","",IF(COUNTIF($C$6:$C491,$C491)&gt;1,"",MAX($AB$5:AB490)+1))</f>
        <v/>
      </c>
      <c r="AC491" s="16" t="str">
        <f aca="false">IF($H491="","",IF(COUNTIF($H$6:$H491,$H491)&gt;1,"",MAX($AC$5:AC490)+1))</f>
        <v/>
      </c>
    </row>
    <row r="492" customFormat="false" ht="15" hidden="false" customHeight="false" outlineLevel="0" collapsed="false">
      <c r="A492" s="16" t="str">
        <f aca="false">IF($C492="","",COUNTA($C$6:$C492))</f>
        <v/>
      </c>
      <c r="B492" s="17"/>
      <c r="C492" s="8"/>
      <c r="D492" s="8"/>
      <c r="E492" s="8"/>
      <c r="F492" s="8"/>
      <c r="G492" s="8"/>
      <c r="H492" s="8"/>
      <c r="I492" s="9"/>
      <c r="J492" s="10" t="str">
        <f aca="false">IF($H492="","",IFERROR(VLOOKUP($H492,'BẢNG GIÁ GỐC'!$A$5:$D$204,3,FALSE()),""))</f>
        <v/>
      </c>
      <c r="K492" s="9"/>
      <c r="L492" s="10" t="str">
        <f aca="false">IF($C492="","",N($I492)*N($K492))</f>
        <v/>
      </c>
      <c r="M492" s="8"/>
      <c r="N492" s="11" t="str">
        <f aca="false">IF($C492="","",IF($M492="VAT 5%",0.05,IF($M492="VAT 8%",0.08,IF($M492="VAT 10%",0.1,0))))</f>
        <v/>
      </c>
      <c r="O492" s="10" t="str">
        <f aca="false">IF($C492="","",$L492*$N492)</f>
        <v/>
      </c>
      <c r="P492" s="10" t="str">
        <f aca="false">IF($C492="","",$L492+$O492)</f>
        <v/>
      </c>
      <c r="Q492" s="9"/>
      <c r="R492" s="10" t="str">
        <f aca="false">IF($C492="","",MAX(0,$P492-N($Q492)))</f>
        <v/>
      </c>
      <c r="S492" s="19" t="str">
        <f aca="false">IF(OR($C492="",$P492=0),"",IF(N($Q492)&lt;=0,"Chưa thanh toán",IF(N($Q492)&lt;$P492,"Thanh toán một phần","Đã thanh toán")))</f>
        <v/>
      </c>
      <c r="T492" s="10" t="str">
        <f aca="false">IF(OR($C492="",$J492=""),"",N($I492)*$J492)</f>
        <v/>
      </c>
      <c r="U492" s="10" t="str">
        <f aca="false">IF(OR($C492="",$T492=""),"",$L492-$T492)</f>
        <v/>
      </c>
      <c r="V492" s="11" t="str">
        <f aca="false">IF(OR($U492="",$L492=0),"",$U492/$L492)</f>
        <v/>
      </c>
      <c r="W492" s="8"/>
      <c r="X492" s="19" t="str">
        <f aca="false">IF($C492="","",IF(AND($H492="",N($I492)=0,N($K492)=0),"Dòng chỉ lưu thông tin khách (chưa có đơn); ",IF($B492="","Thiếu ngày đặt; ","")&amp;IF($H492="","Thiếu tên sản phẩm; ",IF($J492="","Sản phẩm chưa có trong BẢNG GIÁ GỐC; ",""))&amp;IF(N($I492)&lt;=0,"Thiếu số lượng; ","")&amp;IF(N($K492)&lt;=0,"Thiếu giá bán; ","")&amp;IF(AND($N492&gt;0,$F492=""),"Khách lấy VAT thiếu mã số thuế; ","")&amp;IF(N($Q492)&gt;$P492,"Đã thu vượt tổng phải thu; ","")&amp;IF(AND($L492&gt;0,$U492&lt;0),"CẢNH BÁO: ĐƠN NÀY ĐANG LỖ; ","")))</f>
        <v/>
      </c>
      <c r="Y492" s="16" t="str">
        <f aca="false">IF(AND($C492&lt;&gt;"",$R492&gt;0),COUNTIFS($C$6:$C492,"&lt;&gt;",$R$6:$R492,"&gt;0"),"")</f>
        <v/>
      </c>
      <c r="Z492" s="16" t="str">
        <f aca="false">IF(AND($H492&lt;&gt;"",N($N492)&gt;0),COUNTIFS($H$6:$H492,"&lt;&gt;",$N$6:$N492,"&gt;0"),"")</f>
        <v/>
      </c>
      <c r="AA492" s="16" t="str">
        <f aca="false">IF(AND($H492&lt;&gt;"",N($N492)=0),COUNTIFS($H$6:$H492,"&lt;&gt;",$N$6:$N492,"&lt;=0"),"")</f>
        <v/>
      </c>
      <c r="AB492" s="16" t="str">
        <f aca="false">IF($C492="","",IF(COUNTIF($C$6:$C492,$C492)&gt;1,"",MAX($AB$5:AB491)+1))</f>
        <v/>
      </c>
      <c r="AC492" s="16" t="str">
        <f aca="false">IF($H492="","",IF(COUNTIF($H$6:$H492,$H492)&gt;1,"",MAX($AC$5:AC491)+1))</f>
        <v/>
      </c>
    </row>
    <row r="493" customFormat="false" ht="15" hidden="false" customHeight="false" outlineLevel="0" collapsed="false">
      <c r="A493" s="16" t="str">
        <f aca="false">IF($C493="","",COUNTA($C$6:$C493))</f>
        <v/>
      </c>
      <c r="B493" s="17"/>
      <c r="C493" s="8"/>
      <c r="D493" s="8"/>
      <c r="E493" s="8"/>
      <c r="F493" s="8"/>
      <c r="G493" s="8"/>
      <c r="H493" s="8"/>
      <c r="I493" s="9"/>
      <c r="J493" s="10" t="str">
        <f aca="false">IF($H493="","",IFERROR(VLOOKUP($H493,'BẢNG GIÁ GỐC'!$A$5:$D$204,3,FALSE()),""))</f>
        <v/>
      </c>
      <c r="K493" s="9"/>
      <c r="L493" s="10" t="str">
        <f aca="false">IF($C493="","",N($I493)*N($K493))</f>
        <v/>
      </c>
      <c r="M493" s="8"/>
      <c r="N493" s="11" t="str">
        <f aca="false">IF($C493="","",IF($M493="VAT 5%",0.05,IF($M493="VAT 8%",0.08,IF($M493="VAT 10%",0.1,0))))</f>
        <v/>
      </c>
      <c r="O493" s="10" t="str">
        <f aca="false">IF($C493="","",$L493*$N493)</f>
        <v/>
      </c>
      <c r="P493" s="10" t="str">
        <f aca="false">IF($C493="","",$L493+$O493)</f>
        <v/>
      </c>
      <c r="Q493" s="9"/>
      <c r="R493" s="10" t="str">
        <f aca="false">IF($C493="","",MAX(0,$P493-N($Q493)))</f>
        <v/>
      </c>
      <c r="S493" s="19" t="str">
        <f aca="false">IF(OR($C493="",$P493=0),"",IF(N($Q493)&lt;=0,"Chưa thanh toán",IF(N($Q493)&lt;$P493,"Thanh toán một phần","Đã thanh toán")))</f>
        <v/>
      </c>
      <c r="T493" s="10" t="str">
        <f aca="false">IF(OR($C493="",$J493=""),"",N($I493)*$J493)</f>
        <v/>
      </c>
      <c r="U493" s="10" t="str">
        <f aca="false">IF(OR($C493="",$T493=""),"",$L493-$T493)</f>
        <v/>
      </c>
      <c r="V493" s="11" t="str">
        <f aca="false">IF(OR($U493="",$L493=0),"",$U493/$L493)</f>
        <v/>
      </c>
      <c r="W493" s="8"/>
      <c r="X493" s="19" t="str">
        <f aca="false">IF($C493="","",IF(AND($H493="",N($I493)=0,N($K493)=0),"Dòng chỉ lưu thông tin khách (chưa có đơn); ",IF($B493="","Thiếu ngày đặt; ","")&amp;IF($H493="","Thiếu tên sản phẩm; ",IF($J493="","Sản phẩm chưa có trong BẢNG GIÁ GỐC; ",""))&amp;IF(N($I493)&lt;=0,"Thiếu số lượng; ","")&amp;IF(N($K493)&lt;=0,"Thiếu giá bán; ","")&amp;IF(AND($N493&gt;0,$F493=""),"Khách lấy VAT thiếu mã số thuế; ","")&amp;IF(N($Q493)&gt;$P493,"Đã thu vượt tổng phải thu; ","")&amp;IF(AND($L493&gt;0,$U493&lt;0),"CẢNH BÁO: ĐƠN NÀY ĐANG LỖ; ","")))</f>
        <v/>
      </c>
      <c r="Y493" s="16" t="str">
        <f aca="false">IF(AND($C493&lt;&gt;"",$R493&gt;0),COUNTIFS($C$6:$C493,"&lt;&gt;",$R$6:$R493,"&gt;0"),"")</f>
        <v/>
      </c>
      <c r="Z493" s="16" t="str">
        <f aca="false">IF(AND($H493&lt;&gt;"",N($N493)&gt;0),COUNTIFS($H$6:$H493,"&lt;&gt;",$N$6:$N493,"&gt;0"),"")</f>
        <v/>
      </c>
      <c r="AA493" s="16" t="str">
        <f aca="false">IF(AND($H493&lt;&gt;"",N($N493)=0),COUNTIFS($H$6:$H493,"&lt;&gt;",$N$6:$N493,"&lt;=0"),"")</f>
        <v/>
      </c>
      <c r="AB493" s="16" t="str">
        <f aca="false">IF($C493="","",IF(COUNTIF($C$6:$C493,$C493)&gt;1,"",MAX($AB$5:AB492)+1))</f>
        <v/>
      </c>
      <c r="AC493" s="16" t="str">
        <f aca="false">IF($H493="","",IF(COUNTIF($H$6:$H493,$H493)&gt;1,"",MAX($AC$5:AC492)+1))</f>
        <v/>
      </c>
    </row>
    <row r="494" customFormat="false" ht="15" hidden="false" customHeight="false" outlineLevel="0" collapsed="false">
      <c r="A494" s="16" t="str">
        <f aca="false">IF($C494="","",COUNTA($C$6:$C494))</f>
        <v/>
      </c>
      <c r="B494" s="17"/>
      <c r="C494" s="8"/>
      <c r="D494" s="8"/>
      <c r="E494" s="8"/>
      <c r="F494" s="8"/>
      <c r="G494" s="8"/>
      <c r="H494" s="8"/>
      <c r="I494" s="9"/>
      <c r="J494" s="10" t="str">
        <f aca="false">IF($H494="","",IFERROR(VLOOKUP($H494,'BẢNG GIÁ GỐC'!$A$5:$D$204,3,FALSE()),""))</f>
        <v/>
      </c>
      <c r="K494" s="9"/>
      <c r="L494" s="10" t="str">
        <f aca="false">IF($C494="","",N($I494)*N($K494))</f>
        <v/>
      </c>
      <c r="M494" s="8"/>
      <c r="N494" s="11" t="str">
        <f aca="false">IF($C494="","",IF($M494="VAT 5%",0.05,IF($M494="VAT 8%",0.08,IF($M494="VAT 10%",0.1,0))))</f>
        <v/>
      </c>
      <c r="O494" s="10" t="str">
        <f aca="false">IF($C494="","",$L494*$N494)</f>
        <v/>
      </c>
      <c r="P494" s="10" t="str">
        <f aca="false">IF($C494="","",$L494+$O494)</f>
        <v/>
      </c>
      <c r="Q494" s="9"/>
      <c r="R494" s="10" t="str">
        <f aca="false">IF($C494="","",MAX(0,$P494-N($Q494)))</f>
        <v/>
      </c>
      <c r="S494" s="19" t="str">
        <f aca="false">IF(OR($C494="",$P494=0),"",IF(N($Q494)&lt;=0,"Chưa thanh toán",IF(N($Q494)&lt;$P494,"Thanh toán một phần","Đã thanh toán")))</f>
        <v/>
      </c>
      <c r="T494" s="10" t="str">
        <f aca="false">IF(OR($C494="",$J494=""),"",N($I494)*$J494)</f>
        <v/>
      </c>
      <c r="U494" s="10" t="str">
        <f aca="false">IF(OR($C494="",$T494=""),"",$L494-$T494)</f>
        <v/>
      </c>
      <c r="V494" s="11" t="str">
        <f aca="false">IF(OR($U494="",$L494=0),"",$U494/$L494)</f>
        <v/>
      </c>
      <c r="W494" s="8"/>
      <c r="X494" s="19" t="str">
        <f aca="false">IF($C494="","",IF(AND($H494="",N($I494)=0,N($K494)=0),"Dòng chỉ lưu thông tin khách (chưa có đơn); ",IF($B494="","Thiếu ngày đặt; ","")&amp;IF($H494="","Thiếu tên sản phẩm; ",IF($J494="","Sản phẩm chưa có trong BẢNG GIÁ GỐC; ",""))&amp;IF(N($I494)&lt;=0,"Thiếu số lượng; ","")&amp;IF(N($K494)&lt;=0,"Thiếu giá bán; ","")&amp;IF(AND($N494&gt;0,$F494=""),"Khách lấy VAT thiếu mã số thuế; ","")&amp;IF(N($Q494)&gt;$P494,"Đã thu vượt tổng phải thu; ","")&amp;IF(AND($L494&gt;0,$U494&lt;0),"CẢNH BÁO: ĐƠN NÀY ĐANG LỖ; ","")))</f>
        <v/>
      </c>
      <c r="Y494" s="16" t="str">
        <f aca="false">IF(AND($C494&lt;&gt;"",$R494&gt;0),COUNTIFS($C$6:$C494,"&lt;&gt;",$R$6:$R494,"&gt;0"),"")</f>
        <v/>
      </c>
      <c r="Z494" s="16" t="str">
        <f aca="false">IF(AND($H494&lt;&gt;"",N($N494)&gt;0),COUNTIFS($H$6:$H494,"&lt;&gt;",$N$6:$N494,"&gt;0"),"")</f>
        <v/>
      </c>
      <c r="AA494" s="16" t="str">
        <f aca="false">IF(AND($H494&lt;&gt;"",N($N494)=0),COUNTIFS($H$6:$H494,"&lt;&gt;",$N$6:$N494,"&lt;=0"),"")</f>
        <v/>
      </c>
      <c r="AB494" s="16" t="str">
        <f aca="false">IF($C494="","",IF(COUNTIF($C$6:$C494,$C494)&gt;1,"",MAX($AB$5:AB493)+1))</f>
        <v/>
      </c>
      <c r="AC494" s="16" t="str">
        <f aca="false">IF($H494="","",IF(COUNTIF($H$6:$H494,$H494)&gt;1,"",MAX($AC$5:AC493)+1))</f>
        <v/>
      </c>
    </row>
    <row r="495" customFormat="false" ht="15" hidden="false" customHeight="false" outlineLevel="0" collapsed="false">
      <c r="A495" s="16" t="str">
        <f aca="false">IF($C495="","",COUNTA($C$6:$C495))</f>
        <v/>
      </c>
      <c r="B495" s="17"/>
      <c r="C495" s="8"/>
      <c r="D495" s="8"/>
      <c r="E495" s="8"/>
      <c r="F495" s="8"/>
      <c r="G495" s="8"/>
      <c r="H495" s="8"/>
      <c r="I495" s="9"/>
      <c r="J495" s="10" t="str">
        <f aca="false">IF($H495="","",IFERROR(VLOOKUP($H495,'BẢNG GIÁ GỐC'!$A$5:$D$204,3,FALSE()),""))</f>
        <v/>
      </c>
      <c r="K495" s="9"/>
      <c r="L495" s="10" t="str">
        <f aca="false">IF($C495="","",N($I495)*N($K495))</f>
        <v/>
      </c>
      <c r="M495" s="8"/>
      <c r="N495" s="11" t="str">
        <f aca="false">IF($C495="","",IF($M495="VAT 5%",0.05,IF($M495="VAT 8%",0.08,IF($M495="VAT 10%",0.1,0))))</f>
        <v/>
      </c>
      <c r="O495" s="10" t="str">
        <f aca="false">IF($C495="","",$L495*$N495)</f>
        <v/>
      </c>
      <c r="P495" s="10" t="str">
        <f aca="false">IF($C495="","",$L495+$O495)</f>
        <v/>
      </c>
      <c r="Q495" s="9"/>
      <c r="R495" s="10" t="str">
        <f aca="false">IF($C495="","",MAX(0,$P495-N($Q495)))</f>
        <v/>
      </c>
      <c r="S495" s="19" t="str">
        <f aca="false">IF(OR($C495="",$P495=0),"",IF(N($Q495)&lt;=0,"Chưa thanh toán",IF(N($Q495)&lt;$P495,"Thanh toán một phần","Đã thanh toán")))</f>
        <v/>
      </c>
      <c r="T495" s="10" t="str">
        <f aca="false">IF(OR($C495="",$J495=""),"",N($I495)*$J495)</f>
        <v/>
      </c>
      <c r="U495" s="10" t="str">
        <f aca="false">IF(OR($C495="",$T495=""),"",$L495-$T495)</f>
        <v/>
      </c>
      <c r="V495" s="11" t="str">
        <f aca="false">IF(OR($U495="",$L495=0),"",$U495/$L495)</f>
        <v/>
      </c>
      <c r="W495" s="8"/>
      <c r="X495" s="19" t="str">
        <f aca="false">IF($C495="","",IF(AND($H495="",N($I495)=0,N($K495)=0),"Dòng chỉ lưu thông tin khách (chưa có đơn); ",IF($B495="","Thiếu ngày đặt; ","")&amp;IF($H495="","Thiếu tên sản phẩm; ",IF($J495="","Sản phẩm chưa có trong BẢNG GIÁ GỐC; ",""))&amp;IF(N($I495)&lt;=0,"Thiếu số lượng; ","")&amp;IF(N($K495)&lt;=0,"Thiếu giá bán; ","")&amp;IF(AND($N495&gt;0,$F495=""),"Khách lấy VAT thiếu mã số thuế; ","")&amp;IF(N($Q495)&gt;$P495,"Đã thu vượt tổng phải thu; ","")&amp;IF(AND($L495&gt;0,$U495&lt;0),"CẢNH BÁO: ĐƠN NÀY ĐANG LỖ; ","")))</f>
        <v/>
      </c>
      <c r="Y495" s="16" t="str">
        <f aca="false">IF(AND($C495&lt;&gt;"",$R495&gt;0),COUNTIFS($C$6:$C495,"&lt;&gt;",$R$6:$R495,"&gt;0"),"")</f>
        <v/>
      </c>
      <c r="Z495" s="16" t="str">
        <f aca="false">IF(AND($H495&lt;&gt;"",N($N495)&gt;0),COUNTIFS($H$6:$H495,"&lt;&gt;",$N$6:$N495,"&gt;0"),"")</f>
        <v/>
      </c>
      <c r="AA495" s="16" t="str">
        <f aca="false">IF(AND($H495&lt;&gt;"",N($N495)=0),COUNTIFS($H$6:$H495,"&lt;&gt;",$N$6:$N495,"&lt;=0"),"")</f>
        <v/>
      </c>
      <c r="AB495" s="16" t="str">
        <f aca="false">IF($C495="","",IF(COUNTIF($C$6:$C495,$C495)&gt;1,"",MAX($AB$5:AB494)+1))</f>
        <v/>
      </c>
      <c r="AC495" s="16" t="str">
        <f aca="false">IF($H495="","",IF(COUNTIF($H$6:$H495,$H495)&gt;1,"",MAX($AC$5:AC494)+1))</f>
        <v/>
      </c>
    </row>
    <row r="496" customFormat="false" ht="15" hidden="false" customHeight="false" outlineLevel="0" collapsed="false">
      <c r="A496" s="16" t="str">
        <f aca="false">IF($C496="","",COUNTA($C$6:$C496))</f>
        <v/>
      </c>
      <c r="B496" s="17"/>
      <c r="C496" s="8"/>
      <c r="D496" s="8"/>
      <c r="E496" s="8"/>
      <c r="F496" s="8"/>
      <c r="G496" s="8"/>
      <c r="H496" s="8"/>
      <c r="I496" s="9"/>
      <c r="J496" s="10" t="str">
        <f aca="false">IF($H496="","",IFERROR(VLOOKUP($H496,'BẢNG GIÁ GỐC'!$A$5:$D$204,3,FALSE()),""))</f>
        <v/>
      </c>
      <c r="K496" s="9"/>
      <c r="L496" s="10" t="str">
        <f aca="false">IF($C496="","",N($I496)*N($K496))</f>
        <v/>
      </c>
      <c r="M496" s="8"/>
      <c r="N496" s="11" t="str">
        <f aca="false">IF($C496="","",IF($M496="VAT 5%",0.05,IF($M496="VAT 8%",0.08,IF($M496="VAT 10%",0.1,0))))</f>
        <v/>
      </c>
      <c r="O496" s="10" t="str">
        <f aca="false">IF($C496="","",$L496*$N496)</f>
        <v/>
      </c>
      <c r="P496" s="10" t="str">
        <f aca="false">IF($C496="","",$L496+$O496)</f>
        <v/>
      </c>
      <c r="Q496" s="9"/>
      <c r="R496" s="10" t="str">
        <f aca="false">IF($C496="","",MAX(0,$P496-N($Q496)))</f>
        <v/>
      </c>
      <c r="S496" s="19" t="str">
        <f aca="false">IF(OR($C496="",$P496=0),"",IF(N($Q496)&lt;=0,"Chưa thanh toán",IF(N($Q496)&lt;$P496,"Thanh toán một phần","Đã thanh toán")))</f>
        <v/>
      </c>
      <c r="T496" s="10" t="str">
        <f aca="false">IF(OR($C496="",$J496=""),"",N($I496)*$J496)</f>
        <v/>
      </c>
      <c r="U496" s="10" t="str">
        <f aca="false">IF(OR($C496="",$T496=""),"",$L496-$T496)</f>
        <v/>
      </c>
      <c r="V496" s="11" t="str">
        <f aca="false">IF(OR($U496="",$L496=0),"",$U496/$L496)</f>
        <v/>
      </c>
      <c r="W496" s="8"/>
      <c r="X496" s="19" t="str">
        <f aca="false">IF($C496="","",IF(AND($H496="",N($I496)=0,N($K496)=0),"Dòng chỉ lưu thông tin khách (chưa có đơn); ",IF($B496="","Thiếu ngày đặt; ","")&amp;IF($H496="","Thiếu tên sản phẩm; ",IF($J496="","Sản phẩm chưa có trong BẢNG GIÁ GỐC; ",""))&amp;IF(N($I496)&lt;=0,"Thiếu số lượng; ","")&amp;IF(N($K496)&lt;=0,"Thiếu giá bán; ","")&amp;IF(AND($N496&gt;0,$F496=""),"Khách lấy VAT thiếu mã số thuế; ","")&amp;IF(N($Q496)&gt;$P496,"Đã thu vượt tổng phải thu; ","")&amp;IF(AND($L496&gt;0,$U496&lt;0),"CẢNH BÁO: ĐƠN NÀY ĐANG LỖ; ","")))</f>
        <v/>
      </c>
      <c r="Y496" s="16" t="str">
        <f aca="false">IF(AND($C496&lt;&gt;"",$R496&gt;0),COUNTIFS($C$6:$C496,"&lt;&gt;",$R$6:$R496,"&gt;0"),"")</f>
        <v/>
      </c>
      <c r="Z496" s="16" t="str">
        <f aca="false">IF(AND($H496&lt;&gt;"",N($N496)&gt;0),COUNTIFS($H$6:$H496,"&lt;&gt;",$N$6:$N496,"&gt;0"),"")</f>
        <v/>
      </c>
      <c r="AA496" s="16" t="str">
        <f aca="false">IF(AND($H496&lt;&gt;"",N($N496)=0),COUNTIFS($H$6:$H496,"&lt;&gt;",$N$6:$N496,"&lt;=0"),"")</f>
        <v/>
      </c>
      <c r="AB496" s="16" t="str">
        <f aca="false">IF($C496="","",IF(COUNTIF($C$6:$C496,$C496)&gt;1,"",MAX($AB$5:AB495)+1))</f>
        <v/>
      </c>
      <c r="AC496" s="16" t="str">
        <f aca="false">IF($H496="","",IF(COUNTIF($H$6:$H496,$H496)&gt;1,"",MAX($AC$5:AC495)+1))</f>
        <v/>
      </c>
    </row>
    <row r="497" customFormat="false" ht="15" hidden="false" customHeight="false" outlineLevel="0" collapsed="false">
      <c r="A497" s="16" t="str">
        <f aca="false">IF($C497="","",COUNTA($C$6:$C497))</f>
        <v/>
      </c>
      <c r="B497" s="17"/>
      <c r="C497" s="8"/>
      <c r="D497" s="8"/>
      <c r="E497" s="8"/>
      <c r="F497" s="8"/>
      <c r="G497" s="8"/>
      <c r="H497" s="8"/>
      <c r="I497" s="9"/>
      <c r="J497" s="10" t="str">
        <f aca="false">IF($H497="","",IFERROR(VLOOKUP($H497,'BẢNG GIÁ GỐC'!$A$5:$D$204,3,FALSE()),""))</f>
        <v/>
      </c>
      <c r="K497" s="9"/>
      <c r="L497" s="10" t="str">
        <f aca="false">IF($C497="","",N($I497)*N($K497))</f>
        <v/>
      </c>
      <c r="M497" s="8"/>
      <c r="N497" s="11" t="str">
        <f aca="false">IF($C497="","",IF($M497="VAT 5%",0.05,IF($M497="VAT 8%",0.08,IF($M497="VAT 10%",0.1,0))))</f>
        <v/>
      </c>
      <c r="O497" s="10" t="str">
        <f aca="false">IF($C497="","",$L497*$N497)</f>
        <v/>
      </c>
      <c r="P497" s="10" t="str">
        <f aca="false">IF($C497="","",$L497+$O497)</f>
        <v/>
      </c>
      <c r="Q497" s="9"/>
      <c r="R497" s="10" t="str">
        <f aca="false">IF($C497="","",MAX(0,$P497-N($Q497)))</f>
        <v/>
      </c>
      <c r="S497" s="19" t="str">
        <f aca="false">IF(OR($C497="",$P497=0),"",IF(N($Q497)&lt;=0,"Chưa thanh toán",IF(N($Q497)&lt;$P497,"Thanh toán một phần","Đã thanh toán")))</f>
        <v/>
      </c>
      <c r="T497" s="10" t="str">
        <f aca="false">IF(OR($C497="",$J497=""),"",N($I497)*$J497)</f>
        <v/>
      </c>
      <c r="U497" s="10" t="str">
        <f aca="false">IF(OR($C497="",$T497=""),"",$L497-$T497)</f>
        <v/>
      </c>
      <c r="V497" s="11" t="str">
        <f aca="false">IF(OR($U497="",$L497=0),"",$U497/$L497)</f>
        <v/>
      </c>
      <c r="W497" s="8"/>
      <c r="X497" s="19" t="str">
        <f aca="false">IF($C497="","",IF(AND($H497="",N($I497)=0,N($K497)=0),"Dòng chỉ lưu thông tin khách (chưa có đơn); ",IF($B497="","Thiếu ngày đặt; ","")&amp;IF($H497="","Thiếu tên sản phẩm; ",IF($J497="","Sản phẩm chưa có trong BẢNG GIÁ GỐC; ",""))&amp;IF(N($I497)&lt;=0,"Thiếu số lượng; ","")&amp;IF(N($K497)&lt;=0,"Thiếu giá bán; ","")&amp;IF(AND($N497&gt;0,$F497=""),"Khách lấy VAT thiếu mã số thuế; ","")&amp;IF(N($Q497)&gt;$P497,"Đã thu vượt tổng phải thu; ","")&amp;IF(AND($L497&gt;0,$U497&lt;0),"CẢNH BÁO: ĐƠN NÀY ĐANG LỖ; ","")))</f>
        <v/>
      </c>
      <c r="Y497" s="16" t="str">
        <f aca="false">IF(AND($C497&lt;&gt;"",$R497&gt;0),COUNTIFS($C$6:$C497,"&lt;&gt;",$R$6:$R497,"&gt;0"),"")</f>
        <v/>
      </c>
      <c r="Z497" s="16" t="str">
        <f aca="false">IF(AND($H497&lt;&gt;"",N($N497)&gt;0),COUNTIFS($H$6:$H497,"&lt;&gt;",$N$6:$N497,"&gt;0"),"")</f>
        <v/>
      </c>
      <c r="AA497" s="16" t="str">
        <f aca="false">IF(AND($H497&lt;&gt;"",N($N497)=0),COUNTIFS($H$6:$H497,"&lt;&gt;",$N$6:$N497,"&lt;=0"),"")</f>
        <v/>
      </c>
      <c r="AB497" s="16" t="str">
        <f aca="false">IF($C497="","",IF(COUNTIF($C$6:$C497,$C497)&gt;1,"",MAX($AB$5:AB496)+1))</f>
        <v/>
      </c>
      <c r="AC497" s="16" t="str">
        <f aca="false">IF($H497="","",IF(COUNTIF($H$6:$H497,$H497)&gt;1,"",MAX($AC$5:AC496)+1))</f>
        <v/>
      </c>
    </row>
    <row r="498" customFormat="false" ht="15" hidden="false" customHeight="false" outlineLevel="0" collapsed="false">
      <c r="A498" s="16" t="str">
        <f aca="false">IF($C498="","",COUNTA($C$6:$C498))</f>
        <v/>
      </c>
      <c r="B498" s="17"/>
      <c r="C498" s="8"/>
      <c r="D498" s="8"/>
      <c r="E498" s="8"/>
      <c r="F498" s="8"/>
      <c r="G498" s="8"/>
      <c r="H498" s="8"/>
      <c r="I498" s="9"/>
      <c r="J498" s="10" t="str">
        <f aca="false">IF($H498="","",IFERROR(VLOOKUP($H498,'BẢNG GIÁ GỐC'!$A$5:$D$204,3,FALSE()),""))</f>
        <v/>
      </c>
      <c r="K498" s="9"/>
      <c r="L498" s="10" t="str">
        <f aca="false">IF($C498="","",N($I498)*N($K498))</f>
        <v/>
      </c>
      <c r="M498" s="8"/>
      <c r="N498" s="11" t="str">
        <f aca="false">IF($C498="","",IF($M498="VAT 5%",0.05,IF($M498="VAT 8%",0.08,IF($M498="VAT 10%",0.1,0))))</f>
        <v/>
      </c>
      <c r="O498" s="10" t="str">
        <f aca="false">IF($C498="","",$L498*$N498)</f>
        <v/>
      </c>
      <c r="P498" s="10" t="str">
        <f aca="false">IF($C498="","",$L498+$O498)</f>
        <v/>
      </c>
      <c r="Q498" s="9"/>
      <c r="R498" s="10" t="str">
        <f aca="false">IF($C498="","",MAX(0,$P498-N($Q498)))</f>
        <v/>
      </c>
      <c r="S498" s="19" t="str">
        <f aca="false">IF(OR($C498="",$P498=0),"",IF(N($Q498)&lt;=0,"Chưa thanh toán",IF(N($Q498)&lt;$P498,"Thanh toán một phần","Đã thanh toán")))</f>
        <v/>
      </c>
      <c r="T498" s="10" t="str">
        <f aca="false">IF(OR($C498="",$J498=""),"",N($I498)*$J498)</f>
        <v/>
      </c>
      <c r="U498" s="10" t="str">
        <f aca="false">IF(OR($C498="",$T498=""),"",$L498-$T498)</f>
        <v/>
      </c>
      <c r="V498" s="11" t="str">
        <f aca="false">IF(OR($U498="",$L498=0),"",$U498/$L498)</f>
        <v/>
      </c>
      <c r="W498" s="8"/>
      <c r="X498" s="19" t="str">
        <f aca="false">IF($C498="","",IF(AND($H498="",N($I498)=0,N($K498)=0),"Dòng chỉ lưu thông tin khách (chưa có đơn); ",IF($B498="","Thiếu ngày đặt; ","")&amp;IF($H498="","Thiếu tên sản phẩm; ",IF($J498="","Sản phẩm chưa có trong BẢNG GIÁ GỐC; ",""))&amp;IF(N($I498)&lt;=0,"Thiếu số lượng; ","")&amp;IF(N($K498)&lt;=0,"Thiếu giá bán; ","")&amp;IF(AND($N498&gt;0,$F498=""),"Khách lấy VAT thiếu mã số thuế; ","")&amp;IF(N($Q498)&gt;$P498,"Đã thu vượt tổng phải thu; ","")&amp;IF(AND($L498&gt;0,$U498&lt;0),"CẢNH BÁO: ĐƠN NÀY ĐANG LỖ; ","")))</f>
        <v/>
      </c>
      <c r="Y498" s="16" t="str">
        <f aca="false">IF(AND($C498&lt;&gt;"",$R498&gt;0),COUNTIFS($C$6:$C498,"&lt;&gt;",$R$6:$R498,"&gt;0"),"")</f>
        <v/>
      </c>
      <c r="Z498" s="16" t="str">
        <f aca="false">IF(AND($H498&lt;&gt;"",N($N498)&gt;0),COUNTIFS($H$6:$H498,"&lt;&gt;",$N$6:$N498,"&gt;0"),"")</f>
        <v/>
      </c>
      <c r="AA498" s="16" t="str">
        <f aca="false">IF(AND($H498&lt;&gt;"",N($N498)=0),COUNTIFS($H$6:$H498,"&lt;&gt;",$N$6:$N498,"&lt;=0"),"")</f>
        <v/>
      </c>
      <c r="AB498" s="16" t="str">
        <f aca="false">IF($C498="","",IF(COUNTIF($C$6:$C498,$C498)&gt;1,"",MAX($AB$5:AB497)+1))</f>
        <v/>
      </c>
      <c r="AC498" s="16" t="str">
        <f aca="false">IF($H498="","",IF(COUNTIF($H$6:$H498,$H498)&gt;1,"",MAX($AC$5:AC497)+1))</f>
        <v/>
      </c>
    </row>
    <row r="499" customFormat="false" ht="15" hidden="false" customHeight="false" outlineLevel="0" collapsed="false">
      <c r="A499" s="16" t="str">
        <f aca="false">IF($C499="","",COUNTA($C$6:$C499))</f>
        <v/>
      </c>
      <c r="B499" s="17"/>
      <c r="C499" s="8"/>
      <c r="D499" s="8"/>
      <c r="E499" s="8"/>
      <c r="F499" s="8"/>
      <c r="G499" s="8"/>
      <c r="H499" s="8"/>
      <c r="I499" s="9"/>
      <c r="J499" s="10" t="str">
        <f aca="false">IF($H499="","",IFERROR(VLOOKUP($H499,'BẢNG GIÁ GỐC'!$A$5:$D$204,3,FALSE()),""))</f>
        <v/>
      </c>
      <c r="K499" s="9"/>
      <c r="L499" s="10" t="str">
        <f aca="false">IF($C499="","",N($I499)*N($K499))</f>
        <v/>
      </c>
      <c r="M499" s="8"/>
      <c r="N499" s="11" t="str">
        <f aca="false">IF($C499="","",IF($M499="VAT 5%",0.05,IF($M499="VAT 8%",0.08,IF($M499="VAT 10%",0.1,0))))</f>
        <v/>
      </c>
      <c r="O499" s="10" t="str">
        <f aca="false">IF($C499="","",$L499*$N499)</f>
        <v/>
      </c>
      <c r="P499" s="10" t="str">
        <f aca="false">IF($C499="","",$L499+$O499)</f>
        <v/>
      </c>
      <c r="Q499" s="9"/>
      <c r="R499" s="10" t="str">
        <f aca="false">IF($C499="","",MAX(0,$P499-N($Q499)))</f>
        <v/>
      </c>
      <c r="S499" s="19" t="str">
        <f aca="false">IF(OR($C499="",$P499=0),"",IF(N($Q499)&lt;=0,"Chưa thanh toán",IF(N($Q499)&lt;$P499,"Thanh toán một phần","Đã thanh toán")))</f>
        <v/>
      </c>
      <c r="T499" s="10" t="str">
        <f aca="false">IF(OR($C499="",$J499=""),"",N($I499)*$J499)</f>
        <v/>
      </c>
      <c r="U499" s="10" t="str">
        <f aca="false">IF(OR($C499="",$T499=""),"",$L499-$T499)</f>
        <v/>
      </c>
      <c r="V499" s="11" t="str">
        <f aca="false">IF(OR($U499="",$L499=0),"",$U499/$L499)</f>
        <v/>
      </c>
      <c r="W499" s="8"/>
      <c r="X499" s="19" t="str">
        <f aca="false">IF($C499="","",IF(AND($H499="",N($I499)=0,N($K499)=0),"Dòng chỉ lưu thông tin khách (chưa có đơn); ",IF($B499="","Thiếu ngày đặt; ","")&amp;IF($H499="","Thiếu tên sản phẩm; ",IF($J499="","Sản phẩm chưa có trong BẢNG GIÁ GỐC; ",""))&amp;IF(N($I499)&lt;=0,"Thiếu số lượng; ","")&amp;IF(N($K499)&lt;=0,"Thiếu giá bán; ","")&amp;IF(AND($N499&gt;0,$F499=""),"Khách lấy VAT thiếu mã số thuế; ","")&amp;IF(N($Q499)&gt;$P499,"Đã thu vượt tổng phải thu; ","")&amp;IF(AND($L499&gt;0,$U499&lt;0),"CẢNH BÁO: ĐƠN NÀY ĐANG LỖ; ","")))</f>
        <v/>
      </c>
      <c r="Y499" s="16" t="str">
        <f aca="false">IF(AND($C499&lt;&gt;"",$R499&gt;0),COUNTIFS($C$6:$C499,"&lt;&gt;",$R$6:$R499,"&gt;0"),"")</f>
        <v/>
      </c>
      <c r="Z499" s="16" t="str">
        <f aca="false">IF(AND($H499&lt;&gt;"",N($N499)&gt;0),COUNTIFS($H$6:$H499,"&lt;&gt;",$N$6:$N499,"&gt;0"),"")</f>
        <v/>
      </c>
      <c r="AA499" s="16" t="str">
        <f aca="false">IF(AND($H499&lt;&gt;"",N($N499)=0),COUNTIFS($H$6:$H499,"&lt;&gt;",$N$6:$N499,"&lt;=0"),"")</f>
        <v/>
      </c>
      <c r="AB499" s="16" t="str">
        <f aca="false">IF($C499="","",IF(COUNTIF($C$6:$C499,$C499)&gt;1,"",MAX($AB$5:AB498)+1))</f>
        <v/>
      </c>
      <c r="AC499" s="16" t="str">
        <f aca="false">IF($H499="","",IF(COUNTIF($H$6:$H499,$H499)&gt;1,"",MAX($AC$5:AC498)+1))</f>
        <v/>
      </c>
    </row>
    <row r="500" customFormat="false" ht="15" hidden="false" customHeight="false" outlineLevel="0" collapsed="false">
      <c r="A500" s="16" t="str">
        <f aca="false">IF($C500="","",COUNTA($C$6:$C500))</f>
        <v/>
      </c>
      <c r="B500" s="17"/>
      <c r="C500" s="8"/>
      <c r="D500" s="8"/>
      <c r="E500" s="8"/>
      <c r="F500" s="8"/>
      <c r="G500" s="8"/>
      <c r="H500" s="8"/>
      <c r="I500" s="9"/>
      <c r="J500" s="10" t="str">
        <f aca="false">IF($H500="","",IFERROR(VLOOKUP($H500,'BẢNG GIÁ GỐC'!$A$5:$D$204,3,FALSE()),""))</f>
        <v/>
      </c>
      <c r="K500" s="9"/>
      <c r="L500" s="10" t="str">
        <f aca="false">IF($C500="","",N($I500)*N($K500))</f>
        <v/>
      </c>
      <c r="M500" s="8"/>
      <c r="N500" s="11" t="str">
        <f aca="false">IF($C500="","",IF($M500="VAT 5%",0.05,IF($M500="VAT 8%",0.08,IF($M500="VAT 10%",0.1,0))))</f>
        <v/>
      </c>
      <c r="O500" s="10" t="str">
        <f aca="false">IF($C500="","",$L500*$N500)</f>
        <v/>
      </c>
      <c r="P500" s="10" t="str">
        <f aca="false">IF($C500="","",$L500+$O500)</f>
        <v/>
      </c>
      <c r="Q500" s="9"/>
      <c r="R500" s="10" t="str">
        <f aca="false">IF($C500="","",MAX(0,$P500-N($Q500)))</f>
        <v/>
      </c>
      <c r="S500" s="19" t="str">
        <f aca="false">IF(OR($C500="",$P500=0),"",IF(N($Q500)&lt;=0,"Chưa thanh toán",IF(N($Q500)&lt;$P500,"Thanh toán một phần","Đã thanh toán")))</f>
        <v/>
      </c>
      <c r="T500" s="10" t="str">
        <f aca="false">IF(OR($C500="",$J500=""),"",N($I500)*$J500)</f>
        <v/>
      </c>
      <c r="U500" s="10" t="str">
        <f aca="false">IF(OR($C500="",$T500=""),"",$L500-$T500)</f>
        <v/>
      </c>
      <c r="V500" s="11" t="str">
        <f aca="false">IF(OR($U500="",$L500=0),"",$U500/$L500)</f>
        <v/>
      </c>
      <c r="W500" s="8"/>
      <c r="X500" s="19" t="str">
        <f aca="false">IF($C500="","",IF(AND($H500="",N($I500)=0,N($K500)=0),"Dòng chỉ lưu thông tin khách (chưa có đơn); ",IF($B500="","Thiếu ngày đặt; ","")&amp;IF($H500="","Thiếu tên sản phẩm; ",IF($J500="","Sản phẩm chưa có trong BẢNG GIÁ GỐC; ",""))&amp;IF(N($I500)&lt;=0,"Thiếu số lượng; ","")&amp;IF(N($K500)&lt;=0,"Thiếu giá bán; ","")&amp;IF(AND($N500&gt;0,$F500=""),"Khách lấy VAT thiếu mã số thuế; ","")&amp;IF(N($Q500)&gt;$P500,"Đã thu vượt tổng phải thu; ","")&amp;IF(AND($L500&gt;0,$U500&lt;0),"CẢNH BÁO: ĐƠN NÀY ĐANG LỖ; ","")))</f>
        <v/>
      </c>
      <c r="Y500" s="16" t="str">
        <f aca="false">IF(AND($C500&lt;&gt;"",$R500&gt;0),COUNTIFS($C$6:$C500,"&lt;&gt;",$R$6:$R500,"&gt;0"),"")</f>
        <v/>
      </c>
      <c r="Z500" s="16" t="str">
        <f aca="false">IF(AND($H500&lt;&gt;"",N($N500)&gt;0),COUNTIFS($H$6:$H500,"&lt;&gt;",$N$6:$N500,"&gt;0"),"")</f>
        <v/>
      </c>
      <c r="AA500" s="16" t="str">
        <f aca="false">IF(AND($H500&lt;&gt;"",N($N500)=0),COUNTIFS($H$6:$H500,"&lt;&gt;",$N$6:$N500,"&lt;=0"),"")</f>
        <v/>
      </c>
      <c r="AB500" s="16" t="str">
        <f aca="false">IF($C500="","",IF(COUNTIF($C$6:$C500,$C500)&gt;1,"",MAX($AB$5:AB499)+1))</f>
        <v/>
      </c>
      <c r="AC500" s="16" t="str">
        <f aca="false">IF($H500="","",IF(COUNTIF($H$6:$H500,$H500)&gt;1,"",MAX($AC$5:AC499)+1))</f>
        <v/>
      </c>
    </row>
    <row r="501" customFormat="false" ht="15" hidden="false" customHeight="false" outlineLevel="0" collapsed="false">
      <c r="A501" s="16" t="str">
        <f aca="false">IF($C501="","",COUNTA($C$6:$C501))</f>
        <v/>
      </c>
      <c r="B501" s="17"/>
      <c r="C501" s="8"/>
      <c r="D501" s="8"/>
      <c r="E501" s="8"/>
      <c r="F501" s="8"/>
      <c r="G501" s="8"/>
      <c r="H501" s="8"/>
      <c r="I501" s="9"/>
      <c r="J501" s="10" t="str">
        <f aca="false">IF($H501="","",IFERROR(VLOOKUP($H501,'BẢNG GIÁ GỐC'!$A$5:$D$204,3,FALSE()),""))</f>
        <v/>
      </c>
      <c r="K501" s="9"/>
      <c r="L501" s="10" t="str">
        <f aca="false">IF($C501="","",N($I501)*N($K501))</f>
        <v/>
      </c>
      <c r="M501" s="8"/>
      <c r="N501" s="11" t="str">
        <f aca="false">IF($C501="","",IF($M501="VAT 5%",0.05,IF($M501="VAT 8%",0.08,IF($M501="VAT 10%",0.1,0))))</f>
        <v/>
      </c>
      <c r="O501" s="10" t="str">
        <f aca="false">IF($C501="","",$L501*$N501)</f>
        <v/>
      </c>
      <c r="P501" s="10" t="str">
        <f aca="false">IF($C501="","",$L501+$O501)</f>
        <v/>
      </c>
      <c r="Q501" s="9"/>
      <c r="R501" s="10" t="str">
        <f aca="false">IF($C501="","",MAX(0,$P501-N($Q501)))</f>
        <v/>
      </c>
      <c r="S501" s="19" t="str">
        <f aca="false">IF(OR($C501="",$P501=0),"",IF(N($Q501)&lt;=0,"Chưa thanh toán",IF(N($Q501)&lt;$P501,"Thanh toán một phần","Đã thanh toán")))</f>
        <v/>
      </c>
      <c r="T501" s="10" t="str">
        <f aca="false">IF(OR($C501="",$J501=""),"",N($I501)*$J501)</f>
        <v/>
      </c>
      <c r="U501" s="10" t="str">
        <f aca="false">IF(OR($C501="",$T501=""),"",$L501-$T501)</f>
        <v/>
      </c>
      <c r="V501" s="11" t="str">
        <f aca="false">IF(OR($U501="",$L501=0),"",$U501/$L501)</f>
        <v/>
      </c>
      <c r="W501" s="8"/>
      <c r="X501" s="19" t="str">
        <f aca="false">IF($C501="","",IF(AND($H501="",N($I501)=0,N($K501)=0),"Dòng chỉ lưu thông tin khách (chưa có đơn); ",IF($B501="","Thiếu ngày đặt; ","")&amp;IF($H501="","Thiếu tên sản phẩm; ",IF($J501="","Sản phẩm chưa có trong BẢNG GIÁ GỐC; ",""))&amp;IF(N($I501)&lt;=0,"Thiếu số lượng; ","")&amp;IF(N($K501)&lt;=0,"Thiếu giá bán; ","")&amp;IF(AND($N501&gt;0,$F501=""),"Khách lấy VAT thiếu mã số thuế; ","")&amp;IF(N($Q501)&gt;$P501,"Đã thu vượt tổng phải thu; ","")&amp;IF(AND($L501&gt;0,$U501&lt;0),"CẢNH BÁO: ĐƠN NÀY ĐANG LỖ; ","")))</f>
        <v/>
      </c>
      <c r="Y501" s="16" t="str">
        <f aca="false">IF(AND($C501&lt;&gt;"",$R501&gt;0),COUNTIFS($C$6:$C501,"&lt;&gt;",$R$6:$R501,"&gt;0"),"")</f>
        <v/>
      </c>
      <c r="Z501" s="16" t="str">
        <f aca="false">IF(AND($H501&lt;&gt;"",N($N501)&gt;0),COUNTIFS($H$6:$H501,"&lt;&gt;",$N$6:$N501,"&gt;0"),"")</f>
        <v/>
      </c>
      <c r="AA501" s="16" t="str">
        <f aca="false">IF(AND($H501&lt;&gt;"",N($N501)=0),COUNTIFS($H$6:$H501,"&lt;&gt;",$N$6:$N501,"&lt;=0"),"")</f>
        <v/>
      </c>
      <c r="AB501" s="16" t="str">
        <f aca="false">IF($C501="","",IF(COUNTIF($C$6:$C501,$C501)&gt;1,"",MAX($AB$5:AB500)+1))</f>
        <v/>
      </c>
      <c r="AC501" s="16" t="str">
        <f aca="false">IF($H501="","",IF(COUNTIF($H$6:$H501,$H501)&gt;1,"",MAX($AC$5:AC500)+1))</f>
        <v/>
      </c>
    </row>
    <row r="502" customFormat="false" ht="15" hidden="false" customHeight="false" outlineLevel="0" collapsed="false">
      <c r="A502" s="16" t="str">
        <f aca="false">IF($C502="","",COUNTA($C$6:$C502))</f>
        <v/>
      </c>
      <c r="B502" s="17"/>
      <c r="C502" s="8"/>
      <c r="D502" s="8"/>
      <c r="E502" s="8"/>
      <c r="F502" s="8"/>
      <c r="G502" s="8"/>
      <c r="H502" s="8"/>
      <c r="I502" s="9"/>
      <c r="J502" s="10" t="str">
        <f aca="false">IF($H502="","",IFERROR(VLOOKUP($H502,'BẢNG GIÁ GỐC'!$A$5:$D$204,3,FALSE()),""))</f>
        <v/>
      </c>
      <c r="K502" s="9"/>
      <c r="L502" s="10" t="str">
        <f aca="false">IF($C502="","",N($I502)*N($K502))</f>
        <v/>
      </c>
      <c r="M502" s="8"/>
      <c r="N502" s="11" t="str">
        <f aca="false">IF($C502="","",IF($M502="VAT 5%",0.05,IF($M502="VAT 8%",0.08,IF($M502="VAT 10%",0.1,0))))</f>
        <v/>
      </c>
      <c r="O502" s="10" t="str">
        <f aca="false">IF($C502="","",$L502*$N502)</f>
        <v/>
      </c>
      <c r="P502" s="10" t="str">
        <f aca="false">IF($C502="","",$L502+$O502)</f>
        <v/>
      </c>
      <c r="Q502" s="9"/>
      <c r="R502" s="10" t="str">
        <f aca="false">IF($C502="","",MAX(0,$P502-N($Q502)))</f>
        <v/>
      </c>
      <c r="S502" s="19" t="str">
        <f aca="false">IF(OR($C502="",$P502=0),"",IF(N($Q502)&lt;=0,"Chưa thanh toán",IF(N($Q502)&lt;$P502,"Thanh toán một phần","Đã thanh toán")))</f>
        <v/>
      </c>
      <c r="T502" s="10" t="str">
        <f aca="false">IF(OR($C502="",$J502=""),"",N($I502)*$J502)</f>
        <v/>
      </c>
      <c r="U502" s="10" t="str">
        <f aca="false">IF(OR($C502="",$T502=""),"",$L502-$T502)</f>
        <v/>
      </c>
      <c r="V502" s="11" t="str">
        <f aca="false">IF(OR($U502="",$L502=0),"",$U502/$L502)</f>
        <v/>
      </c>
      <c r="W502" s="8"/>
      <c r="X502" s="19" t="str">
        <f aca="false">IF($C502="","",IF(AND($H502="",N($I502)=0,N($K502)=0),"Dòng chỉ lưu thông tin khách (chưa có đơn); ",IF($B502="","Thiếu ngày đặt; ","")&amp;IF($H502="","Thiếu tên sản phẩm; ",IF($J502="","Sản phẩm chưa có trong BẢNG GIÁ GỐC; ",""))&amp;IF(N($I502)&lt;=0,"Thiếu số lượng; ","")&amp;IF(N($K502)&lt;=0,"Thiếu giá bán; ","")&amp;IF(AND($N502&gt;0,$F502=""),"Khách lấy VAT thiếu mã số thuế; ","")&amp;IF(N($Q502)&gt;$P502,"Đã thu vượt tổng phải thu; ","")&amp;IF(AND($L502&gt;0,$U502&lt;0),"CẢNH BÁO: ĐƠN NÀY ĐANG LỖ; ","")))</f>
        <v/>
      </c>
      <c r="Y502" s="16" t="str">
        <f aca="false">IF(AND($C502&lt;&gt;"",$R502&gt;0),COUNTIFS($C$6:$C502,"&lt;&gt;",$R$6:$R502,"&gt;0"),"")</f>
        <v/>
      </c>
      <c r="Z502" s="16" t="str">
        <f aca="false">IF(AND($H502&lt;&gt;"",N($N502)&gt;0),COUNTIFS($H$6:$H502,"&lt;&gt;",$N$6:$N502,"&gt;0"),"")</f>
        <v/>
      </c>
      <c r="AA502" s="16" t="str">
        <f aca="false">IF(AND($H502&lt;&gt;"",N($N502)=0),COUNTIFS($H$6:$H502,"&lt;&gt;",$N$6:$N502,"&lt;=0"),"")</f>
        <v/>
      </c>
      <c r="AB502" s="16" t="str">
        <f aca="false">IF($C502="","",IF(COUNTIF($C$6:$C502,$C502)&gt;1,"",MAX($AB$5:AB501)+1))</f>
        <v/>
      </c>
      <c r="AC502" s="16" t="str">
        <f aca="false">IF($H502="","",IF(COUNTIF($H$6:$H502,$H502)&gt;1,"",MAX($AC$5:AC501)+1))</f>
        <v/>
      </c>
    </row>
    <row r="503" customFormat="false" ht="15" hidden="false" customHeight="false" outlineLevel="0" collapsed="false">
      <c r="A503" s="16" t="str">
        <f aca="false">IF($C503="","",COUNTA($C$6:$C503))</f>
        <v/>
      </c>
      <c r="B503" s="17"/>
      <c r="C503" s="8"/>
      <c r="D503" s="8"/>
      <c r="E503" s="8"/>
      <c r="F503" s="8"/>
      <c r="G503" s="8"/>
      <c r="H503" s="8"/>
      <c r="I503" s="9"/>
      <c r="J503" s="10" t="str">
        <f aca="false">IF($H503="","",IFERROR(VLOOKUP($H503,'BẢNG GIÁ GỐC'!$A$5:$D$204,3,FALSE()),""))</f>
        <v/>
      </c>
      <c r="K503" s="9"/>
      <c r="L503" s="10" t="str">
        <f aca="false">IF($C503="","",N($I503)*N($K503))</f>
        <v/>
      </c>
      <c r="M503" s="8"/>
      <c r="N503" s="11" t="str">
        <f aca="false">IF($C503="","",IF($M503="VAT 5%",0.05,IF($M503="VAT 8%",0.08,IF($M503="VAT 10%",0.1,0))))</f>
        <v/>
      </c>
      <c r="O503" s="10" t="str">
        <f aca="false">IF($C503="","",$L503*$N503)</f>
        <v/>
      </c>
      <c r="P503" s="10" t="str">
        <f aca="false">IF($C503="","",$L503+$O503)</f>
        <v/>
      </c>
      <c r="Q503" s="9"/>
      <c r="R503" s="10" t="str">
        <f aca="false">IF($C503="","",MAX(0,$P503-N($Q503)))</f>
        <v/>
      </c>
      <c r="S503" s="19" t="str">
        <f aca="false">IF(OR($C503="",$P503=0),"",IF(N($Q503)&lt;=0,"Chưa thanh toán",IF(N($Q503)&lt;$P503,"Thanh toán một phần","Đã thanh toán")))</f>
        <v/>
      </c>
      <c r="T503" s="10" t="str">
        <f aca="false">IF(OR($C503="",$J503=""),"",N($I503)*$J503)</f>
        <v/>
      </c>
      <c r="U503" s="10" t="str">
        <f aca="false">IF(OR($C503="",$T503=""),"",$L503-$T503)</f>
        <v/>
      </c>
      <c r="V503" s="11" t="str">
        <f aca="false">IF(OR($U503="",$L503=0),"",$U503/$L503)</f>
        <v/>
      </c>
      <c r="W503" s="8"/>
      <c r="X503" s="19" t="str">
        <f aca="false">IF($C503="","",IF(AND($H503="",N($I503)=0,N($K503)=0),"Dòng chỉ lưu thông tin khách (chưa có đơn); ",IF($B503="","Thiếu ngày đặt; ","")&amp;IF($H503="","Thiếu tên sản phẩm; ",IF($J503="","Sản phẩm chưa có trong BẢNG GIÁ GỐC; ",""))&amp;IF(N($I503)&lt;=0,"Thiếu số lượng; ","")&amp;IF(N($K503)&lt;=0,"Thiếu giá bán; ","")&amp;IF(AND($N503&gt;0,$F503=""),"Khách lấy VAT thiếu mã số thuế; ","")&amp;IF(N($Q503)&gt;$P503,"Đã thu vượt tổng phải thu; ","")&amp;IF(AND($L503&gt;0,$U503&lt;0),"CẢNH BÁO: ĐƠN NÀY ĐANG LỖ; ","")))</f>
        <v/>
      </c>
      <c r="Y503" s="16" t="str">
        <f aca="false">IF(AND($C503&lt;&gt;"",$R503&gt;0),COUNTIFS($C$6:$C503,"&lt;&gt;",$R$6:$R503,"&gt;0"),"")</f>
        <v/>
      </c>
      <c r="Z503" s="16" t="str">
        <f aca="false">IF(AND($H503&lt;&gt;"",N($N503)&gt;0),COUNTIFS($H$6:$H503,"&lt;&gt;",$N$6:$N503,"&gt;0"),"")</f>
        <v/>
      </c>
      <c r="AA503" s="16" t="str">
        <f aca="false">IF(AND($H503&lt;&gt;"",N($N503)=0),COUNTIFS($H$6:$H503,"&lt;&gt;",$N$6:$N503,"&lt;=0"),"")</f>
        <v/>
      </c>
      <c r="AB503" s="16" t="str">
        <f aca="false">IF($C503="","",IF(COUNTIF($C$6:$C503,$C503)&gt;1,"",MAX($AB$5:AB502)+1))</f>
        <v/>
      </c>
      <c r="AC503" s="16" t="str">
        <f aca="false">IF($H503="","",IF(COUNTIF($H$6:$H503,$H503)&gt;1,"",MAX($AC$5:AC502)+1))</f>
        <v/>
      </c>
    </row>
    <row r="504" customFormat="false" ht="15" hidden="false" customHeight="false" outlineLevel="0" collapsed="false">
      <c r="A504" s="16" t="str">
        <f aca="false">IF($C504="","",COUNTA($C$6:$C504))</f>
        <v/>
      </c>
      <c r="B504" s="17"/>
      <c r="C504" s="8"/>
      <c r="D504" s="8"/>
      <c r="E504" s="8"/>
      <c r="F504" s="8"/>
      <c r="G504" s="8"/>
      <c r="H504" s="8"/>
      <c r="I504" s="9"/>
      <c r="J504" s="10" t="str">
        <f aca="false">IF($H504="","",IFERROR(VLOOKUP($H504,'BẢNG GIÁ GỐC'!$A$5:$D$204,3,FALSE()),""))</f>
        <v/>
      </c>
      <c r="K504" s="9"/>
      <c r="L504" s="10" t="str">
        <f aca="false">IF($C504="","",N($I504)*N($K504))</f>
        <v/>
      </c>
      <c r="M504" s="8"/>
      <c r="N504" s="11" t="str">
        <f aca="false">IF($C504="","",IF($M504="VAT 5%",0.05,IF($M504="VAT 8%",0.08,IF($M504="VAT 10%",0.1,0))))</f>
        <v/>
      </c>
      <c r="O504" s="10" t="str">
        <f aca="false">IF($C504="","",$L504*$N504)</f>
        <v/>
      </c>
      <c r="P504" s="10" t="str">
        <f aca="false">IF($C504="","",$L504+$O504)</f>
        <v/>
      </c>
      <c r="Q504" s="9"/>
      <c r="R504" s="10" t="str">
        <f aca="false">IF($C504="","",MAX(0,$P504-N($Q504)))</f>
        <v/>
      </c>
      <c r="S504" s="19" t="str">
        <f aca="false">IF(OR($C504="",$P504=0),"",IF(N($Q504)&lt;=0,"Chưa thanh toán",IF(N($Q504)&lt;$P504,"Thanh toán một phần","Đã thanh toán")))</f>
        <v/>
      </c>
      <c r="T504" s="10" t="str">
        <f aca="false">IF(OR($C504="",$J504=""),"",N($I504)*$J504)</f>
        <v/>
      </c>
      <c r="U504" s="10" t="str">
        <f aca="false">IF(OR($C504="",$T504=""),"",$L504-$T504)</f>
        <v/>
      </c>
      <c r="V504" s="11" t="str">
        <f aca="false">IF(OR($U504="",$L504=0),"",$U504/$L504)</f>
        <v/>
      </c>
      <c r="W504" s="8"/>
      <c r="X504" s="19" t="str">
        <f aca="false">IF($C504="","",IF(AND($H504="",N($I504)=0,N($K504)=0),"Dòng chỉ lưu thông tin khách (chưa có đơn); ",IF($B504="","Thiếu ngày đặt; ","")&amp;IF($H504="","Thiếu tên sản phẩm; ",IF($J504="","Sản phẩm chưa có trong BẢNG GIÁ GỐC; ",""))&amp;IF(N($I504)&lt;=0,"Thiếu số lượng; ","")&amp;IF(N($K504)&lt;=0,"Thiếu giá bán; ","")&amp;IF(AND($N504&gt;0,$F504=""),"Khách lấy VAT thiếu mã số thuế; ","")&amp;IF(N($Q504)&gt;$P504,"Đã thu vượt tổng phải thu; ","")&amp;IF(AND($L504&gt;0,$U504&lt;0),"CẢNH BÁO: ĐƠN NÀY ĐANG LỖ; ","")))</f>
        <v/>
      </c>
      <c r="Y504" s="16" t="str">
        <f aca="false">IF(AND($C504&lt;&gt;"",$R504&gt;0),COUNTIFS($C$6:$C504,"&lt;&gt;",$R$6:$R504,"&gt;0"),"")</f>
        <v/>
      </c>
      <c r="Z504" s="16" t="str">
        <f aca="false">IF(AND($H504&lt;&gt;"",N($N504)&gt;0),COUNTIFS($H$6:$H504,"&lt;&gt;",$N$6:$N504,"&gt;0"),"")</f>
        <v/>
      </c>
      <c r="AA504" s="16" t="str">
        <f aca="false">IF(AND($H504&lt;&gt;"",N($N504)=0),COUNTIFS($H$6:$H504,"&lt;&gt;",$N$6:$N504,"&lt;=0"),"")</f>
        <v/>
      </c>
      <c r="AB504" s="16" t="str">
        <f aca="false">IF($C504="","",IF(COUNTIF($C$6:$C504,$C504)&gt;1,"",MAX($AB$5:AB503)+1))</f>
        <v/>
      </c>
      <c r="AC504" s="16" t="str">
        <f aca="false">IF($H504="","",IF(COUNTIF($H$6:$H504,$H504)&gt;1,"",MAX($AC$5:AC503)+1))</f>
        <v/>
      </c>
    </row>
    <row r="505" customFormat="false" ht="15" hidden="false" customHeight="false" outlineLevel="0" collapsed="false">
      <c r="A505" s="16" t="str">
        <f aca="false">IF($C505="","",COUNTA($C$6:$C505))</f>
        <v/>
      </c>
      <c r="B505" s="17"/>
      <c r="C505" s="8"/>
      <c r="D505" s="8"/>
      <c r="E505" s="8"/>
      <c r="F505" s="8"/>
      <c r="G505" s="8"/>
      <c r="H505" s="8"/>
      <c r="I505" s="9"/>
      <c r="J505" s="10" t="str">
        <f aca="false">IF($H505="","",IFERROR(VLOOKUP($H505,'BẢNG GIÁ GỐC'!$A$5:$D$204,3,FALSE()),""))</f>
        <v/>
      </c>
      <c r="K505" s="9"/>
      <c r="L505" s="10" t="str">
        <f aca="false">IF($C505="","",N($I505)*N($K505))</f>
        <v/>
      </c>
      <c r="M505" s="8"/>
      <c r="N505" s="11" t="str">
        <f aca="false">IF($C505="","",IF($M505="VAT 5%",0.05,IF($M505="VAT 8%",0.08,IF($M505="VAT 10%",0.1,0))))</f>
        <v/>
      </c>
      <c r="O505" s="10" t="str">
        <f aca="false">IF($C505="","",$L505*$N505)</f>
        <v/>
      </c>
      <c r="P505" s="10" t="str">
        <f aca="false">IF($C505="","",$L505+$O505)</f>
        <v/>
      </c>
      <c r="Q505" s="9"/>
      <c r="R505" s="10" t="str">
        <f aca="false">IF($C505="","",MAX(0,$P505-N($Q505)))</f>
        <v/>
      </c>
      <c r="S505" s="19" t="str">
        <f aca="false">IF(OR($C505="",$P505=0),"",IF(N($Q505)&lt;=0,"Chưa thanh toán",IF(N($Q505)&lt;$P505,"Thanh toán một phần","Đã thanh toán")))</f>
        <v/>
      </c>
      <c r="T505" s="10" t="str">
        <f aca="false">IF(OR($C505="",$J505=""),"",N($I505)*$J505)</f>
        <v/>
      </c>
      <c r="U505" s="10" t="str">
        <f aca="false">IF(OR($C505="",$T505=""),"",$L505-$T505)</f>
        <v/>
      </c>
      <c r="V505" s="11" t="str">
        <f aca="false">IF(OR($U505="",$L505=0),"",$U505/$L505)</f>
        <v/>
      </c>
      <c r="W505" s="8"/>
      <c r="X505" s="19" t="str">
        <f aca="false">IF($C505="","",IF(AND($H505="",N($I505)=0,N($K505)=0),"Dòng chỉ lưu thông tin khách (chưa có đơn); ",IF($B505="","Thiếu ngày đặt; ","")&amp;IF($H505="","Thiếu tên sản phẩm; ",IF($J505="","Sản phẩm chưa có trong BẢNG GIÁ GỐC; ",""))&amp;IF(N($I505)&lt;=0,"Thiếu số lượng; ","")&amp;IF(N($K505)&lt;=0,"Thiếu giá bán; ","")&amp;IF(AND($N505&gt;0,$F505=""),"Khách lấy VAT thiếu mã số thuế; ","")&amp;IF(N($Q505)&gt;$P505,"Đã thu vượt tổng phải thu; ","")&amp;IF(AND($L505&gt;0,$U505&lt;0),"CẢNH BÁO: ĐƠN NÀY ĐANG LỖ; ","")))</f>
        <v/>
      </c>
      <c r="Y505" s="16" t="str">
        <f aca="false">IF(AND($C505&lt;&gt;"",$R505&gt;0),COUNTIFS($C$6:$C505,"&lt;&gt;",$R$6:$R505,"&gt;0"),"")</f>
        <v/>
      </c>
      <c r="Z505" s="16" t="str">
        <f aca="false">IF(AND($H505&lt;&gt;"",N($N505)&gt;0),COUNTIFS($H$6:$H505,"&lt;&gt;",$N$6:$N505,"&gt;0"),"")</f>
        <v/>
      </c>
      <c r="AA505" s="16" t="str">
        <f aca="false">IF(AND($H505&lt;&gt;"",N($N505)=0),COUNTIFS($H$6:$H505,"&lt;&gt;",$N$6:$N505,"&lt;=0"),"")</f>
        <v/>
      </c>
      <c r="AB505" s="16" t="str">
        <f aca="false">IF($C505="","",IF(COUNTIF($C$6:$C505,$C505)&gt;1,"",MAX($AB$5:AB504)+1))</f>
        <v/>
      </c>
      <c r="AC505" s="16" t="str">
        <f aca="false">IF($H505="","",IF(COUNTIF($H$6:$H505,$H505)&gt;1,"",MAX($AC$5:AC504)+1))</f>
        <v/>
      </c>
    </row>
  </sheetData>
  <autoFilter ref="A5:X505"/>
  <mergeCells count="2">
    <mergeCell ref="A1:AA1"/>
    <mergeCell ref="A2:AA2"/>
  </mergeCells>
  <conditionalFormatting sqref="R6:R505">
    <cfRule type="cellIs" priority="2" operator="greaterThan" aboveAverage="0" equalAverage="0" bottom="0" percent="0" rank="0" text="" dxfId="12">
      <formula>0</formula>
    </cfRule>
  </conditionalFormatting>
  <conditionalFormatting sqref="U6:U505">
    <cfRule type="cellIs" priority="3" operator="lessThan" aboveAverage="0" equalAverage="0" bottom="0" percent="0" rank="0" text="" dxfId="12">
      <formula>0</formula>
    </cfRule>
  </conditionalFormatting>
  <conditionalFormatting sqref="X6:X505">
    <cfRule type="expression" priority="4" aboveAverage="0" equalAverage="0" bottom="0" percent="0" rank="0" text="" dxfId="13">
      <formula>LEN($X6)&gt;0</formula>
    </cfRule>
  </conditionalFormatting>
  <conditionalFormatting sqref="S6:S505">
    <cfRule type="expression" priority="5" aboveAverage="0" equalAverage="0" bottom="0" percent="0" rank="0" text="" dxfId="14">
      <formula>$S6="Đã thanh toán"</formula>
    </cfRule>
  </conditionalFormatting>
  <dataValidations count="4">
    <dataValidation allowBlank="true" error="Hãy chọn sản phẩm có sẵn trong sheet BẢNG GIÁ GỐC (hoặc thêm sản phẩm đó vào BẢNG GIÁ GỐC trước)." errorStyle="stop" errorTitle="Sản phẩm chưa có trong bảng giá" operator="between" prompt="Chọn sản phẩm từ danh sách." showDropDown="false" showErrorMessage="false" showInputMessage="false" sqref="H6:H505" type="list">
      <formula1>DS_SANPHAM</formula1>
      <formula2>0</formula2>
    </dataValidation>
    <dataValidation allowBlank="true" errorStyle="stop" operator="between" prompt="Để trống hoặc chọn 'Không lấy VAT' nếu khách không lấy hóa đơn." showDropDown="false" showErrorMessage="false" showInputMessage="false" sqref="M6:M505" type="list">
      <formula1>"Không lấy VAT,VAT 5%,VAT 8%,VAT 10%"</formula1>
      <formula2>0</formula2>
    </dataValidation>
    <dataValidation allowBlank="true" error="Chỉ nhập số, không nhập chữ và không nhập số âm." errorStyle="stop" errorTitle="Số không hợp lệ" operator="greaterThanOrEqual" showDropDown="false" showErrorMessage="false" showInputMessage="false" sqref="I6:I505 K6:K505 Q6:Q505" type="decimal">
      <formula1>0</formula1>
      <formula2>0</formula2>
    </dataValidation>
    <dataValidation allowBlank="true" error="Nhập ngày theo dạng dd/mm/yyyy." errorStyle="stop" errorTitle="Ngày không hợp lệ" operator="between" showDropDown="false" showErrorMessage="false" showInputMessage="false" sqref="B6:B505" type="date">
      <formula1>DATE(2020,1,1)</formula1>
      <formula2>DATE(2100,12,31)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M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7"/>
    <col collapsed="false" customWidth="true" hidden="false" outlineLevel="0" max="9" min="6" style="0" width="15"/>
    <col collapsed="false" customWidth="true" hidden="false" outlineLevel="0" max="10" min="10" style="0" width="10"/>
    <col collapsed="false" customWidth="true" hidden="true" outlineLevel="0" max="13" min="13" style="0" width="13"/>
  </cols>
  <sheetData>
    <row r="1" customFormat="false" ht="30" hidden="false" customHeight="true" outlineLevel="0" collapsed="false">
      <c r="A1" s="1" t="s">
        <v>137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138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0" t="s">
        <v>139</v>
      </c>
      <c r="B3" s="21" t="n">
        <v>2026</v>
      </c>
      <c r="C3" s="22" t="s">
        <v>140</v>
      </c>
    </row>
    <row r="5" customFormat="false" ht="33.75" hidden="false" customHeight="true" outlineLevel="0" collapsed="false">
      <c r="A5" s="7" t="s">
        <v>141</v>
      </c>
      <c r="B5" s="7" t="s">
        <v>84</v>
      </c>
      <c r="C5" s="7" t="s">
        <v>85</v>
      </c>
      <c r="D5" s="7" t="s">
        <v>103</v>
      </c>
      <c r="E5" s="7" t="s">
        <v>88</v>
      </c>
      <c r="F5" s="7" t="s">
        <v>89</v>
      </c>
      <c r="G5" s="7" t="s">
        <v>90</v>
      </c>
      <c r="H5" s="7" t="s">
        <v>86</v>
      </c>
      <c r="I5" s="7" t="s">
        <v>87</v>
      </c>
      <c r="J5" s="7" t="s">
        <v>34</v>
      </c>
    </row>
    <row r="6" customFormat="false" ht="15" hidden="false" customHeight="false" outlineLevel="0" collapsed="false">
      <c r="A6" s="23" t="n">
        <f aca="false">DATE($B$3,$M6,1)</f>
        <v>46023</v>
      </c>
      <c r="B6" s="10" t="n">
        <f aca="false">COUNTIFS('NHẬP ĐƠN HÀNG'!$B$6:$B$505,"&gt;="&amp;$A6,'NHẬP ĐƠN HÀNG'!$B$6:$B$505,"&lt;"&amp;DATE($B$3,$M6+1,1),'NHẬP ĐƠN HÀNG'!$C$6:$C$505,"&lt;&gt;")</f>
        <v>0</v>
      </c>
      <c r="C6" s="10" t="n">
        <f aca="false">SUMIFS('NHẬP ĐƠN HÀNG'!$L$6:$L$505,'NHẬP ĐƠN HÀNG'!$B$6:$B$505,"&gt;="&amp;$A6,'NHẬP ĐƠN HÀNG'!$B$6:$B$505,"&lt;"&amp;DATE($B$3,$M6+1,1))</f>
        <v>0</v>
      </c>
      <c r="D6" s="10" t="n">
        <f aca="false">SUMIFS('NHẬP ĐƠN HÀNG'!$O$6:$O$505,'NHẬP ĐƠN HÀNG'!$B$6:$B$505,"&gt;="&amp;$A6,'NHẬP ĐƠN HÀNG'!$B$6:$B$505,"&lt;"&amp;DATE($B$3,$M6+1,1))</f>
        <v>0</v>
      </c>
      <c r="E6" s="10" t="n">
        <f aca="false">SUMIFS('NHẬP ĐƠN HÀNG'!$P$6:$P$505,'NHẬP ĐƠN HÀNG'!$B$6:$B$505,"&gt;="&amp;$A6,'NHẬP ĐƠN HÀNG'!$B$6:$B$505,"&lt;"&amp;DATE($B$3,$M6+1,1))</f>
        <v>0</v>
      </c>
      <c r="F6" s="10" t="n">
        <f aca="false">SUMIFS('NHẬP ĐƠN HÀNG'!$Q$6:$Q$505,'NHẬP ĐƠN HÀNG'!$B$6:$B$505,"&gt;="&amp;$A6,'NHẬP ĐƠN HÀNG'!$B$6:$B$505,"&lt;"&amp;DATE($B$3,$M6+1,1))</f>
        <v>0</v>
      </c>
      <c r="G6" s="10" t="n">
        <f aca="false">SUMIFS('NHẬP ĐƠN HÀNG'!$R$6:$R$505,'NHẬP ĐƠN HÀNG'!$B$6:$B$505,"&gt;="&amp;$A6,'NHẬP ĐƠN HÀNG'!$B$6:$B$505,"&lt;"&amp;DATE($B$3,$M6+1,1))</f>
        <v>0</v>
      </c>
      <c r="H6" s="10" t="n">
        <f aca="false">SUMIFS('NHẬP ĐƠN HÀNG'!$T$6:$T$505,'NHẬP ĐƠN HÀNG'!$B$6:$B$505,"&gt;="&amp;$A6,'NHẬP ĐƠN HÀNG'!$B$6:$B$505,"&lt;"&amp;DATE($B$3,$M6+1,1))</f>
        <v>0</v>
      </c>
      <c r="I6" s="10" t="n">
        <f aca="false">SUMIFS('NHẬP ĐƠN HÀNG'!$U$6:$U$505,'NHẬP ĐƠN HÀNG'!$B$6:$B$505,"&gt;="&amp;$A6,'NHẬP ĐƠN HÀNG'!$B$6:$B$505,"&lt;"&amp;DATE($B$3,$M6+1,1))</f>
        <v>0</v>
      </c>
      <c r="J6" s="11" t="str">
        <f aca="false">IF($C6=0,"",$I6/$C6)</f>
        <v/>
      </c>
      <c r="M6" s="24" t="n">
        <v>1</v>
      </c>
    </row>
    <row r="7" customFormat="false" ht="15" hidden="false" customHeight="false" outlineLevel="0" collapsed="false">
      <c r="A7" s="23" t="n">
        <f aca="false">DATE($B$3,$M7,1)</f>
        <v>46054</v>
      </c>
      <c r="B7" s="10" t="n">
        <f aca="false">COUNTIFS('NHẬP ĐƠN HÀNG'!$B$6:$B$505,"&gt;="&amp;$A7,'NHẬP ĐƠN HÀNG'!$B$6:$B$505,"&lt;"&amp;DATE($B$3,$M7+1,1),'NHẬP ĐƠN HÀNG'!$C$6:$C$505,"&lt;&gt;")</f>
        <v>0</v>
      </c>
      <c r="C7" s="10" t="n">
        <f aca="false">SUMIFS('NHẬP ĐƠN HÀNG'!$L$6:$L$505,'NHẬP ĐƠN HÀNG'!$B$6:$B$505,"&gt;="&amp;$A7,'NHẬP ĐƠN HÀNG'!$B$6:$B$505,"&lt;"&amp;DATE($B$3,$M7+1,1))</f>
        <v>0</v>
      </c>
      <c r="D7" s="10" t="n">
        <f aca="false">SUMIFS('NHẬP ĐƠN HÀNG'!$O$6:$O$505,'NHẬP ĐƠN HÀNG'!$B$6:$B$505,"&gt;="&amp;$A7,'NHẬP ĐƠN HÀNG'!$B$6:$B$505,"&lt;"&amp;DATE($B$3,$M7+1,1))</f>
        <v>0</v>
      </c>
      <c r="E7" s="10" t="n">
        <f aca="false">SUMIFS('NHẬP ĐƠN HÀNG'!$P$6:$P$505,'NHẬP ĐƠN HÀNG'!$B$6:$B$505,"&gt;="&amp;$A7,'NHẬP ĐƠN HÀNG'!$B$6:$B$505,"&lt;"&amp;DATE($B$3,$M7+1,1))</f>
        <v>0</v>
      </c>
      <c r="F7" s="10" t="n">
        <f aca="false">SUMIFS('NHẬP ĐƠN HÀNG'!$Q$6:$Q$505,'NHẬP ĐƠN HÀNG'!$B$6:$B$505,"&gt;="&amp;$A7,'NHẬP ĐƠN HÀNG'!$B$6:$B$505,"&lt;"&amp;DATE($B$3,$M7+1,1))</f>
        <v>0</v>
      </c>
      <c r="G7" s="10" t="n">
        <f aca="false">SUMIFS('NHẬP ĐƠN HÀNG'!$R$6:$R$505,'NHẬP ĐƠN HÀNG'!$B$6:$B$505,"&gt;="&amp;$A7,'NHẬP ĐƠN HÀNG'!$B$6:$B$505,"&lt;"&amp;DATE($B$3,$M7+1,1))</f>
        <v>0</v>
      </c>
      <c r="H7" s="10" t="n">
        <f aca="false">SUMIFS('NHẬP ĐƠN HÀNG'!$T$6:$T$505,'NHẬP ĐƠN HÀNG'!$B$6:$B$505,"&gt;="&amp;$A7,'NHẬP ĐƠN HÀNG'!$B$6:$B$505,"&lt;"&amp;DATE($B$3,$M7+1,1))</f>
        <v>0</v>
      </c>
      <c r="I7" s="10" t="n">
        <f aca="false">SUMIFS('NHẬP ĐƠN HÀNG'!$U$6:$U$505,'NHẬP ĐƠN HÀNG'!$B$6:$B$505,"&gt;="&amp;$A7,'NHẬP ĐƠN HÀNG'!$B$6:$B$505,"&lt;"&amp;DATE($B$3,$M7+1,1))</f>
        <v>0</v>
      </c>
      <c r="J7" s="11" t="str">
        <f aca="false">IF($C7=0,"",$I7/$C7)</f>
        <v/>
      </c>
      <c r="M7" s="24" t="n">
        <v>2</v>
      </c>
    </row>
    <row r="8" customFormat="false" ht="15" hidden="false" customHeight="false" outlineLevel="0" collapsed="false">
      <c r="A8" s="23" t="n">
        <f aca="false">DATE($B$3,$M8,1)</f>
        <v>46082</v>
      </c>
      <c r="B8" s="10" t="n">
        <f aca="false">COUNTIFS('NHẬP ĐƠN HÀNG'!$B$6:$B$505,"&gt;="&amp;$A8,'NHẬP ĐƠN HÀNG'!$B$6:$B$505,"&lt;"&amp;DATE($B$3,$M8+1,1),'NHẬP ĐƠN HÀNG'!$C$6:$C$505,"&lt;&gt;")</f>
        <v>0</v>
      </c>
      <c r="C8" s="10" t="n">
        <f aca="false">SUMIFS('NHẬP ĐƠN HÀNG'!$L$6:$L$505,'NHẬP ĐƠN HÀNG'!$B$6:$B$505,"&gt;="&amp;$A8,'NHẬP ĐƠN HÀNG'!$B$6:$B$505,"&lt;"&amp;DATE($B$3,$M8+1,1))</f>
        <v>0</v>
      </c>
      <c r="D8" s="10" t="n">
        <f aca="false">SUMIFS('NHẬP ĐƠN HÀNG'!$O$6:$O$505,'NHẬP ĐƠN HÀNG'!$B$6:$B$505,"&gt;="&amp;$A8,'NHẬP ĐƠN HÀNG'!$B$6:$B$505,"&lt;"&amp;DATE($B$3,$M8+1,1))</f>
        <v>0</v>
      </c>
      <c r="E8" s="10" t="n">
        <f aca="false">SUMIFS('NHẬP ĐƠN HÀNG'!$P$6:$P$505,'NHẬP ĐƠN HÀNG'!$B$6:$B$505,"&gt;="&amp;$A8,'NHẬP ĐƠN HÀNG'!$B$6:$B$505,"&lt;"&amp;DATE($B$3,$M8+1,1))</f>
        <v>0</v>
      </c>
      <c r="F8" s="10" t="n">
        <f aca="false">SUMIFS('NHẬP ĐƠN HÀNG'!$Q$6:$Q$505,'NHẬP ĐƠN HÀNG'!$B$6:$B$505,"&gt;="&amp;$A8,'NHẬP ĐƠN HÀNG'!$B$6:$B$505,"&lt;"&amp;DATE($B$3,$M8+1,1))</f>
        <v>0</v>
      </c>
      <c r="G8" s="10" t="n">
        <f aca="false">SUMIFS('NHẬP ĐƠN HÀNG'!$R$6:$R$505,'NHẬP ĐƠN HÀNG'!$B$6:$B$505,"&gt;="&amp;$A8,'NHẬP ĐƠN HÀNG'!$B$6:$B$505,"&lt;"&amp;DATE($B$3,$M8+1,1))</f>
        <v>0</v>
      </c>
      <c r="H8" s="10" t="n">
        <f aca="false">SUMIFS('NHẬP ĐƠN HÀNG'!$T$6:$T$505,'NHẬP ĐƠN HÀNG'!$B$6:$B$505,"&gt;="&amp;$A8,'NHẬP ĐƠN HÀNG'!$B$6:$B$505,"&lt;"&amp;DATE($B$3,$M8+1,1))</f>
        <v>0</v>
      </c>
      <c r="I8" s="10" t="n">
        <f aca="false">SUMIFS('NHẬP ĐƠN HÀNG'!$U$6:$U$505,'NHẬP ĐƠN HÀNG'!$B$6:$B$505,"&gt;="&amp;$A8,'NHẬP ĐƠN HÀNG'!$B$6:$B$505,"&lt;"&amp;DATE($B$3,$M8+1,1))</f>
        <v>0</v>
      </c>
      <c r="J8" s="11" t="str">
        <f aca="false">IF($C8=0,"",$I8/$C8)</f>
        <v/>
      </c>
      <c r="M8" s="24" t="n">
        <v>3</v>
      </c>
    </row>
    <row r="9" customFormat="false" ht="15" hidden="false" customHeight="false" outlineLevel="0" collapsed="false">
      <c r="A9" s="23" t="n">
        <f aca="false">DATE($B$3,$M9,1)</f>
        <v>46113</v>
      </c>
      <c r="B9" s="10" t="n">
        <f aca="false">COUNTIFS('NHẬP ĐƠN HÀNG'!$B$6:$B$505,"&gt;="&amp;$A9,'NHẬP ĐƠN HÀNG'!$B$6:$B$505,"&lt;"&amp;DATE($B$3,$M9+1,1),'NHẬP ĐƠN HÀNG'!$C$6:$C$505,"&lt;&gt;")</f>
        <v>0</v>
      </c>
      <c r="C9" s="10" t="n">
        <f aca="false">SUMIFS('NHẬP ĐƠN HÀNG'!$L$6:$L$505,'NHẬP ĐƠN HÀNG'!$B$6:$B$505,"&gt;="&amp;$A9,'NHẬP ĐƠN HÀNG'!$B$6:$B$505,"&lt;"&amp;DATE($B$3,$M9+1,1))</f>
        <v>0</v>
      </c>
      <c r="D9" s="10" t="n">
        <f aca="false">SUMIFS('NHẬP ĐƠN HÀNG'!$O$6:$O$505,'NHẬP ĐƠN HÀNG'!$B$6:$B$505,"&gt;="&amp;$A9,'NHẬP ĐƠN HÀNG'!$B$6:$B$505,"&lt;"&amp;DATE($B$3,$M9+1,1))</f>
        <v>0</v>
      </c>
      <c r="E9" s="10" t="n">
        <f aca="false">SUMIFS('NHẬP ĐƠN HÀNG'!$P$6:$P$505,'NHẬP ĐƠN HÀNG'!$B$6:$B$505,"&gt;="&amp;$A9,'NHẬP ĐƠN HÀNG'!$B$6:$B$505,"&lt;"&amp;DATE($B$3,$M9+1,1))</f>
        <v>0</v>
      </c>
      <c r="F9" s="10" t="n">
        <f aca="false">SUMIFS('NHẬP ĐƠN HÀNG'!$Q$6:$Q$505,'NHẬP ĐƠN HÀNG'!$B$6:$B$505,"&gt;="&amp;$A9,'NHẬP ĐƠN HÀNG'!$B$6:$B$505,"&lt;"&amp;DATE($B$3,$M9+1,1))</f>
        <v>0</v>
      </c>
      <c r="G9" s="10" t="n">
        <f aca="false">SUMIFS('NHẬP ĐƠN HÀNG'!$R$6:$R$505,'NHẬP ĐƠN HÀNG'!$B$6:$B$505,"&gt;="&amp;$A9,'NHẬP ĐƠN HÀNG'!$B$6:$B$505,"&lt;"&amp;DATE($B$3,$M9+1,1))</f>
        <v>0</v>
      </c>
      <c r="H9" s="10" t="n">
        <f aca="false">SUMIFS('NHẬP ĐƠN HÀNG'!$T$6:$T$505,'NHẬP ĐƠN HÀNG'!$B$6:$B$505,"&gt;="&amp;$A9,'NHẬP ĐƠN HÀNG'!$B$6:$B$505,"&lt;"&amp;DATE($B$3,$M9+1,1))</f>
        <v>0</v>
      </c>
      <c r="I9" s="10" t="n">
        <f aca="false">SUMIFS('NHẬP ĐƠN HÀNG'!$U$6:$U$505,'NHẬP ĐƠN HÀNG'!$B$6:$B$505,"&gt;="&amp;$A9,'NHẬP ĐƠN HÀNG'!$B$6:$B$505,"&lt;"&amp;DATE($B$3,$M9+1,1))</f>
        <v>0</v>
      </c>
      <c r="J9" s="11" t="str">
        <f aca="false">IF($C9=0,"",$I9/$C9)</f>
        <v/>
      </c>
      <c r="M9" s="24" t="n">
        <v>4</v>
      </c>
    </row>
    <row r="10" customFormat="false" ht="15" hidden="false" customHeight="false" outlineLevel="0" collapsed="false">
      <c r="A10" s="23" t="n">
        <f aca="false">DATE($B$3,$M10,1)</f>
        <v>46143</v>
      </c>
      <c r="B10" s="10" t="n">
        <f aca="false">COUNTIFS('NHẬP ĐƠN HÀNG'!$B$6:$B$505,"&gt;="&amp;$A10,'NHẬP ĐƠN HÀNG'!$B$6:$B$505,"&lt;"&amp;DATE($B$3,$M10+1,1),'NHẬP ĐƠN HÀNG'!$C$6:$C$505,"&lt;&gt;")</f>
        <v>0</v>
      </c>
      <c r="C10" s="10" t="n">
        <f aca="false">SUMIFS('NHẬP ĐƠN HÀNG'!$L$6:$L$505,'NHẬP ĐƠN HÀNG'!$B$6:$B$505,"&gt;="&amp;$A10,'NHẬP ĐƠN HÀNG'!$B$6:$B$505,"&lt;"&amp;DATE($B$3,$M10+1,1))</f>
        <v>0</v>
      </c>
      <c r="D10" s="10" t="n">
        <f aca="false">SUMIFS('NHẬP ĐƠN HÀNG'!$O$6:$O$505,'NHẬP ĐƠN HÀNG'!$B$6:$B$505,"&gt;="&amp;$A10,'NHẬP ĐƠN HÀNG'!$B$6:$B$505,"&lt;"&amp;DATE($B$3,$M10+1,1))</f>
        <v>0</v>
      </c>
      <c r="E10" s="10" t="n">
        <f aca="false">SUMIFS('NHẬP ĐƠN HÀNG'!$P$6:$P$505,'NHẬP ĐƠN HÀNG'!$B$6:$B$505,"&gt;="&amp;$A10,'NHẬP ĐƠN HÀNG'!$B$6:$B$505,"&lt;"&amp;DATE($B$3,$M10+1,1))</f>
        <v>0</v>
      </c>
      <c r="F10" s="10" t="n">
        <f aca="false">SUMIFS('NHẬP ĐƠN HÀNG'!$Q$6:$Q$505,'NHẬP ĐƠN HÀNG'!$B$6:$B$505,"&gt;="&amp;$A10,'NHẬP ĐƠN HÀNG'!$B$6:$B$505,"&lt;"&amp;DATE($B$3,$M10+1,1))</f>
        <v>0</v>
      </c>
      <c r="G10" s="10" t="n">
        <f aca="false">SUMIFS('NHẬP ĐƠN HÀNG'!$R$6:$R$505,'NHẬP ĐƠN HÀNG'!$B$6:$B$505,"&gt;="&amp;$A10,'NHẬP ĐƠN HÀNG'!$B$6:$B$505,"&lt;"&amp;DATE($B$3,$M10+1,1))</f>
        <v>0</v>
      </c>
      <c r="H10" s="10" t="n">
        <f aca="false">SUMIFS('NHẬP ĐƠN HÀNG'!$T$6:$T$505,'NHẬP ĐƠN HÀNG'!$B$6:$B$505,"&gt;="&amp;$A10,'NHẬP ĐƠN HÀNG'!$B$6:$B$505,"&lt;"&amp;DATE($B$3,$M10+1,1))</f>
        <v>0</v>
      </c>
      <c r="I10" s="10" t="n">
        <f aca="false">SUMIFS('NHẬP ĐƠN HÀNG'!$U$6:$U$505,'NHẬP ĐƠN HÀNG'!$B$6:$B$505,"&gt;="&amp;$A10,'NHẬP ĐƠN HÀNG'!$B$6:$B$505,"&lt;"&amp;DATE($B$3,$M10+1,1))</f>
        <v>0</v>
      </c>
      <c r="J10" s="11" t="str">
        <f aca="false">IF($C10=0,"",$I10/$C10)</f>
        <v/>
      </c>
      <c r="M10" s="24" t="n">
        <v>5</v>
      </c>
    </row>
    <row r="11" customFormat="false" ht="15" hidden="false" customHeight="false" outlineLevel="0" collapsed="false">
      <c r="A11" s="23" t="n">
        <f aca="false">DATE($B$3,$M11,1)</f>
        <v>46174</v>
      </c>
      <c r="B11" s="10" t="n">
        <f aca="false">COUNTIFS('NHẬP ĐƠN HÀNG'!$B$6:$B$505,"&gt;="&amp;$A11,'NHẬP ĐƠN HÀNG'!$B$6:$B$505,"&lt;"&amp;DATE($B$3,$M11+1,1),'NHẬP ĐƠN HÀNG'!$C$6:$C$505,"&lt;&gt;")</f>
        <v>0</v>
      </c>
      <c r="C11" s="10" t="n">
        <f aca="false">SUMIFS('NHẬP ĐƠN HÀNG'!$L$6:$L$505,'NHẬP ĐƠN HÀNG'!$B$6:$B$505,"&gt;="&amp;$A11,'NHẬP ĐƠN HÀNG'!$B$6:$B$505,"&lt;"&amp;DATE($B$3,$M11+1,1))</f>
        <v>0</v>
      </c>
      <c r="D11" s="10" t="n">
        <f aca="false">SUMIFS('NHẬP ĐƠN HÀNG'!$O$6:$O$505,'NHẬP ĐƠN HÀNG'!$B$6:$B$505,"&gt;="&amp;$A11,'NHẬP ĐƠN HÀNG'!$B$6:$B$505,"&lt;"&amp;DATE($B$3,$M11+1,1))</f>
        <v>0</v>
      </c>
      <c r="E11" s="10" t="n">
        <f aca="false">SUMIFS('NHẬP ĐƠN HÀNG'!$P$6:$P$505,'NHẬP ĐƠN HÀNG'!$B$6:$B$505,"&gt;="&amp;$A11,'NHẬP ĐƠN HÀNG'!$B$6:$B$505,"&lt;"&amp;DATE($B$3,$M11+1,1))</f>
        <v>0</v>
      </c>
      <c r="F11" s="10" t="n">
        <f aca="false">SUMIFS('NHẬP ĐƠN HÀNG'!$Q$6:$Q$505,'NHẬP ĐƠN HÀNG'!$B$6:$B$505,"&gt;="&amp;$A11,'NHẬP ĐƠN HÀNG'!$B$6:$B$505,"&lt;"&amp;DATE($B$3,$M11+1,1))</f>
        <v>0</v>
      </c>
      <c r="G11" s="10" t="n">
        <f aca="false">SUMIFS('NHẬP ĐƠN HÀNG'!$R$6:$R$505,'NHẬP ĐƠN HÀNG'!$B$6:$B$505,"&gt;="&amp;$A11,'NHẬP ĐƠN HÀNG'!$B$6:$B$505,"&lt;"&amp;DATE($B$3,$M11+1,1))</f>
        <v>0</v>
      </c>
      <c r="H11" s="10" t="n">
        <f aca="false">SUMIFS('NHẬP ĐƠN HÀNG'!$T$6:$T$505,'NHẬP ĐƠN HÀNG'!$B$6:$B$505,"&gt;="&amp;$A11,'NHẬP ĐƠN HÀNG'!$B$6:$B$505,"&lt;"&amp;DATE($B$3,$M11+1,1))</f>
        <v>0</v>
      </c>
      <c r="I11" s="10" t="n">
        <f aca="false">SUMIFS('NHẬP ĐƠN HÀNG'!$U$6:$U$505,'NHẬP ĐƠN HÀNG'!$B$6:$B$505,"&gt;="&amp;$A11,'NHẬP ĐƠN HÀNG'!$B$6:$B$505,"&lt;"&amp;DATE($B$3,$M11+1,1))</f>
        <v>0</v>
      </c>
      <c r="J11" s="11" t="str">
        <f aca="false">IF($C11=0,"",$I11/$C11)</f>
        <v/>
      </c>
      <c r="M11" s="24" t="n">
        <v>6</v>
      </c>
    </row>
    <row r="12" customFormat="false" ht="15" hidden="false" customHeight="false" outlineLevel="0" collapsed="false">
      <c r="A12" s="23" t="n">
        <f aca="false">DATE($B$3,$M12,1)</f>
        <v>46204</v>
      </c>
      <c r="B12" s="10" t="n">
        <f aca="false">COUNTIFS('NHẬP ĐƠN HÀNG'!$B$6:$B$505,"&gt;="&amp;$A12,'NHẬP ĐƠN HÀNG'!$B$6:$B$505,"&lt;"&amp;DATE($B$3,$M12+1,1),'NHẬP ĐƠN HÀNG'!$C$6:$C$505,"&lt;&gt;")</f>
        <v>3</v>
      </c>
      <c r="C12" s="10" t="n">
        <f aca="false">SUMIFS('NHẬP ĐƠN HÀNG'!$L$6:$L$505,'NHẬP ĐƠN HÀNG'!$B$6:$B$505,"&gt;="&amp;$A12,'NHẬP ĐƠN HÀNG'!$B$6:$B$505,"&lt;"&amp;DATE($B$3,$M12+1,1))</f>
        <v>14160000</v>
      </c>
      <c r="D12" s="10" t="n">
        <f aca="false">SUMIFS('NHẬP ĐƠN HÀNG'!$O$6:$O$505,'NHẬP ĐƠN HÀNG'!$B$6:$B$505,"&gt;="&amp;$A12,'NHẬP ĐƠN HÀNG'!$B$6:$B$505,"&lt;"&amp;DATE($B$3,$M12+1,1))</f>
        <v>0</v>
      </c>
      <c r="E12" s="10" t="n">
        <f aca="false">SUMIFS('NHẬP ĐƠN HÀNG'!$P$6:$P$505,'NHẬP ĐƠN HÀNG'!$B$6:$B$505,"&gt;="&amp;$A12,'NHẬP ĐƠN HÀNG'!$B$6:$B$505,"&lt;"&amp;DATE($B$3,$M12+1,1))</f>
        <v>14160000</v>
      </c>
      <c r="F12" s="10" t="n">
        <f aca="false">SUMIFS('NHẬP ĐƠN HÀNG'!$Q$6:$Q$505,'NHẬP ĐƠN HÀNG'!$B$6:$B$505,"&gt;="&amp;$A12,'NHẬP ĐƠN HÀNG'!$B$6:$B$505,"&lt;"&amp;DATE($B$3,$M12+1,1))</f>
        <v>6110000</v>
      </c>
      <c r="G12" s="10" t="n">
        <f aca="false">SUMIFS('NHẬP ĐƠN HÀNG'!$R$6:$R$505,'NHẬP ĐƠN HÀNG'!$B$6:$B$505,"&gt;="&amp;$A12,'NHẬP ĐƠN HÀNG'!$B$6:$B$505,"&lt;"&amp;DATE($B$3,$M12+1,1))</f>
        <v>8050000</v>
      </c>
      <c r="H12" s="10" t="n">
        <f aca="false">SUMIFS('NHẬP ĐƠN HÀNG'!$T$6:$T$505,'NHẬP ĐƠN HÀNG'!$B$6:$B$505,"&gt;="&amp;$A12,'NHẬP ĐƠN HÀNG'!$B$6:$B$505,"&lt;"&amp;DATE($B$3,$M12+1,1))</f>
        <v>10150000</v>
      </c>
      <c r="I12" s="10" t="n">
        <f aca="false">SUMIFS('NHẬP ĐƠN HÀNG'!$U$6:$U$505,'NHẬP ĐƠN HÀNG'!$B$6:$B$505,"&gt;="&amp;$A12,'NHẬP ĐƠN HÀNG'!$B$6:$B$505,"&lt;"&amp;DATE($B$3,$M12+1,1))</f>
        <v>4010000</v>
      </c>
      <c r="J12" s="11" t="n">
        <f aca="false">IF($C12=0,"",$I12/$C12)</f>
        <v>0.28319209039548</v>
      </c>
      <c r="M12" s="24" t="n">
        <v>7</v>
      </c>
    </row>
    <row r="13" customFormat="false" ht="15" hidden="false" customHeight="false" outlineLevel="0" collapsed="false">
      <c r="A13" s="23" t="n">
        <f aca="false">DATE($B$3,$M13,1)</f>
        <v>46235</v>
      </c>
      <c r="B13" s="10" t="n">
        <f aca="false">COUNTIFS('NHẬP ĐƠN HÀNG'!$B$6:$B$505,"&gt;="&amp;$A13,'NHẬP ĐƠN HÀNG'!$B$6:$B$505,"&lt;"&amp;DATE($B$3,$M13+1,1),'NHẬP ĐƠN HÀNG'!$C$6:$C$505,"&lt;&gt;")</f>
        <v>0</v>
      </c>
      <c r="C13" s="10" t="n">
        <f aca="false">SUMIFS('NHẬP ĐƠN HÀNG'!$L$6:$L$505,'NHẬP ĐƠN HÀNG'!$B$6:$B$505,"&gt;="&amp;$A13,'NHẬP ĐƠN HÀNG'!$B$6:$B$505,"&lt;"&amp;DATE($B$3,$M13+1,1))</f>
        <v>0</v>
      </c>
      <c r="D13" s="10" t="n">
        <f aca="false">SUMIFS('NHẬP ĐƠN HÀNG'!$O$6:$O$505,'NHẬP ĐƠN HÀNG'!$B$6:$B$505,"&gt;="&amp;$A13,'NHẬP ĐƠN HÀNG'!$B$6:$B$505,"&lt;"&amp;DATE($B$3,$M13+1,1))</f>
        <v>0</v>
      </c>
      <c r="E13" s="10" t="n">
        <f aca="false">SUMIFS('NHẬP ĐƠN HÀNG'!$P$6:$P$505,'NHẬP ĐƠN HÀNG'!$B$6:$B$505,"&gt;="&amp;$A13,'NHẬP ĐƠN HÀNG'!$B$6:$B$505,"&lt;"&amp;DATE($B$3,$M13+1,1))</f>
        <v>0</v>
      </c>
      <c r="F13" s="10" t="n">
        <f aca="false">SUMIFS('NHẬP ĐƠN HÀNG'!$Q$6:$Q$505,'NHẬP ĐƠN HÀNG'!$B$6:$B$505,"&gt;="&amp;$A13,'NHẬP ĐƠN HÀNG'!$B$6:$B$505,"&lt;"&amp;DATE($B$3,$M13+1,1))</f>
        <v>0</v>
      </c>
      <c r="G13" s="10" t="n">
        <f aca="false">SUMIFS('NHẬP ĐƠN HÀNG'!$R$6:$R$505,'NHẬP ĐƠN HÀNG'!$B$6:$B$505,"&gt;="&amp;$A13,'NHẬP ĐƠN HÀNG'!$B$6:$B$505,"&lt;"&amp;DATE($B$3,$M13+1,1))</f>
        <v>0</v>
      </c>
      <c r="H13" s="10" t="n">
        <f aca="false">SUMIFS('NHẬP ĐƠN HÀNG'!$T$6:$T$505,'NHẬP ĐƠN HÀNG'!$B$6:$B$505,"&gt;="&amp;$A13,'NHẬP ĐƠN HÀNG'!$B$6:$B$505,"&lt;"&amp;DATE($B$3,$M13+1,1))</f>
        <v>0</v>
      </c>
      <c r="I13" s="10" t="n">
        <f aca="false">SUMIFS('NHẬP ĐƠN HÀNG'!$U$6:$U$505,'NHẬP ĐƠN HÀNG'!$B$6:$B$505,"&gt;="&amp;$A13,'NHẬP ĐƠN HÀNG'!$B$6:$B$505,"&lt;"&amp;DATE($B$3,$M13+1,1))</f>
        <v>0</v>
      </c>
      <c r="J13" s="11" t="str">
        <f aca="false">IF($C13=0,"",$I13/$C13)</f>
        <v/>
      </c>
      <c r="M13" s="24" t="n">
        <v>8</v>
      </c>
    </row>
    <row r="14" customFormat="false" ht="15" hidden="false" customHeight="false" outlineLevel="0" collapsed="false">
      <c r="A14" s="23" t="n">
        <f aca="false">DATE($B$3,$M14,1)</f>
        <v>46266</v>
      </c>
      <c r="B14" s="10" t="n">
        <f aca="false">COUNTIFS('NHẬP ĐƠN HÀNG'!$B$6:$B$505,"&gt;="&amp;$A14,'NHẬP ĐƠN HÀNG'!$B$6:$B$505,"&lt;"&amp;DATE($B$3,$M14+1,1),'NHẬP ĐƠN HÀNG'!$C$6:$C$505,"&lt;&gt;")</f>
        <v>0</v>
      </c>
      <c r="C14" s="10" t="n">
        <f aca="false">SUMIFS('NHẬP ĐƠN HÀNG'!$L$6:$L$505,'NHẬP ĐƠN HÀNG'!$B$6:$B$505,"&gt;="&amp;$A14,'NHẬP ĐƠN HÀNG'!$B$6:$B$505,"&lt;"&amp;DATE($B$3,$M14+1,1))</f>
        <v>0</v>
      </c>
      <c r="D14" s="10" t="n">
        <f aca="false">SUMIFS('NHẬP ĐƠN HÀNG'!$O$6:$O$505,'NHẬP ĐƠN HÀNG'!$B$6:$B$505,"&gt;="&amp;$A14,'NHẬP ĐƠN HÀNG'!$B$6:$B$505,"&lt;"&amp;DATE($B$3,$M14+1,1))</f>
        <v>0</v>
      </c>
      <c r="E14" s="10" t="n">
        <f aca="false">SUMIFS('NHẬP ĐƠN HÀNG'!$P$6:$P$505,'NHẬP ĐƠN HÀNG'!$B$6:$B$505,"&gt;="&amp;$A14,'NHẬP ĐƠN HÀNG'!$B$6:$B$505,"&lt;"&amp;DATE($B$3,$M14+1,1))</f>
        <v>0</v>
      </c>
      <c r="F14" s="10" t="n">
        <f aca="false">SUMIFS('NHẬP ĐƠN HÀNG'!$Q$6:$Q$505,'NHẬP ĐƠN HÀNG'!$B$6:$B$505,"&gt;="&amp;$A14,'NHẬP ĐƠN HÀNG'!$B$6:$B$505,"&lt;"&amp;DATE($B$3,$M14+1,1))</f>
        <v>0</v>
      </c>
      <c r="G14" s="10" t="n">
        <f aca="false">SUMIFS('NHẬP ĐƠN HÀNG'!$R$6:$R$505,'NHẬP ĐƠN HÀNG'!$B$6:$B$505,"&gt;="&amp;$A14,'NHẬP ĐƠN HÀNG'!$B$6:$B$505,"&lt;"&amp;DATE($B$3,$M14+1,1))</f>
        <v>0</v>
      </c>
      <c r="H14" s="10" t="n">
        <f aca="false">SUMIFS('NHẬP ĐƠN HÀNG'!$T$6:$T$505,'NHẬP ĐƠN HÀNG'!$B$6:$B$505,"&gt;="&amp;$A14,'NHẬP ĐƠN HÀNG'!$B$6:$B$505,"&lt;"&amp;DATE($B$3,$M14+1,1))</f>
        <v>0</v>
      </c>
      <c r="I14" s="10" t="n">
        <f aca="false">SUMIFS('NHẬP ĐƠN HÀNG'!$U$6:$U$505,'NHẬP ĐƠN HÀNG'!$B$6:$B$505,"&gt;="&amp;$A14,'NHẬP ĐƠN HÀNG'!$B$6:$B$505,"&lt;"&amp;DATE($B$3,$M14+1,1))</f>
        <v>0</v>
      </c>
      <c r="J14" s="11" t="str">
        <f aca="false">IF($C14=0,"",$I14/$C14)</f>
        <v/>
      </c>
      <c r="M14" s="24" t="n">
        <v>9</v>
      </c>
    </row>
    <row r="15" customFormat="false" ht="15" hidden="false" customHeight="false" outlineLevel="0" collapsed="false">
      <c r="A15" s="23" t="n">
        <f aca="false">DATE($B$3,$M15,1)</f>
        <v>46296</v>
      </c>
      <c r="B15" s="10" t="n">
        <f aca="false">COUNTIFS('NHẬP ĐƠN HÀNG'!$B$6:$B$505,"&gt;="&amp;$A15,'NHẬP ĐƠN HÀNG'!$B$6:$B$505,"&lt;"&amp;DATE($B$3,$M15+1,1),'NHẬP ĐƠN HÀNG'!$C$6:$C$505,"&lt;&gt;")</f>
        <v>0</v>
      </c>
      <c r="C15" s="10" t="n">
        <f aca="false">SUMIFS('NHẬP ĐƠN HÀNG'!$L$6:$L$505,'NHẬP ĐƠN HÀNG'!$B$6:$B$505,"&gt;="&amp;$A15,'NHẬP ĐƠN HÀNG'!$B$6:$B$505,"&lt;"&amp;DATE($B$3,$M15+1,1))</f>
        <v>0</v>
      </c>
      <c r="D15" s="10" t="n">
        <f aca="false">SUMIFS('NHẬP ĐƠN HÀNG'!$O$6:$O$505,'NHẬP ĐƠN HÀNG'!$B$6:$B$505,"&gt;="&amp;$A15,'NHẬP ĐƠN HÀNG'!$B$6:$B$505,"&lt;"&amp;DATE($B$3,$M15+1,1))</f>
        <v>0</v>
      </c>
      <c r="E15" s="10" t="n">
        <f aca="false">SUMIFS('NHẬP ĐƠN HÀNG'!$P$6:$P$505,'NHẬP ĐƠN HÀNG'!$B$6:$B$505,"&gt;="&amp;$A15,'NHẬP ĐƠN HÀNG'!$B$6:$B$505,"&lt;"&amp;DATE($B$3,$M15+1,1))</f>
        <v>0</v>
      </c>
      <c r="F15" s="10" t="n">
        <f aca="false">SUMIFS('NHẬP ĐƠN HÀNG'!$Q$6:$Q$505,'NHẬP ĐƠN HÀNG'!$B$6:$B$505,"&gt;="&amp;$A15,'NHẬP ĐƠN HÀNG'!$B$6:$B$505,"&lt;"&amp;DATE($B$3,$M15+1,1))</f>
        <v>0</v>
      </c>
      <c r="G15" s="10" t="n">
        <f aca="false">SUMIFS('NHẬP ĐƠN HÀNG'!$R$6:$R$505,'NHẬP ĐƠN HÀNG'!$B$6:$B$505,"&gt;="&amp;$A15,'NHẬP ĐƠN HÀNG'!$B$6:$B$505,"&lt;"&amp;DATE($B$3,$M15+1,1))</f>
        <v>0</v>
      </c>
      <c r="H15" s="10" t="n">
        <f aca="false">SUMIFS('NHẬP ĐƠN HÀNG'!$T$6:$T$505,'NHẬP ĐƠN HÀNG'!$B$6:$B$505,"&gt;="&amp;$A15,'NHẬP ĐƠN HÀNG'!$B$6:$B$505,"&lt;"&amp;DATE($B$3,$M15+1,1))</f>
        <v>0</v>
      </c>
      <c r="I15" s="10" t="n">
        <f aca="false">SUMIFS('NHẬP ĐƠN HÀNG'!$U$6:$U$505,'NHẬP ĐƠN HÀNG'!$B$6:$B$505,"&gt;="&amp;$A15,'NHẬP ĐƠN HÀNG'!$B$6:$B$505,"&lt;"&amp;DATE($B$3,$M15+1,1))</f>
        <v>0</v>
      </c>
      <c r="J15" s="11" t="str">
        <f aca="false">IF($C15=0,"",$I15/$C15)</f>
        <v/>
      </c>
      <c r="M15" s="24" t="n">
        <v>10</v>
      </c>
    </row>
    <row r="16" customFormat="false" ht="15" hidden="false" customHeight="false" outlineLevel="0" collapsed="false">
      <c r="A16" s="23" t="n">
        <f aca="false">DATE($B$3,$M16,1)</f>
        <v>46327</v>
      </c>
      <c r="B16" s="10" t="n">
        <f aca="false">COUNTIFS('NHẬP ĐƠN HÀNG'!$B$6:$B$505,"&gt;="&amp;$A16,'NHẬP ĐƠN HÀNG'!$B$6:$B$505,"&lt;"&amp;DATE($B$3,$M16+1,1),'NHẬP ĐƠN HÀNG'!$C$6:$C$505,"&lt;&gt;")</f>
        <v>0</v>
      </c>
      <c r="C16" s="10" t="n">
        <f aca="false">SUMIFS('NHẬP ĐƠN HÀNG'!$L$6:$L$505,'NHẬP ĐƠN HÀNG'!$B$6:$B$505,"&gt;="&amp;$A16,'NHẬP ĐƠN HÀNG'!$B$6:$B$505,"&lt;"&amp;DATE($B$3,$M16+1,1))</f>
        <v>0</v>
      </c>
      <c r="D16" s="10" t="n">
        <f aca="false">SUMIFS('NHẬP ĐƠN HÀNG'!$O$6:$O$505,'NHẬP ĐƠN HÀNG'!$B$6:$B$505,"&gt;="&amp;$A16,'NHẬP ĐƠN HÀNG'!$B$6:$B$505,"&lt;"&amp;DATE($B$3,$M16+1,1))</f>
        <v>0</v>
      </c>
      <c r="E16" s="10" t="n">
        <f aca="false">SUMIFS('NHẬP ĐƠN HÀNG'!$P$6:$P$505,'NHẬP ĐƠN HÀNG'!$B$6:$B$505,"&gt;="&amp;$A16,'NHẬP ĐƠN HÀNG'!$B$6:$B$505,"&lt;"&amp;DATE($B$3,$M16+1,1))</f>
        <v>0</v>
      </c>
      <c r="F16" s="10" t="n">
        <f aca="false">SUMIFS('NHẬP ĐƠN HÀNG'!$Q$6:$Q$505,'NHẬP ĐƠN HÀNG'!$B$6:$B$505,"&gt;="&amp;$A16,'NHẬP ĐƠN HÀNG'!$B$6:$B$505,"&lt;"&amp;DATE($B$3,$M16+1,1))</f>
        <v>0</v>
      </c>
      <c r="G16" s="10" t="n">
        <f aca="false">SUMIFS('NHẬP ĐƠN HÀNG'!$R$6:$R$505,'NHẬP ĐƠN HÀNG'!$B$6:$B$505,"&gt;="&amp;$A16,'NHẬP ĐƠN HÀNG'!$B$6:$B$505,"&lt;"&amp;DATE($B$3,$M16+1,1))</f>
        <v>0</v>
      </c>
      <c r="H16" s="10" t="n">
        <f aca="false">SUMIFS('NHẬP ĐƠN HÀNG'!$T$6:$T$505,'NHẬP ĐƠN HÀNG'!$B$6:$B$505,"&gt;="&amp;$A16,'NHẬP ĐƠN HÀNG'!$B$6:$B$505,"&lt;"&amp;DATE($B$3,$M16+1,1))</f>
        <v>0</v>
      </c>
      <c r="I16" s="10" t="n">
        <f aca="false">SUMIFS('NHẬP ĐƠN HÀNG'!$U$6:$U$505,'NHẬP ĐƠN HÀNG'!$B$6:$B$505,"&gt;="&amp;$A16,'NHẬP ĐƠN HÀNG'!$B$6:$B$505,"&lt;"&amp;DATE($B$3,$M16+1,1))</f>
        <v>0</v>
      </c>
      <c r="J16" s="11" t="str">
        <f aca="false">IF($C16=0,"",$I16/$C16)</f>
        <v/>
      </c>
      <c r="M16" s="24" t="n">
        <v>11</v>
      </c>
    </row>
    <row r="17" customFormat="false" ht="15" hidden="false" customHeight="false" outlineLevel="0" collapsed="false">
      <c r="A17" s="23" t="n">
        <f aca="false">DATE($B$3,$M17,1)</f>
        <v>46357</v>
      </c>
      <c r="B17" s="10" t="n">
        <f aca="false">COUNTIFS('NHẬP ĐƠN HÀNG'!$B$6:$B$505,"&gt;="&amp;$A17,'NHẬP ĐƠN HÀNG'!$B$6:$B$505,"&lt;"&amp;DATE($B$3,$M17+1,1),'NHẬP ĐƠN HÀNG'!$C$6:$C$505,"&lt;&gt;")</f>
        <v>0</v>
      </c>
      <c r="C17" s="10" t="n">
        <f aca="false">SUMIFS('NHẬP ĐƠN HÀNG'!$L$6:$L$505,'NHẬP ĐƠN HÀNG'!$B$6:$B$505,"&gt;="&amp;$A17,'NHẬP ĐƠN HÀNG'!$B$6:$B$505,"&lt;"&amp;DATE($B$3,$M17+1,1))</f>
        <v>0</v>
      </c>
      <c r="D17" s="10" t="n">
        <f aca="false">SUMIFS('NHẬP ĐƠN HÀNG'!$O$6:$O$505,'NHẬP ĐƠN HÀNG'!$B$6:$B$505,"&gt;="&amp;$A17,'NHẬP ĐƠN HÀNG'!$B$6:$B$505,"&lt;"&amp;DATE($B$3,$M17+1,1))</f>
        <v>0</v>
      </c>
      <c r="E17" s="10" t="n">
        <f aca="false">SUMIFS('NHẬP ĐƠN HÀNG'!$P$6:$P$505,'NHẬP ĐƠN HÀNG'!$B$6:$B$505,"&gt;="&amp;$A17,'NHẬP ĐƠN HÀNG'!$B$6:$B$505,"&lt;"&amp;DATE($B$3,$M17+1,1))</f>
        <v>0</v>
      </c>
      <c r="F17" s="10" t="n">
        <f aca="false">SUMIFS('NHẬP ĐƠN HÀNG'!$Q$6:$Q$505,'NHẬP ĐƠN HÀNG'!$B$6:$B$505,"&gt;="&amp;$A17,'NHẬP ĐƠN HÀNG'!$B$6:$B$505,"&lt;"&amp;DATE($B$3,$M17+1,1))</f>
        <v>0</v>
      </c>
      <c r="G17" s="10" t="n">
        <f aca="false">SUMIFS('NHẬP ĐƠN HÀNG'!$R$6:$R$505,'NHẬP ĐƠN HÀNG'!$B$6:$B$505,"&gt;="&amp;$A17,'NHẬP ĐƠN HÀNG'!$B$6:$B$505,"&lt;"&amp;DATE($B$3,$M17+1,1))</f>
        <v>0</v>
      </c>
      <c r="H17" s="10" t="n">
        <f aca="false">SUMIFS('NHẬP ĐƠN HÀNG'!$T$6:$T$505,'NHẬP ĐƠN HÀNG'!$B$6:$B$505,"&gt;="&amp;$A17,'NHẬP ĐƠN HÀNG'!$B$6:$B$505,"&lt;"&amp;DATE($B$3,$M17+1,1))</f>
        <v>0</v>
      </c>
      <c r="I17" s="10" t="n">
        <f aca="false">SUMIFS('NHẬP ĐƠN HÀNG'!$U$6:$U$505,'NHẬP ĐƠN HÀNG'!$B$6:$B$505,"&gt;="&amp;$A17,'NHẬP ĐƠN HÀNG'!$B$6:$B$505,"&lt;"&amp;DATE($B$3,$M17+1,1))</f>
        <v>0</v>
      </c>
      <c r="J17" s="11" t="str">
        <f aca="false">IF($C17=0,"",$I17/$C17)</f>
        <v/>
      </c>
      <c r="M17" s="24" t="n">
        <v>12</v>
      </c>
    </row>
    <row r="18" customFormat="false" ht="15" hidden="false" customHeight="false" outlineLevel="0" collapsed="false">
      <c r="A18" s="25" t="s">
        <v>142</v>
      </c>
      <c r="B18" s="26" t="n">
        <f aca="false">SUM(B6:B17)</f>
        <v>3</v>
      </c>
      <c r="C18" s="26" t="n">
        <f aca="false">SUM(C6:C17)</f>
        <v>14160000</v>
      </c>
      <c r="D18" s="26" t="n">
        <f aca="false">SUM(D6:D17)</f>
        <v>0</v>
      </c>
      <c r="E18" s="26" t="n">
        <f aca="false">SUM(E6:E17)</f>
        <v>14160000</v>
      </c>
      <c r="F18" s="26" t="n">
        <f aca="false">SUM(F6:F17)</f>
        <v>6110000</v>
      </c>
      <c r="G18" s="26" t="n">
        <f aca="false">SUM(G6:G17)</f>
        <v>8050000</v>
      </c>
      <c r="H18" s="26" t="n">
        <f aca="false">SUM(H6:H17)</f>
        <v>10150000</v>
      </c>
      <c r="I18" s="26" t="n">
        <f aca="false">SUM(I6:I17)</f>
        <v>4010000</v>
      </c>
      <c r="J18" s="27" t="n">
        <f aca="false">IF($C18=0,"",$I18/$C18)</f>
        <v>0.28319209039548</v>
      </c>
    </row>
    <row r="20" customFormat="false" ht="15" hidden="false" customHeight="false" outlineLevel="0" collapsed="false">
      <c r="A20" s="28" t="s">
        <v>143</v>
      </c>
    </row>
  </sheetData>
  <mergeCells count="2">
    <mergeCell ref="A1:J1"/>
    <mergeCell ref="A2:J2"/>
  </mergeCells>
  <conditionalFormatting sqref="I6:I17">
    <cfRule type="cellIs" priority="2" operator="lessThan" aboveAverage="0" equalAverage="0" bottom="0" percent="0" rank="0" text="" dxfId="1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F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2" topLeftCell="A3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5"/>
    <col collapsed="false" customWidth="true" hidden="false" outlineLevel="0" max="5" min="3" style="0" width="18"/>
    <col collapsed="false" customWidth="true" hidden="false" outlineLevel="0" max="6" min="6" style="0" width="12"/>
  </cols>
  <sheetData>
    <row r="1" customFormat="false" ht="30" hidden="false" customHeight="true" outlineLevel="0" collapsed="false">
      <c r="A1" s="1" t="s">
        <v>144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145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29" t="s">
        <v>146</v>
      </c>
      <c r="B4" s="29"/>
      <c r="C4" s="29"/>
      <c r="D4" s="29"/>
      <c r="E4" s="29"/>
      <c r="F4" s="29"/>
    </row>
    <row r="5" customFormat="false" ht="15" hidden="false" customHeight="false" outlineLevel="0" collapsed="false">
      <c r="A5" s="30" t="s">
        <v>147</v>
      </c>
      <c r="B5" s="31" t="n">
        <f aca="false">SUM('NHẬP ĐƠN HÀNG'!$L$6:$L$505)</f>
        <v>15300000</v>
      </c>
    </row>
    <row r="6" customFormat="false" ht="15" hidden="false" customHeight="false" outlineLevel="0" collapsed="false">
      <c r="A6" s="30" t="s">
        <v>148</v>
      </c>
      <c r="B6" s="31" t="n">
        <f aca="false">SUM('NHẬP ĐƠN HÀNG'!$T$6:$T$505)</f>
        <v>10950000</v>
      </c>
    </row>
    <row r="7" customFormat="false" ht="15" hidden="false" customHeight="false" outlineLevel="0" collapsed="false">
      <c r="A7" s="30" t="s">
        <v>32</v>
      </c>
      <c r="B7" s="31" t="n">
        <f aca="false">SUM('NHẬP ĐƠN HÀNG'!$U$6:$U$505)</f>
        <v>4350000</v>
      </c>
    </row>
    <row r="8" customFormat="false" ht="15" hidden="false" customHeight="false" outlineLevel="0" collapsed="false">
      <c r="A8" s="30" t="s">
        <v>34</v>
      </c>
      <c r="B8" s="32" t="n">
        <f aca="false">IF($B5=0,"",$B7/$B5)</f>
        <v>0.284313725490196</v>
      </c>
    </row>
    <row r="9" customFormat="false" ht="15" hidden="false" customHeight="false" outlineLevel="0" collapsed="false">
      <c r="A9" s="30" t="s">
        <v>149</v>
      </c>
      <c r="B9" s="31" t="n">
        <f aca="false">SUM('NHẬP ĐƠN HÀNG'!$O$6:$O$505)</f>
        <v>91200</v>
      </c>
    </row>
    <row r="10" customFormat="false" ht="15" hidden="false" customHeight="false" outlineLevel="0" collapsed="false">
      <c r="A10" s="30" t="s">
        <v>150</v>
      </c>
      <c r="B10" s="31" t="n">
        <f aca="false">SUM('NHẬP ĐƠN HÀNG'!$P$6:$P$505)</f>
        <v>15391200</v>
      </c>
    </row>
    <row r="11" customFormat="false" ht="15" hidden="false" customHeight="false" outlineLevel="0" collapsed="false">
      <c r="A11" s="30" t="s">
        <v>151</v>
      </c>
      <c r="B11" s="31" t="n">
        <f aca="false">SUM('NHẬP ĐƠN HÀNG'!$Q$6:$Q$505)</f>
        <v>6110000</v>
      </c>
    </row>
    <row r="12" customFormat="false" ht="15" hidden="false" customHeight="false" outlineLevel="0" collapsed="false">
      <c r="A12" s="30" t="s">
        <v>152</v>
      </c>
      <c r="B12" s="31" t="n">
        <f aca="false">SUM('NHẬP ĐƠN HÀNG'!$R$6:$R$505)</f>
        <v>9281200</v>
      </c>
    </row>
    <row r="13" customFormat="false" ht="15" hidden="false" customHeight="false" outlineLevel="0" collapsed="false">
      <c r="A13" s="30" t="s">
        <v>153</v>
      </c>
      <c r="B13" s="31" t="n">
        <f aca="false">COUNTIFS('NHẬP ĐƠN HÀNG'!$L$6:$L$505,"&gt;0",'NHẬP ĐƠN HÀNG'!$U$6:$U$505,"&lt;0")</f>
        <v>0</v>
      </c>
    </row>
    <row r="15" customFormat="false" ht="21.75" hidden="false" customHeight="true" outlineLevel="0" collapsed="false">
      <c r="A15" s="29" t="s">
        <v>154</v>
      </c>
      <c r="B15" s="29"/>
      <c r="C15" s="29"/>
      <c r="D15" s="29"/>
      <c r="E15" s="29"/>
      <c r="F15" s="29"/>
    </row>
    <row r="16" customFormat="false" ht="33.75" hidden="false" customHeight="true" outlineLevel="0" collapsed="false">
      <c r="A16" s="7" t="s">
        <v>141</v>
      </c>
      <c r="B16" s="7" t="s">
        <v>85</v>
      </c>
      <c r="C16" s="7" t="s">
        <v>86</v>
      </c>
      <c r="D16" s="7" t="s">
        <v>87</v>
      </c>
      <c r="E16" s="7" t="s">
        <v>34</v>
      </c>
      <c r="F16" s="7" t="s">
        <v>84</v>
      </c>
    </row>
    <row r="17" customFormat="false" ht="15" hidden="false" customHeight="false" outlineLevel="0" collapsed="false">
      <c r="A17" s="23" t="n">
        <f aca="false">'BÁO CÁO DOANH THU'!$A$6</f>
        <v>46023</v>
      </c>
      <c r="B17" s="10" t="n">
        <f aca="false">'BÁO CÁO DOANH THU'!$C$6</f>
        <v>0</v>
      </c>
      <c r="C17" s="10" t="n">
        <f aca="false">'BÁO CÁO DOANH THU'!$H$6</f>
        <v>0</v>
      </c>
      <c r="D17" s="10" t="n">
        <f aca="false">'BÁO CÁO DOANH THU'!$I$6</f>
        <v>0</v>
      </c>
      <c r="E17" s="11" t="str">
        <f aca="false">IF($B17=0,"",$D17/$B17)</f>
        <v/>
      </c>
      <c r="F17" s="10" t="n">
        <f aca="false">'BÁO CÁO DOANH THU'!$B$6</f>
        <v>0</v>
      </c>
    </row>
    <row r="18" customFormat="false" ht="15" hidden="false" customHeight="false" outlineLevel="0" collapsed="false">
      <c r="A18" s="23" t="n">
        <f aca="false">'BÁO CÁO DOANH THU'!$A$7</f>
        <v>46054</v>
      </c>
      <c r="B18" s="10" t="n">
        <f aca="false">'BÁO CÁO DOANH THU'!$C$7</f>
        <v>0</v>
      </c>
      <c r="C18" s="10" t="n">
        <f aca="false">'BÁO CÁO DOANH THU'!$H$7</f>
        <v>0</v>
      </c>
      <c r="D18" s="10" t="n">
        <f aca="false">'BÁO CÁO DOANH THU'!$I$7</f>
        <v>0</v>
      </c>
      <c r="E18" s="11" t="str">
        <f aca="false">IF($B18=0,"",$D18/$B18)</f>
        <v/>
      </c>
      <c r="F18" s="10" t="n">
        <f aca="false">'BÁO CÁO DOANH THU'!$B$7</f>
        <v>0</v>
      </c>
    </row>
    <row r="19" customFormat="false" ht="15" hidden="false" customHeight="false" outlineLevel="0" collapsed="false">
      <c r="A19" s="23" t="n">
        <f aca="false">'BÁO CÁO DOANH THU'!$A$8</f>
        <v>46082</v>
      </c>
      <c r="B19" s="10" t="n">
        <f aca="false">'BÁO CÁO DOANH THU'!$C$8</f>
        <v>0</v>
      </c>
      <c r="C19" s="10" t="n">
        <f aca="false">'BÁO CÁO DOANH THU'!$H$8</f>
        <v>0</v>
      </c>
      <c r="D19" s="10" t="n">
        <f aca="false">'BÁO CÁO DOANH THU'!$I$8</f>
        <v>0</v>
      </c>
      <c r="E19" s="11" t="str">
        <f aca="false">IF($B19=0,"",$D19/$B19)</f>
        <v/>
      </c>
      <c r="F19" s="10" t="n">
        <f aca="false">'BÁO CÁO DOANH THU'!$B$8</f>
        <v>0</v>
      </c>
    </row>
    <row r="20" customFormat="false" ht="15" hidden="false" customHeight="false" outlineLevel="0" collapsed="false">
      <c r="A20" s="23" t="n">
        <f aca="false">'BÁO CÁO DOANH THU'!$A$9</f>
        <v>46113</v>
      </c>
      <c r="B20" s="10" t="n">
        <f aca="false">'BÁO CÁO DOANH THU'!$C$9</f>
        <v>0</v>
      </c>
      <c r="C20" s="10" t="n">
        <f aca="false">'BÁO CÁO DOANH THU'!$H$9</f>
        <v>0</v>
      </c>
      <c r="D20" s="10" t="n">
        <f aca="false">'BÁO CÁO DOANH THU'!$I$9</f>
        <v>0</v>
      </c>
      <c r="E20" s="11" t="str">
        <f aca="false">IF($B20=0,"",$D20/$B20)</f>
        <v/>
      </c>
      <c r="F20" s="10" t="n">
        <f aca="false">'BÁO CÁO DOANH THU'!$B$9</f>
        <v>0</v>
      </c>
    </row>
    <row r="21" customFormat="false" ht="15" hidden="false" customHeight="false" outlineLevel="0" collapsed="false">
      <c r="A21" s="23" t="n">
        <f aca="false">'BÁO CÁO DOANH THU'!$A$10</f>
        <v>46143</v>
      </c>
      <c r="B21" s="10" t="n">
        <f aca="false">'BÁO CÁO DOANH THU'!$C$10</f>
        <v>0</v>
      </c>
      <c r="C21" s="10" t="n">
        <f aca="false">'BÁO CÁO DOANH THU'!$H$10</f>
        <v>0</v>
      </c>
      <c r="D21" s="10" t="n">
        <f aca="false">'BÁO CÁO DOANH THU'!$I$10</f>
        <v>0</v>
      </c>
      <c r="E21" s="11" t="str">
        <f aca="false">IF($B21=0,"",$D21/$B21)</f>
        <v/>
      </c>
      <c r="F21" s="10" t="n">
        <f aca="false">'BÁO CÁO DOANH THU'!$B$10</f>
        <v>0</v>
      </c>
    </row>
    <row r="22" customFormat="false" ht="15" hidden="false" customHeight="false" outlineLevel="0" collapsed="false">
      <c r="A22" s="23" t="n">
        <f aca="false">'BÁO CÁO DOANH THU'!$A$11</f>
        <v>46174</v>
      </c>
      <c r="B22" s="10" t="n">
        <f aca="false">'BÁO CÁO DOANH THU'!$C$11</f>
        <v>0</v>
      </c>
      <c r="C22" s="10" t="n">
        <f aca="false">'BÁO CÁO DOANH THU'!$H$11</f>
        <v>0</v>
      </c>
      <c r="D22" s="10" t="n">
        <f aca="false">'BÁO CÁO DOANH THU'!$I$11</f>
        <v>0</v>
      </c>
      <c r="E22" s="11" t="str">
        <f aca="false">IF($B22=0,"",$D22/$B22)</f>
        <v/>
      </c>
      <c r="F22" s="10" t="n">
        <f aca="false">'BÁO CÁO DOANH THU'!$B$11</f>
        <v>0</v>
      </c>
    </row>
    <row r="23" customFormat="false" ht="15" hidden="false" customHeight="false" outlineLevel="0" collapsed="false">
      <c r="A23" s="23" t="n">
        <f aca="false">'BÁO CÁO DOANH THU'!$A$12</f>
        <v>46204</v>
      </c>
      <c r="B23" s="10" t="n">
        <f aca="false">'BÁO CÁO DOANH THU'!$C$12</f>
        <v>14160000</v>
      </c>
      <c r="C23" s="10" t="n">
        <f aca="false">'BÁO CÁO DOANH THU'!$H$12</f>
        <v>10150000</v>
      </c>
      <c r="D23" s="10" t="n">
        <f aca="false">'BÁO CÁO DOANH THU'!$I$12</f>
        <v>4010000</v>
      </c>
      <c r="E23" s="11" t="n">
        <f aca="false">IF($B23=0,"",$D23/$B23)</f>
        <v>0.28319209039548</v>
      </c>
      <c r="F23" s="10" t="n">
        <f aca="false">'BÁO CÁO DOANH THU'!$B$12</f>
        <v>3</v>
      </c>
    </row>
    <row r="24" customFormat="false" ht="15" hidden="false" customHeight="false" outlineLevel="0" collapsed="false">
      <c r="A24" s="23" t="n">
        <f aca="false">'BÁO CÁO DOANH THU'!$A$13</f>
        <v>46235</v>
      </c>
      <c r="B24" s="10" t="n">
        <f aca="false">'BÁO CÁO DOANH THU'!$C$13</f>
        <v>0</v>
      </c>
      <c r="C24" s="10" t="n">
        <f aca="false">'BÁO CÁO DOANH THU'!$H$13</f>
        <v>0</v>
      </c>
      <c r="D24" s="10" t="n">
        <f aca="false">'BÁO CÁO DOANH THU'!$I$13</f>
        <v>0</v>
      </c>
      <c r="E24" s="11" t="str">
        <f aca="false">IF($B24=0,"",$D24/$B24)</f>
        <v/>
      </c>
      <c r="F24" s="10" t="n">
        <f aca="false">'BÁO CÁO DOANH THU'!$B$13</f>
        <v>0</v>
      </c>
    </row>
    <row r="25" customFormat="false" ht="15" hidden="false" customHeight="false" outlineLevel="0" collapsed="false">
      <c r="A25" s="23" t="n">
        <f aca="false">'BÁO CÁO DOANH THU'!$A$14</f>
        <v>46266</v>
      </c>
      <c r="B25" s="10" t="n">
        <f aca="false">'BÁO CÁO DOANH THU'!$C$14</f>
        <v>0</v>
      </c>
      <c r="C25" s="10" t="n">
        <f aca="false">'BÁO CÁO DOANH THU'!$H$14</f>
        <v>0</v>
      </c>
      <c r="D25" s="10" t="n">
        <f aca="false">'BÁO CÁO DOANH THU'!$I$14</f>
        <v>0</v>
      </c>
      <c r="E25" s="11" t="str">
        <f aca="false">IF($B25=0,"",$D25/$B25)</f>
        <v/>
      </c>
      <c r="F25" s="10" t="n">
        <f aca="false">'BÁO CÁO DOANH THU'!$B$14</f>
        <v>0</v>
      </c>
    </row>
    <row r="26" customFormat="false" ht="15" hidden="false" customHeight="false" outlineLevel="0" collapsed="false">
      <c r="A26" s="23" t="n">
        <f aca="false">'BÁO CÁO DOANH THU'!$A$15</f>
        <v>46296</v>
      </c>
      <c r="B26" s="10" t="n">
        <f aca="false">'BÁO CÁO DOANH THU'!$C$15</f>
        <v>0</v>
      </c>
      <c r="C26" s="10" t="n">
        <f aca="false">'BÁO CÁO DOANH THU'!$H$15</f>
        <v>0</v>
      </c>
      <c r="D26" s="10" t="n">
        <f aca="false">'BÁO CÁO DOANH THU'!$I$15</f>
        <v>0</v>
      </c>
      <c r="E26" s="11" t="str">
        <f aca="false">IF($B26=0,"",$D26/$B26)</f>
        <v/>
      </c>
      <c r="F26" s="10" t="n">
        <f aca="false">'BÁO CÁO DOANH THU'!$B$15</f>
        <v>0</v>
      </c>
    </row>
    <row r="27" customFormat="false" ht="15" hidden="false" customHeight="false" outlineLevel="0" collapsed="false">
      <c r="A27" s="23" t="n">
        <f aca="false">'BÁO CÁO DOANH THU'!$A$16</f>
        <v>46327</v>
      </c>
      <c r="B27" s="10" t="n">
        <f aca="false">'BÁO CÁO DOANH THU'!$C$16</f>
        <v>0</v>
      </c>
      <c r="C27" s="10" t="n">
        <f aca="false">'BÁO CÁO DOANH THU'!$H$16</f>
        <v>0</v>
      </c>
      <c r="D27" s="10" t="n">
        <f aca="false">'BÁO CÁO DOANH THU'!$I$16</f>
        <v>0</v>
      </c>
      <c r="E27" s="11" t="str">
        <f aca="false">IF($B27=0,"",$D27/$B27)</f>
        <v/>
      </c>
      <c r="F27" s="10" t="n">
        <f aca="false">'BÁO CÁO DOANH THU'!$B$16</f>
        <v>0</v>
      </c>
    </row>
    <row r="28" customFormat="false" ht="15" hidden="false" customHeight="false" outlineLevel="0" collapsed="false">
      <c r="A28" s="23" t="n">
        <f aca="false">'BÁO CÁO DOANH THU'!$A$17</f>
        <v>46357</v>
      </c>
      <c r="B28" s="10" t="n">
        <f aca="false">'BÁO CÁO DOANH THU'!$C$17</f>
        <v>0</v>
      </c>
      <c r="C28" s="10" t="n">
        <f aca="false">'BÁO CÁO DOANH THU'!$H$17</f>
        <v>0</v>
      </c>
      <c r="D28" s="10" t="n">
        <f aca="false">'BÁO CÁO DOANH THU'!$I$17</f>
        <v>0</v>
      </c>
      <c r="E28" s="11" t="str">
        <f aca="false">IF($B28=0,"",$D28/$B28)</f>
        <v/>
      </c>
      <c r="F28" s="10" t="n">
        <f aca="false">'BÁO CÁO DOANH THU'!$B$17</f>
        <v>0</v>
      </c>
    </row>
    <row r="29" customFormat="false" ht="15" hidden="false" customHeight="false" outlineLevel="0" collapsed="false">
      <c r="A29" s="33" t="s">
        <v>142</v>
      </c>
      <c r="B29" s="26" t="n">
        <f aca="false">SUM(B17:B28)</f>
        <v>14160000</v>
      </c>
      <c r="C29" s="26" t="n">
        <f aca="false">SUM(C17:C28)</f>
        <v>10150000</v>
      </c>
      <c r="D29" s="26" t="n">
        <f aca="false">SUM(D17:D28)</f>
        <v>4010000</v>
      </c>
      <c r="E29" s="27" t="n">
        <f aca="false">IF($B29=0,"",$D29/$B29)</f>
        <v>0.28319209039548</v>
      </c>
      <c r="F29" s="26" t="n">
        <f aca="false">SUM(F17:F28)</f>
        <v>3</v>
      </c>
    </row>
    <row r="31" customFormat="false" ht="21.75" hidden="false" customHeight="true" outlineLevel="0" collapsed="false">
      <c r="A31" s="29" t="s">
        <v>155</v>
      </c>
      <c r="B31" s="29"/>
      <c r="C31" s="29"/>
      <c r="D31" s="29"/>
      <c r="E31" s="29"/>
      <c r="F31" s="29"/>
    </row>
    <row r="32" customFormat="false" ht="33.75" hidden="false" customHeight="true" outlineLevel="0" collapsed="false">
      <c r="A32" s="7" t="s">
        <v>55</v>
      </c>
      <c r="B32" s="7" t="s">
        <v>156</v>
      </c>
      <c r="C32" s="7" t="s">
        <v>85</v>
      </c>
      <c r="D32" s="7" t="s">
        <v>86</v>
      </c>
      <c r="E32" s="7" t="s">
        <v>87</v>
      </c>
      <c r="F32" s="7" t="s">
        <v>34</v>
      </c>
    </row>
    <row r="33" customFormat="false" ht="15" hidden="false" customHeight="false" outlineLevel="0" collapsed="false">
      <c r="A33" s="16" t="str">
        <f aca="false">IFERROR(INDEX('NHẬP ĐƠN HÀNG'!$H$6:$H$505,MATCH(1,'NHẬP ĐƠN HÀNG'!$AC$6:$AC$505,0)),"")</f>
        <v>GẤU TỐT NGHIỆP</v>
      </c>
      <c r="B33" s="10" t="n">
        <f aca="false">IF($A33="","",SUMIF('NHẬP ĐƠN HÀNG'!$H$6:$H$505,$A33,'NHẬP ĐƠN HÀNG'!$I$6:$I$505))</f>
        <v>20</v>
      </c>
      <c r="C33" s="10" t="n">
        <f aca="false">IF($A33="","",SUMIF('NHẬP ĐƠN HÀNG'!$H$6:$H$505,$A33,'NHẬP ĐƠN HÀNG'!$L$6:$L$505))</f>
        <v>1140000</v>
      </c>
      <c r="D33" s="10" t="n">
        <f aca="false">IF($A33="","",SUMIF('NHẬP ĐƠN HÀNG'!$H$6:$H$505,$A33,'NHẬP ĐƠN HÀNG'!$T$6:$T$505))</f>
        <v>800000</v>
      </c>
      <c r="E33" s="10" t="n">
        <f aca="false">IF($A33="","",SUMIF('NHẬP ĐƠN HÀNG'!$H$6:$H$505,$A33,'NHẬP ĐƠN HÀNG'!$U$6:$U$505))</f>
        <v>340000</v>
      </c>
      <c r="F33" s="11" t="n">
        <f aca="false">IF(OR($A33="",$C33=0),"",$E33/$C33)</f>
        <v>0.298245614035088</v>
      </c>
    </row>
    <row r="34" customFormat="false" ht="15" hidden="false" customHeight="false" outlineLevel="0" collapsed="false">
      <c r="A34" s="16" t="str">
        <f aca="false">IFERROR(INDEX('NHẬP ĐƠN HÀNG'!$H$6:$H$505,MATCH(2,'NHẬP ĐƠN HÀNG'!$AC$6:$AC$505,0)),"")</f>
        <v>GẤU TEDDY 25CM TRẮNG</v>
      </c>
      <c r="B34" s="10" t="n">
        <f aca="false">IF($A34="","",SUMIF('NHẬP ĐƠN HÀNG'!$H$6:$H$505,$A34,'NHẬP ĐƠN HÀNG'!$I$6:$I$505))</f>
        <v>210</v>
      </c>
      <c r="C34" s="10" t="n">
        <f aca="false">IF($A34="","",SUMIF('NHẬP ĐƠN HÀNG'!$H$6:$H$505,$A34,'NHẬP ĐƠN HÀNG'!$L$6:$L$505))</f>
        <v>10000000</v>
      </c>
      <c r="D34" s="10" t="n">
        <f aca="false">IF($A34="","",SUMIF('NHẬP ĐƠN HÀNG'!$H$6:$H$505,$A34,'NHẬP ĐƠN HÀNG'!$T$6:$T$505))</f>
        <v>7350000</v>
      </c>
      <c r="E34" s="10" t="n">
        <f aca="false">IF($A34="","",SUMIF('NHẬP ĐƠN HÀNG'!$H$6:$H$505,$A34,'NHẬP ĐƠN HÀNG'!$U$6:$U$505))</f>
        <v>2650000</v>
      </c>
      <c r="F34" s="11" t="n">
        <f aca="false">IF(OR($A34="",$C34=0),"",$E34/$C34)</f>
        <v>0.265</v>
      </c>
    </row>
    <row r="35" customFormat="false" ht="15" hidden="false" customHeight="false" outlineLevel="0" collapsed="false">
      <c r="A35" s="16" t="str">
        <f aca="false">IFERROR(INDEX('NHẬP ĐƠN HÀNG'!$H$6:$H$505,MATCH(3,'NHẬP ĐƠN HÀNG'!$AC$6:$AC$505,0)),"")</f>
        <v>GỐI ÔM CỎ</v>
      </c>
      <c r="B35" s="10" t="n">
        <f aca="false">IF($A35="","",SUMIF('NHẬP ĐƠN HÀNG'!$H$6:$H$505,$A35,'NHẬP ĐƠN HÀNG'!$I$6:$I$505))</f>
        <v>80</v>
      </c>
      <c r="C35" s="10" t="n">
        <f aca="false">IF($A35="","",SUMIF('NHẬP ĐƠN HÀNG'!$H$6:$H$505,$A35,'NHẬP ĐƠN HÀNG'!$L$6:$L$505))</f>
        <v>4160000</v>
      </c>
      <c r="D35" s="10" t="n">
        <f aca="false">IF($A35="","",SUMIF('NHẬP ĐƠN HÀNG'!$H$6:$H$505,$A35,'NHẬP ĐƠN HÀNG'!$T$6:$T$505))</f>
        <v>2800000</v>
      </c>
      <c r="E35" s="10" t="n">
        <f aca="false">IF($A35="","",SUMIF('NHẬP ĐƠN HÀNG'!$H$6:$H$505,$A35,'NHẬP ĐƠN HÀNG'!$U$6:$U$505))</f>
        <v>1360000</v>
      </c>
      <c r="F35" s="11" t="n">
        <f aca="false">IF(OR($A35="",$C35=0),"",$E35/$C35)</f>
        <v>0.326923076923077</v>
      </c>
    </row>
    <row r="36" customFormat="false" ht="15" hidden="false" customHeight="false" outlineLevel="0" collapsed="false">
      <c r="A36" s="16" t="str">
        <f aca="false">IFERROR(INDEX('NHẬP ĐƠN HÀNG'!$H$6:$H$505,MATCH(4,'NHẬP ĐƠN HÀNG'!$AC$6:$AC$505,0)),"")</f>
        <v/>
      </c>
      <c r="B36" s="10" t="str">
        <f aca="false">IF($A36="","",SUMIF('NHẬP ĐƠN HÀNG'!$H$6:$H$505,$A36,'NHẬP ĐƠN HÀNG'!$I$6:$I$505))</f>
        <v/>
      </c>
      <c r="C36" s="10" t="str">
        <f aca="false">IF($A36="","",SUMIF('NHẬP ĐƠN HÀNG'!$H$6:$H$505,$A36,'NHẬP ĐƠN HÀNG'!$L$6:$L$505))</f>
        <v/>
      </c>
      <c r="D36" s="10" t="str">
        <f aca="false">IF($A36="","",SUMIF('NHẬP ĐƠN HÀNG'!$H$6:$H$505,$A36,'NHẬP ĐƠN HÀNG'!$T$6:$T$505))</f>
        <v/>
      </c>
      <c r="E36" s="10" t="str">
        <f aca="false">IF($A36="","",SUMIF('NHẬP ĐƠN HÀNG'!$H$6:$H$505,$A36,'NHẬP ĐƠN HÀNG'!$U$6:$U$505))</f>
        <v/>
      </c>
      <c r="F36" s="11" t="str">
        <f aca="false">IF(OR($A36="",$C36=0),"",$E36/$C36)</f>
        <v/>
      </c>
    </row>
    <row r="37" customFormat="false" ht="15" hidden="false" customHeight="false" outlineLevel="0" collapsed="false">
      <c r="A37" s="16" t="str">
        <f aca="false">IFERROR(INDEX('NHẬP ĐƠN HÀNG'!$H$6:$H$505,MATCH(5,'NHẬP ĐƠN HÀNG'!$AC$6:$AC$505,0)),"")</f>
        <v/>
      </c>
      <c r="B37" s="10" t="str">
        <f aca="false">IF($A37="","",SUMIF('NHẬP ĐƠN HÀNG'!$H$6:$H$505,$A37,'NHẬP ĐƠN HÀNG'!$I$6:$I$505))</f>
        <v/>
      </c>
      <c r="C37" s="10" t="str">
        <f aca="false">IF($A37="","",SUMIF('NHẬP ĐƠN HÀNG'!$H$6:$H$505,$A37,'NHẬP ĐƠN HÀNG'!$L$6:$L$505))</f>
        <v/>
      </c>
      <c r="D37" s="10" t="str">
        <f aca="false">IF($A37="","",SUMIF('NHẬP ĐƠN HÀNG'!$H$6:$H$505,$A37,'NHẬP ĐƠN HÀNG'!$T$6:$T$505))</f>
        <v/>
      </c>
      <c r="E37" s="10" t="str">
        <f aca="false">IF($A37="","",SUMIF('NHẬP ĐƠN HÀNG'!$H$6:$H$505,$A37,'NHẬP ĐƠN HÀNG'!$U$6:$U$505))</f>
        <v/>
      </c>
      <c r="F37" s="11" t="str">
        <f aca="false">IF(OR($A37="",$C37=0),"",$E37/$C37)</f>
        <v/>
      </c>
    </row>
    <row r="38" customFormat="false" ht="15" hidden="false" customHeight="false" outlineLevel="0" collapsed="false">
      <c r="A38" s="16" t="str">
        <f aca="false">IFERROR(INDEX('NHẬP ĐƠN HÀNG'!$H$6:$H$505,MATCH(6,'NHẬP ĐƠN HÀNG'!$AC$6:$AC$505,0)),"")</f>
        <v/>
      </c>
      <c r="B38" s="10" t="str">
        <f aca="false">IF($A38="","",SUMIF('NHẬP ĐƠN HÀNG'!$H$6:$H$505,$A38,'NHẬP ĐƠN HÀNG'!$I$6:$I$505))</f>
        <v/>
      </c>
      <c r="C38" s="10" t="str">
        <f aca="false">IF($A38="","",SUMIF('NHẬP ĐƠN HÀNG'!$H$6:$H$505,$A38,'NHẬP ĐƠN HÀNG'!$L$6:$L$505))</f>
        <v/>
      </c>
      <c r="D38" s="10" t="str">
        <f aca="false">IF($A38="","",SUMIF('NHẬP ĐƠN HÀNG'!$H$6:$H$505,$A38,'NHẬP ĐƠN HÀNG'!$T$6:$T$505))</f>
        <v/>
      </c>
      <c r="E38" s="10" t="str">
        <f aca="false">IF($A38="","",SUMIF('NHẬP ĐƠN HÀNG'!$H$6:$H$505,$A38,'NHẬP ĐƠN HÀNG'!$U$6:$U$505))</f>
        <v/>
      </c>
      <c r="F38" s="11" t="str">
        <f aca="false">IF(OR($A38="",$C38=0),"",$E38/$C38)</f>
        <v/>
      </c>
    </row>
    <row r="39" customFormat="false" ht="15" hidden="false" customHeight="false" outlineLevel="0" collapsed="false">
      <c r="A39" s="16" t="str">
        <f aca="false">IFERROR(INDEX('NHẬP ĐƠN HÀNG'!$H$6:$H$505,MATCH(7,'NHẬP ĐƠN HÀNG'!$AC$6:$AC$505,0)),"")</f>
        <v/>
      </c>
      <c r="B39" s="10" t="str">
        <f aca="false">IF($A39="","",SUMIF('NHẬP ĐƠN HÀNG'!$H$6:$H$505,$A39,'NHẬP ĐƠN HÀNG'!$I$6:$I$505))</f>
        <v/>
      </c>
      <c r="C39" s="10" t="str">
        <f aca="false">IF($A39="","",SUMIF('NHẬP ĐƠN HÀNG'!$H$6:$H$505,$A39,'NHẬP ĐƠN HÀNG'!$L$6:$L$505))</f>
        <v/>
      </c>
      <c r="D39" s="10" t="str">
        <f aca="false">IF($A39="","",SUMIF('NHẬP ĐƠN HÀNG'!$H$6:$H$505,$A39,'NHẬP ĐƠN HÀNG'!$T$6:$T$505))</f>
        <v/>
      </c>
      <c r="E39" s="10" t="str">
        <f aca="false">IF($A39="","",SUMIF('NHẬP ĐƠN HÀNG'!$H$6:$H$505,$A39,'NHẬP ĐƠN HÀNG'!$U$6:$U$505))</f>
        <v/>
      </c>
      <c r="F39" s="11" t="str">
        <f aca="false">IF(OR($A39="",$C39=0),"",$E39/$C39)</f>
        <v/>
      </c>
    </row>
    <row r="40" customFormat="false" ht="15" hidden="false" customHeight="false" outlineLevel="0" collapsed="false">
      <c r="A40" s="16" t="str">
        <f aca="false">IFERROR(INDEX('NHẬP ĐƠN HÀNG'!$H$6:$H$505,MATCH(8,'NHẬP ĐƠN HÀNG'!$AC$6:$AC$505,0)),"")</f>
        <v/>
      </c>
      <c r="B40" s="10" t="str">
        <f aca="false">IF($A40="","",SUMIF('NHẬP ĐƠN HÀNG'!$H$6:$H$505,$A40,'NHẬP ĐƠN HÀNG'!$I$6:$I$505))</f>
        <v/>
      </c>
      <c r="C40" s="10" t="str">
        <f aca="false">IF($A40="","",SUMIF('NHẬP ĐƠN HÀNG'!$H$6:$H$505,$A40,'NHẬP ĐƠN HÀNG'!$L$6:$L$505))</f>
        <v/>
      </c>
      <c r="D40" s="10" t="str">
        <f aca="false">IF($A40="","",SUMIF('NHẬP ĐƠN HÀNG'!$H$6:$H$505,$A40,'NHẬP ĐƠN HÀNG'!$T$6:$T$505))</f>
        <v/>
      </c>
      <c r="E40" s="10" t="str">
        <f aca="false">IF($A40="","",SUMIF('NHẬP ĐƠN HÀNG'!$H$6:$H$505,$A40,'NHẬP ĐƠN HÀNG'!$U$6:$U$505))</f>
        <v/>
      </c>
      <c r="F40" s="11" t="str">
        <f aca="false">IF(OR($A40="",$C40=0),"",$E40/$C40)</f>
        <v/>
      </c>
    </row>
    <row r="41" customFormat="false" ht="15" hidden="false" customHeight="false" outlineLevel="0" collapsed="false">
      <c r="A41" s="16" t="str">
        <f aca="false">IFERROR(INDEX('NHẬP ĐƠN HÀNG'!$H$6:$H$505,MATCH(9,'NHẬP ĐƠN HÀNG'!$AC$6:$AC$505,0)),"")</f>
        <v/>
      </c>
      <c r="B41" s="10" t="str">
        <f aca="false">IF($A41="","",SUMIF('NHẬP ĐƠN HÀNG'!$H$6:$H$505,$A41,'NHẬP ĐƠN HÀNG'!$I$6:$I$505))</f>
        <v/>
      </c>
      <c r="C41" s="10" t="str">
        <f aca="false">IF($A41="","",SUMIF('NHẬP ĐƠN HÀNG'!$H$6:$H$505,$A41,'NHẬP ĐƠN HÀNG'!$L$6:$L$505))</f>
        <v/>
      </c>
      <c r="D41" s="10" t="str">
        <f aca="false">IF($A41="","",SUMIF('NHẬP ĐƠN HÀNG'!$H$6:$H$505,$A41,'NHẬP ĐƠN HÀNG'!$T$6:$T$505))</f>
        <v/>
      </c>
      <c r="E41" s="10" t="str">
        <f aca="false">IF($A41="","",SUMIF('NHẬP ĐƠN HÀNG'!$H$6:$H$505,$A41,'NHẬP ĐƠN HÀNG'!$U$6:$U$505))</f>
        <v/>
      </c>
      <c r="F41" s="11" t="str">
        <f aca="false">IF(OR($A41="",$C41=0),"",$E41/$C41)</f>
        <v/>
      </c>
    </row>
    <row r="42" customFormat="false" ht="15" hidden="false" customHeight="false" outlineLevel="0" collapsed="false">
      <c r="A42" s="16" t="str">
        <f aca="false">IFERROR(INDEX('NHẬP ĐƠN HÀNG'!$H$6:$H$505,MATCH(10,'NHẬP ĐƠN HÀNG'!$AC$6:$AC$505,0)),"")</f>
        <v/>
      </c>
      <c r="B42" s="10" t="str">
        <f aca="false">IF($A42="","",SUMIF('NHẬP ĐƠN HÀNG'!$H$6:$H$505,$A42,'NHẬP ĐƠN HÀNG'!$I$6:$I$505))</f>
        <v/>
      </c>
      <c r="C42" s="10" t="str">
        <f aca="false">IF($A42="","",SUMIF('NHẬP ĐƠN HÀNG'!$H$6:$H$505,$A42,'NHẬP ĐƠN HÀNG'!$L$6:$L$505))</f>
        <v/>
      </c>
      <c r="D42" s="10" t="str">
        <f aca="false">IF($A42="","",SUMIF('NHẬP ĐƠN HÀNG'!$H$6:$H$505,$A42,'NHẬP ĐƠN HÀNG'!$T$6:$T$505))</f>
        <v/>
      </c>
      <c r="E42" s="10" t="str">
        <f aca="false">IF($A42="","",SUMIF('NHẬP ĐƠN HÀNG'!$H$6:$H$505,$A42,'NHẬP ĐƠN HÀNG'!$U$6:$U$505))</f>
        <v/>
      </c>
      <c r="F42" s="11" t="str">
        <f aca="false">IF(OR($A42="",$C42=0),"",$E42/$C42)</f>
        <v/>
      </c>
    </row>
    <row r="43" customFormat="false" ht="15" hidden="false" customHeight="false" outlineLevel="0" collapsed="false">
      <c r="A43" s="16" t="str">
        <f aca="false">IFERROR(INDEX('NHẬP ĐƠN HÀNG'!$H$6:$H$505,MATCH(11,'NHẬP ĐƠN HÀNG'!$AC$6:$AC$505,0)),"")</f>
        <v/>
      </c>
      <c r="B43" s="10" t="str">
        <f aca="false">IF($A43="","",SUMIF('NHẬP ĐƠN HÀNG'!$H$6:$H$505,$A43,'NHẬP ĐƠN HÀNG'!$I$6:$I$505))</f>
        <v/>
      </c>
      <c r="C43" s="10" t="str">
        <f aca="false">IF($A43="","",SUMIF('NHẬP ĐƠN HÀNG'!$H$6:$H$505,$A43,'NHẬP ĐƠN HÀNG'!$L$6:$L$505))</f>
        <v/>
      </c>
      <c r="D43" s="10" t="str">
        <f aca="false">IF($A43="","",SUMIF('NHẬP ĐƠN HÀNG'!$H$6:$H$505,$A43,'NHẬP ĐƠN HÀNG'!$T$6:$T$505))</f>
        <v/>
      </c>
      <c r="E43" s="10" t="str">
        <f aca="false">IF($A43="","",SUMIF('NHẬP ĐƠN HÀNG'!$H$6:$H$505,$A43,'NHẬP ĐƠN HÀNG'!$U$6:$U$505))</f>
        <v/>
      </c>
      <c r="F43" s="11" t="str">
        <f aca="false">IF(OR($A43="",$C43=0),"",$E43/$C43)</f>
        <v/>
      </c>
    </row>
    <row r="44" customFormat="false" ht="15" hidden="false" customHeight="false" outlineLevel="0" collapsed="false">
      <c r="A44" s="16" t="str">
        <f aca="false">IFERROR(INDEX('NHẬP ĐƠN HÀNG'!$H$6:$H$505,MATCH(12,'NHẬP ĐƠN HÀNG'!$AC$6:$AC$505,0)),"")</f>
        <v/>
      </c>
      <c r="B44" s="10" t="str">
        <f aca="false">IF($A44="","",SUMIF('NHẬP ĐƠN HÀNG'!$H$6:$H$505,$A44,'NHẬP ĐƠN HÀNG'!$I$6:$I$505))</f>
        <v/>
      </c>
      <c r="C44" s="10" t="str">
        <f aca="false">IF($A44="","",SUMIF('NHẬP ĐƠN HÀNG'!$H$6:$H$505,$A44,'NHẬP ĐƠN HÀNG'!$L$6:$L$505))</f>
        <v/>
      </c>
      <c r="D44" s="10" t="str">
        <f aca="false">IF($A44="","",SUMIF('NHẬP ĐƠN HÀNG'!$H$6:$H$505,$A44,'NHẬP ĐƠN HÀNG'!$T$6:$T$505))</f>
        <v/>
      </c>
      <c r="E44" s="10" t="str">
        <f aca="false">IF($A44="","",SUMIF('NHẬP ĐƠN HÀNG'!$H$6:$H$505,$A44,'NHẬP ĐƠN HÀNG'!$U$6:$U$505))</f>
        <v/>
      </c>
      <c r="F44" s="11" t="str">
        <f aca="false">IF(OR($A44="",$C44=0),"",$E44/$C44)</f>
        <v/>
      </c>
    </row>
    <row r="45" customFormat="false" ht="15" hidden="false" customHeight="false" outlineLevel="0" collapsed="false">
      <c r="A45" s="16" t="str">
        <f aca="false">IFERROR(INDEX('NHẬP ĐƠN HÀNG'!$H$6:$H$505,MATCH(13,'NHẬP ĐƠN HÀNG'!$AC$6:$AC$505,0)),"")</f>
        <v/>
      </c>
      <c r="B45" s="10" t="str">
        <f aca="false">IF($A45="","",SUMIF('NHẬP ĐƠN HÀNG'!$H$6:$H$505,$A45,'NHẬP ĐƠN HÀNG'!$I$6:$I$505))</f>
        <v/>
      </c>
      <c r="C45" s="10" t="str">
        <f aca="false">IF($A45="","",SUMIF('NHẬP ĐƠN HÀNG'!$H$6:$H$505,$A45,'NHẬP ĐƠN HÀNG'!$L$6:$L$505))</f>
        <v/>
      </c>
      <c r="D45" s="10" t="str">
        <f aca="false">IF($A45="","",SUMIF('NHẬP ĐƠN HÀNG'!$H$6:$H$505,$A45,'NHẬP ĐƠN HÀNG'!$T$6:$T$505))</f>
        <v/>
      </c>
      <c r="E45" s="10" t="str">
        <f aca="false">IF($A45="","",SUMIF('NHẬP ĐƠN HÀNG'!$H$6:$H$505,$A45,'NHẬP ĐƠN HÀNG'!$U$6:$U$505))</f>
        <v/>
      </c>
      <c r="F45" s="11" t="str">
        <f aca="false">IF(OR($A45="",$C45=0),"",$E45/$C45)</f>
        <v/>
      </c>
    </row>
    <row r="46" customFormat="false" ht="15" hidden="false" customHeight="false" outlineLevel="0" collapsed="false">
      <c r="A46" s="16" t="str">
        <f aca="false">IFERROR(INDEX('NHẬP ĐƠN HÀNG'!$H$6:$H$505,MATCH(14,'NHẬP ĐƠN HÀNG'!$AC$6:$AC$505,0)),"")</f>
        <v/>
      </c>
      <c r="B46" s="10" t="str">
        <f aca="false">IF($A46="","",SUMIF('NHẬP ĐƠN HÀNG'!$H$6:$H$505,$A46,'NHẬP ĐƠN HÀNG'!$I$6:$I$505))</f>
        <v/>
      </c>
      <c r="C46" s="10" t="str">
        <f aca="false">IF($A46="","",SUMIF('NHẬP ĐƠN HÀNG'!$H$6:$H$505,$A46,'NHẬP ĐƠN HÀNG'!$L$6:$L$505))</f>
        <v/>
      </c>
      <c r="D46" s="10" t="str">
        <f aca="false">IF($A46="","",SUMIF('NHẬP ĐƠN HÀNG'!$H$6:$H$505,$A46,'NHẬP ĐƠN HÀNG'!$T$6:$T$505))</f>
        <v/>
      </c>
      <c r="E46" s="10" t="str">
        <f aca="false">IF($A46="","",SUMIF('NHẬP ĐƠN HÀNG'!$H$6:$H$505,$A46,'NHẬP ĐƠN HÀNG'!$U$6:$U$505))</f>
        <v/>
      </c>
      <c r="F46" s="11" t="str">
        <f aca="false">IF(OR($A46="",$C46=0),"",$E46/$C46)</f>
        <v/>
      </c>
    </row>
    <row r="47" customFormat="false" ht="15" hidden="false" customHeight="false" outlineLevel="0" collapsed="false">
      <c r="A47" s="16" t="str">
        <f aca="false">IFERROR(INDEX('NHẬP ĐƠN HÀNG'!$H$6:$H$505,MATCH(15,'NHẬP ĐƠN HÀNG'!$AC$6:$AC$505,0)),"")</f>
        <v/>
      </c>
      <c r="B47" s="10" t="str">
        <f aca="false">IF($A47="","",SUMIF('NHẬP ĐƠN HÀNG'!$H$6:$H$505,$A47,'NHẬP ĐƠN HÀNG'!$I$6:$I$505))</f>
        <v/>
      </c>
      <c r="C47" s="10" t="str">
        <f aca="false">IF($A47="","",SUMIF('NHẬP ĐƠN HÀNG'!$H$6:$H$505,$A47,'NHẬP ĐƠN HÀNG'!$L$6:$L$505))</f>
        <v/>
      </c>
      <c r="D47" s="10" t="str">
        <f aca="false">IF($A47="","",SUMIF('NHẬP ĐƠN HÀNG'!$H$6:$H$505,$A47,'NHẬP ĐƠN HÀNG'!$T$6:$T$505))</f>
        <v/>
      </c>
      <c r="E47" s="10" t="str">
        <f aca="false">IF($A47="","",SUMIF('NHẬP ĐƠN HÀNG'!$H$6:$H$505,$A47,'NHẬP ĐƠN HÀNG'!$U$6:$U$505))</f>
        <v/>
      </c>
      <c r="F47" s="11" t="str">
        <f aca="false">IF(OR($A47="",$C47=0),"",$E47/$C47)</f>
        <v/>
      </c>
    </row>
    <row r="48" customFormat="false" ht="15" hidden="false" customHeight="false" outlineLevel="0" collapsed="false">
      <c r="A48" s="16" t="str">
        <f aca="false">IFERROR(INDEX('NHẬP ĐƠN HÀNG'!$H$6:$H$505,MATCH(16,'NHẬP ĐƠN HÀNG'!$AC$6:$AC$505,0)),"")</f>
        <v/>
      </c>
      <c r="B48" s="10" t="str">
        <f aca="false">IF($A48="","",SUMIF('NHẬP ĐƠN HÀNG'!$H$6:$H$505,$A48,'NHẬP ĐƠN HÀNG'!$I$6:$I$505))</f>
        <v/>
      </c>
      <c r="C48" s="10" t="str">
        <f aca="false">IF($A48="","",SUMIF('NHẬP ĐƠN HÀNG'!$H$6:$H$505,$A48,'NHẬP ĐƠN HÀNG'!$L$6:$L$505))</f>
        <v/>
      </c>
      <c r="D48" s="10" t="str">
        <f aca="false">IF($A48="","",SUMIF('NHẬP ĐƠN HÀNG'!$H$6:$H$505,$A48,'NHẬP ĐƠN HÀNG'!$T$6:$T$505))</f>
        <v/>
      </c>
      <c r="E48" s="10" t="str">
        <f aca="false">IF($A48="","",SUMIF('NHẬP ĐƠN HÀNG'!$H$6:$H$505,$A48,'NHẬP ĐƠN HÀNG'!$U$6:$U$505))</f>
        <v/>
      </c>
      <c r="F48" s="11" t="str">
        <f aca="false">IF(OR($A48="",$C48=0),"",$E48/$C48)</f>
        <v/>
      </c>
    </row>
    <row r="49" customFormat="false" ht="15" hidden="false" customHeight="false" outlineLevel="0" collapsed="false">
      <c r="A49" s="16" t="str">
        <f aca="false">IFERROR(INDEX('NHẬP ĐƠN HÀNG'!$H$6:$H$505,MATCH(17,'NHẬP ĐƠN HÀNG'!$AC$6:$AC$505,0)),"")</f>
        <v/>
      </c>
      <c r="B49" s="10" t="str">
        <f aca="false">IF($A49="","",SUMIF('NHẬP ĐƠN HÀNG'!$H$6:$H$505,$A49,'NHẬP ĐƠN HÀNG'!$I$6:$I$505))</f>
        <v/>
      </c>
      <c r="C49" s="10" t="str">
        <f aca="false">IF($A49="","",SUMIF('NHẬP ĐƠN HÀNG'!$H$6:$H$505,$A49,'NHẬP ĐƠN HÀNG'!$L$6:$L$505))</f>
        <v/>
      </c>
      <c r="D49" s="10" t="str">
        <f aca="false">IF($A49="","",SUMIF('NHẬP ĐƠN HÀNG'!$H$6:$H$505,$A49,'NHẬP ĐƠN HÀNG'!$T$6:$T$505))</f>
        <v/>
      </c>
      <c r="E49" s="10" t="str">
        <f aca="false">IF($A49="","",SUMIF('NHẬP ĐƠN HÀNG'!$H$6:$H$505,$A49,'NHẬP ĐƠN HÀNG'!$U$6:$U$505))</f>
        <v/>
      </c>
      <c r="F49" s="11" t="str">
        <f aca="false">IF(OR($A49="",$C49=0),"",$E49/$C49)</f>
        <v/>
      </c>
    </row>
    <row r="50" customFormat="false" ht="15" hidden="false" customHeight="false" outlineLevel="0" collapsed="false">
      <c r="A50" s="16" t="str">
        <f aca="false">IFERROR(INDEX('NHẬP ĐƠN HÀNG'!$H$6:$H$505,MATCH(18,'NHẬP ĐƠN HÀNG'!$AC$6:$AC$505,0)),"")</f>
        <v/>
      </c>
      <c r="B50" s="10" t="str">
        <f aca="false">IF($A50="","",SUMIF('NHẬP ĐƠN HÀNG'!$H$6:$H$505,$A50,'NHẬP ĐƠN HÀNG'!$I$6:$I$505))</f>
        <v/>
      </c>
      <c r="C50" s="10" t="str">
        <f aca="false">IF($A50="","",SUMIF('NHẬP ĐƠN HÀNG'!$H$6:$H$505,$A50,'NHẬP ĐƠN HÀNG'!$L$6:$L$505))</f>
        <v/>
      </c>
      <c r="D50" s="10" t="str">
        <f aca="false">IF($A50="","",SUMIF('NHẬP ĐƠN HÀNG'!$H$6:$H$505,$A50,'NHẬP ĐƠN HÀNG'!$T$6:$T$505))</f>
        <v/>
      </c>
      <c r="E50" s="10" t="str">
        <f aca="false">IF($A50="","",SUMIF('NHẬP ĐƠN HÀNG'!$H$6:$H$505,$A50,'NHẬP ĐƠN HÀNG'!$U$6:$U$505))</f>
        <v/>
      </c>
      <c r="F50" s="11" t="str">
        <f aca="false">IF(OR($A50="",$C50=0),"",$E50/$C50)</f>
        <v/>
      </c>
    </row>
    <row r="51" customFormat="false" ht="15" hidden="false" customHeight="false" outlineLevel="0" collapsed="false">
      <c r="A51" s="16" t="str">
        <f aca="false">IFERROR(INDEX('NHẬP ĐƠN HÀNG'!$H$6:$H$505,MATCH(19,'NHẬP ĐƠN HÀNG'!$AC$6:$AC$505,0)),"")</f>
        <v/>
      </c>
      <c r="B51" s="10" t="str">
        <f aca="false">IF($A51="","",SUMIF('NHẬP ĐƠN HÀNG'!$H$6:$H$505,$A51,'NHẬP ĐƠN HÀNG'!$I$6:$I$505))</f>
        <v/>
      </c>
      <c r="C51" s="10" t="str">
        <f aca="false">IF($A51="","",SUMIF('NHẬP ĐƠN HÀNG'!$H$6:$H$505,$A51,'NHẬP ĐƠN HÀNG'!$L$6:$L$505))</f>
        <v/>
      </c>
      <c r="D51" s="10" t="str">
        <f aca="false">IF($A51="","",SUMIF('NHẬP ĐƠN HÀNG'!$H$6:$H$505,$A51,'NHẬP ĐƠN HÀNG'!$T$6:$T$505))</f>
        <v/>
      </c>
      <c r="E51" s="10" t="str">
        <f aca="false">IF($A51="","",SUMIF('NHẬP ĐƠN HÀNG'!$H$6:$H$505,$A51,'NHẬP ĐƠN HÀNG'!$U$6:$U$505))</f>
        <v/>
      </c>
      <c r="F51" s="11" t="str">
        <f aca="false">IF(OR($A51="",$C51=0),"",$E51/$C51)</f>
        <v/>
      </c>
    </row>
    <row r="52" customFormat="false" ht="15" hidden="false" customHeight="false" outlineLevel="0" collapsed="false">
      <c r="A52" s="16" t="str">
        <f aca="false">IFERROR(INDEX('NHẬP ĐƠN HÀNG'!$H$6:$H$505,MATCH(20,'NHẬP ĐƠN HÀNG'!$AC$6:$AC$505,0)),"")</f>
        <v/>
      </c>
      <c r="B52" s="10" t="str">
        <f aca="false">IF($A52="","",SUMIF('NHẬP ĐƠN HÀNG'!$H$6:$H$505,$A52,'NHẬP ĐƠN HÀNG'!$I$6:$I$505))</f>
        <v/>
      </c>
      <c r="C52" s="10" t="str">
        <f aca="false">IF($A52="","",SUMIF('NHẬP ĐƠN HÀNG'!$H$6:$H$505,$A52,'NHẬP ĐƠN HÀNG'!$L$6:$L$505))</f>
        <v/>
      </c>
      <c r="D52" s="10" t="str">
        <f aca="false">IF($A52="","",SUMIF('NHẬP ĐƠN HÀNG'!$H$6:$H$505,$A52,'NHẬP ĐƠN HÀNG'!$T$6:$T$505))</f>
        <v/>
      </c>
      <c r="E52" s="10" t="str">
        <f aca="false">IF($A52="","",SUMIF('NHẬP ĐƠN HÀNG'!$H$6:$H$505,$A52,'NHẬP ĐƠN HÀNG'!$U$6:$U$505))</f>
        <v/>
      </c>
      <c r="F52" s="11" t="str">
        <f aca="false">IF(OR($A52="",$C52=0),"",$E52/$C52)</f>
        <v/>
      </c>
    </row>
    <row r="53" customFormat="false" ht="15" hidden="false" customHeight="false" outlineLevel="0" collapsed="false">
      <c r="A53" s="16" t="str">
        <f aca="false">IFERROR(INDEX('NHẬP ĐƠN HÀNG'!$H$6:$H$505,MATCH(21,'NHẬP ĐƠN HÀNG'!$AC$6:$AC$505,0)),"")</f>
        <v/>
      </c>
      <c r="B53" s="10" t="str">
        <f aca="false">IF($A53="","",SUMIF('NHẬP ĐƠN HÀNG'!$H$6:$H$505,$A53,'NHẬP ĐƠN HÀNG'!$I$6:$I$505))</f>
        <v/>
      </c>
      <c r="C53" s="10" t="str">
        <f aca="false">IF($A53="","",SUMIF('NHẬP ĐƠN HÀNG'!$H$6:$H$505,$A53,'NHẬP ĐƠN HÀNG'!$L$6:$L$505))</f>
        <v/>
      </c>
      <c r="D53" s="10" t="str">
        <f aca="false">IF($A53="","",SUMIF('NHẬP ĐƠN HÀNG'!$H$6:$H$505,$A53,'NHẬP ĐƠN HÀNG'!$T$6:$T$505))</f>
        <v/>
      </c>
      <c r="E53" s="10" t="str">
        <f aca="false">IF($A53="","",SUMIF('NHẬP ĐƠN HÀNG'!$H$6:$H$505,$A53,'NHẬP ĐƠN HÀNG'!$U$6:$U$505))</f>
        <v/>
      </c>
      <c r="F53" s="11" t="str">
        <f aca="false">IF(OR($A53="",$C53=0),"",$E53/$C53)</f>
        <v/>
      </c>
    </row>
    <row r="54" customFormat="false" ht="15" hidden="false" customHeight="false" outlineLevel="0" collapsed="false">
      <c r="A54" s="16" t="str">
        <f aca="false">IFERROR(INDEX('NHẬP ĐƠN HÀNG'!$H$6:$H$505,MATCH(22,'NHẬP ĐƠN HÀNG'!$AC$6:$AC$505,0)),"")</f>
        <v/>
      </c>
      <c r="B54" s="10" t="str">
        <f aca="false">IF($A54="","",SUMIF('NHẬP ĐƠN HÀNG'!$H$6:$H$505,$A54,'NHẬP ĐƠN HÀNG'!$I$6:$I$505))</f>
        <v/>
      </c>
      <c r="C54" s="10" t="str">
        <f aca="false">IF($A54="","",SUMIF('NHẬP ĐƠN HÀNG'!$H$6:$H$505,$A54,'NHẬP ĐƠN HÀNG'!$L$6:$L$505))</f>
        <v/>
      </c>
      <c r="D54" s="10" t="str">
        <f aca="false">IF($A54="","",SUMIF('NHẬP ĐƠN HÀNG'!$H$6:$H$505,$A54,'NHẬP ĐƠN HÀNG'!$T$6:$T$505))</f>
        <v/>
      </c>
      <c r="E54" s="10" t="str">
        <f aca="false">IF($A54="","",SUMIF('NHẬP ĐƠN HÀNG'!$H$6:$H$505,$A54,'NHẬP ĐƠN HÀNG'!$U$6:$U$505))</f>
        <v/>
      </c>
      <c r="F54" s="11" t="str">
        <f aca="false">IF(OR($A54="",$C54=0),"",$E54/$C54)</f>
        <v/>
      </c>
    </row>
    <row r="55" customFormat="false" ht="15" hidden="false" customHeight="false" outlineLevel="0" collapsed="false">
      <c r="A55" s="16" t="str">
        <f aca="false">IFERROR(INDEX('NHẬP ĐƠN HÀNG'!$H$6:$H$505,MATCH(23,'NHẬP ĐƠN HÀNG'!$AC$6:$AC$505,0)),"")</f>
        <v/>
      </c>
      <c r="B55" s="10" t="str">
        <f aca="false">IF($A55="","",SUMIF('NHẬP ĐƠN HÀNG'!$H$6:$H$505,$A55,'NHẬP ĐƠN HÀNG'!$I$6:$I$505))</f>
        <v/>
      </c>
      <c r="C55" s="10" t="str">
        <f aca="false">IF($A55="","",SUMIF('NHẬP ĐƠN HÀNG'!$H$6:$H$505,$A55,'NHẬP ĐƠN HÀNG'!$L$6:$L$505))</f>
        <v/>
      </c>
      <c r="D55" s="10" t="str">
        <f aca="false">IF($A55="","",SUMIF('NHẬP ĐƠN HÀNG'!$H$6:$H$505,$A55,'NHẬP ĐƠN HÀNG'!$T$6:$T$505))</f>
        <v/>
      </c>
      <c r="E55" s="10" t="str">
        <f aca="false">IF($A55="","",SUMIF('NHẬP ĐƠN HÀNG'!$H$6:$H$505,$A55,'NHẬP ĐƠN HÀNG'!$U$6:$U$505))</f>
        <v/>
      </c>
      <c r="F55" s="11" t="str">
        <f aca="false">IF(OR($A55="",$C55=0),"",$E55/$C55)</f>
        <v/>
      </c>
    </row>
    <row r="56" customFormat="false" ht="15" hidden="false" customHeight="false" outlineLevel="0" collapsed="false">
      <c r="A56" s="16" t="str">
        <f aca="false">IFERROR(INDEX('NHẬP ĐƠN HÀNG'!$H$6:$H$505,MATCH(24,'NHẬP ĐƠN HÀNG'!$AC$6:$AC$505,0)),"")</f>
        <v/>
      </c>
      <c r="B56" s="10" t="str">
        <f aca="false">IF($A56="","",SUMIF('NHẬP ĐƠN HÀNG'!$H$6:$H$505,$A56,'NHẬP ĐƠN HÀNG'!$I$6:$I$505))</f>
        <v/>
      </c>
      <c r="C56" s="10" t="str">
        <f aca="false">IF($A56="","",SUMIF('NHẬP ĐƠN HÀNG'!$H$6:$H$505,$A56,'NHẬP ĐƠN HÀNG'!$L$6:$L$505))</f>
        <v/>
      </c>
      <c r="D56" s="10" t="str">
        <f aca="false">IF($A56="","",SUMIF('NHẬP ĐƠN HÀNG'!$H$6:$H$505,$A56,'NHẬP ĐƠN HÀNG'!$T$6:$T$505))</f>
        <v/>
      </c>
      <c r="E56" s="10" t="str">
        <f aca="false">IF($A56="","",SUMIF('NHẬP ĐƠN HÀNG'!$H$6:$H$505,$A56,'NHẬP ĐƠN HÀNG'!$U$6:$U$505))</f>
        <v/>
      </c>
      <c r="F56" s="11" t="str">
        <f aca="false">IF(OR($A56="",$C56=0),"",$E56/$C56)</f>
        <v/>
      </c>
    </row>
    <row r="57" customFormat="false" ht="15" hidden="false" customHeight="false" outlineLevel="0" collapsed="false">
      <c r="A57" s="16" t="str">
        <f aca="false">IFERROR(INDEX('NHẬP ĐƠN HÀNG'!$H$6:$H$505,MATCH(25,'NHẬP ĐƠN HÀNG'!$AC$6:$AC$505,0)),"")</f>
        <v/>
      </c>
      <c r="B57" s="10" t="str">
        <f aca="false">IF($A57="","",SUMIF('NHẬP ĐƠN HÀNG'!$H$6:$H$505,$A57,'NHẬP ĐƠN HÀNG'!$I$6:$I$505))</f>
        <v/>
      </c>
      <c r="C57" s="10" t="str">
        <f aca="false">IF($A57="","",SUMIF('NHẬP ĐƠN HÀNG'!$H$6:$H$505,$A57,'NHẬP ĐƠN HÀNG'!$L$6:$L$505))</f>
        <v/>
      </c>
      <c r="D57" s="10" t="str">
        <f aca="false">IF($A57="","",SUMIF('NHẬP ĐƠN HÀNG'!$H$6:$H$505,$A57,'NHẬP ĐƠN HÀNG'!$T$6:$T$505))</f>
        <v/>
      </c>
      <c r="E57" s="10" t="str">
        <f aca="false">IF($A57="","",SUMIF('NHẬP ĐƠN HÀNG'!$H$6:$H$505,$A57,'NHẬP ĐƠN HÀNG'!$U$6:$U$505))</f>
        <v/>
      </c>
      <c r="F57" s="11" t="str">
        <f aca="false">IF(OR($A57="",$C57=0),"",$E57/$C57)</f>
        <v/>
      </c>
    </row>
    <row r="58" customFormat="false" ht="15" hidden="false" customHeight="false" outlineLevel="0" collapsed="false">
      <c r="A58" s="16" t="str">
        <f aca="false">IFERROR(INDEX('NHẬP ĐƠN HÀNG'!$H$6:$H$505,MATCH(26,'NHẬP ĐƠN HÀNG'!$AC$6:$AC$505,0)),"")</f>
        <v/>
      </c>
      <c r="B58" s="10" t="str">
        <f aca="false">IF($A58="","",SUMIF('NHẬP ĐƠN HÀNG'!$H$6:$H$505,$A58,'NHẬP ĐƠN HÀNG'!$I$6:$I$505))</f>
        <v/>
      </c>
      <c r="C58" s="10" t="str">
        <f aca="false">IF($A58="","",SUMIF('NHẬP ĐƠN HÀNG'!$H$6:$H$505,$A58,'NHẬP ĐƠN HÀNG'!$L$6:$L$505))</f>
        <v/>
      </c>
      <c r="D58" s="10" t="str">
        <f aca="false">IF($A58="","",SUMIF('NHẬP ĐƠN HÀNG'!$H$6:$H$505,$A58,'NHẬP ĐƠN HÀNG'!$T$6:$T$505))</f>
        <v/>
      </c>
      <c r="E58" s="10" t="str">
        <f aca="false">IF($A58="","",SUMIF('NHẬP ĐƠN HÀNG'!$H$6:$H$505,$A58,'NHẬP ĐƠN HÀNG'!$U$6:$U$505))</f>
        <v/>
      </c>
      <c r="F58" s="11" t="str">
        <f aca="false">IF(OR($A58="",$C58=0),"",$E58/$C58)</f>
        <v/>
      </c>
    </row>
    <row r="59" customFormat="false" ht="15" hidden="false" customHeight="false" outlineLevel="0" collapsed="false">
      <c r="A59" s="16" t="str">
        <f aca="false">IFERROR(INDEX('NHẬP ĐƠN HÀNG'!$H$6:$H$505,MATCH(27,'NHẬP ĐƠN HÀNG'!$AC$6:$AC$505,0)),"")</f>
        <v/>
      </c>
      <c r="B59" s="10" t="str">
        <f aca="false">IF($A59="","",SUMIF('NHẬP ĐƠN HÀNG'!$H$6:$H$505,$A59,'NHẬP ĐƠN HÀNG'!$I$6:$I$505))</f>
        <v/>
      </c>
      <c r="C59" s="10" t="str">
        <f aca="false">IF($A59="","",SUMIF('NHẬP ĐƠN HÀNG'!$H$6:$H$505,$A59,'NHẬP ĐƠN HÀNG'!$L$6:$L$505))</f>
        <v/>
      </c>
      <c r="D59" s="10" t="str">
        <f aca="false">IF($A59="","",SUMIF('NHẬP ĐƠN HÀNG'!$H$6:$H$505,$A59,'NHẬP ĐƠN HÀNG'!$T$6:$T$505))</f>
        <v/>
      </c>
      <c r="E59" s="10" t="str">
        <f aca="false">IF($A59="","",SUMIF('NHẬP ĐƠN HÀNG'!$H$6:$H$505,$A59,'NHẬP ĐƠN HÀNG'!$U$6:$U$505))</f>
        <v/>
      </c>
      <c r="F59" s="11" t="str">
        <f aca="false">IF(OR($A59="",$C59=0),"",$E59/$C59)</f>
        <v/>
      </c>
    </row>
    <row r="60" customFormat="false" ht="15" hidden="false" customHeight="false" outlineLevel="0" collapsed="false">
      <c r="A60" s="16" t="str">
        <f aca="false">IFERROR(INDEX('NHẬP ĐƠN HÀNG'!$H$6:$H$505,MATCH(28,'NHẬP ĐƠN HÀNG'!$AC$6:$AC$505,0)),"")</f>
        <v/>
      </c>
      <c r="B60" s="10" t="str">
        <f aca="false">IF($A60="","",SUMIF('NHẬP ĐƠN HÀNG'!$H$6:$H$505,$A60,'NHẬP ĐƠN HÀNG'!$I$6:$I$505))</f>
        <v/>
      </c>
      <c r="C60" s="10" t="str">
        <f aca="false">IF($A60="","",SUMIF('NHẬP ĐƠN HÀNG'!$H$6:$H$505,$A60,'NHẬP ĐƠN HÀNG'!$L$6:$L$505))</f>
        <v/>
      </c>
      <c r="D60" s="10" t="str">
        <f aca="false">IF($A60="","",SUMIF('NHẬP ĐƠN HÀNG'!$H$6:$H$505,$A60,'NHẬP ĐƠN HÀNG'!$T$6:$T$505))</f>
        <v/>
      </c>
      <c r="E60" s="10" t="str">
        <f aca="false">IF($A60="","",SUMIF('NHẬP ĐƠN HÀNG'!$H$6:$H$505,$A60,'NHẬP ĐƠN HÀNG'!$U$6:$U$505))</f>
        <v/>
      </c>
      <c r="F60" s="11" t="str">
        <f aca="false">IF(OR($A60="",$C60=0),"",$E60/$C60)</f>
        <v/>
      </c>
    </row>
    <row r="61" customFormat="false" ht="15" hidden="false" customHeight="false" outlineLevel="0" collapsed="false">
      <c r="A61" s="16" t="str">
        <f aca="false">IFERROR(INDEX('NHẬP ĐƠN HÀNG'!$H$6:$H$505,MATCH(29,'NHẬP ĐƠN HÀNG'!$AC$6:$AC$505,0)),"")</f>
        <v/>
      </c>
      <c r="B61" s="10" t="str">
        <f aca="false">IF($A61="","",SUMIF('NHẬP ĐƠN HÀNG'!$H$6:$H$505,$A61,'NHẬP ĐƠN HÀNG'!$I$6:$I$505))</f>
        <v/>
      </c>
      <c r="C61" s="10" t="str">
        <f aca="false">IF($A61="","",SUMIF('NHẬP ĐƠN HÀNG'!$H$6:$H$505,$A61,'NHẬP ĐƠN HÀNG'!$L$6:$L$505))</f>
        <v/>
      </c>
      <c r="D61" s="10" t="str">
        <f aca="false">IF($A61="","",SUMIF('NHẬP ĐƠN HÀNG'!$H$6:$H$505,$A61,'NHẬP ĐƠN HÀNG'!$T$6:$T$505))</f>
        <v/>
      </c>
      <c r="E61" s="10" t="str">
        <f aca="false">IF($A61="","",SUMIF('NHẬP ĐƠN HÀNG'!$H$6:$H$505,$A61,'NHẬP ĐƠN HÀNG'!$U$6:$U$505))</f>
        <v/>
      </c>
      <c r="F61" s="11" t="str">
        <f aca="false">IF(OR($A61="",$C61=0),"",$E61/$C61)</f>
        <v/>
      </c>
    </row>
    <row r="62" customFormat="false" ht="15" hidden="false" customHeight="false" outlineLevel="0" collapsed="false">
      <c r="A62" s="16" t="str">
        <f aca="false">IFERROR(INDEX('NHẬP ĐƠN HÀNG'!$H$6:$H$505,MATCH(30,'NHẬP ĐƠN HÀNG'!$AC$6:$AC$505,0)),"")</f>
        <v/>
      </c>
      <c r="B62" s="10" t="str">
        <f aca="false">IF($A62="","",SUMIF('NHẬP ĐƠN HÀNG'!$H$6:$H$505,$A62,'NHẬP ĐƠN HÀNG'!$I$6:$I$505))</f>
        <v/>
      </c>
      <c r="C62" s="10" t="str">
        <f aca="false">IF($A62="","",SUMIF('NHẬP ĐƠN HÀNG'!$H$6:$H$505,$A62,'NHẬP ĐƠN HÀNG'!$L$6:$L$505))</f>
        <v/>
      </c>
      <c r="D62" s="10" t="str">
        <f aca="false">IF($A62="","",SUMIF('NHẬP ĐƠN HÀNG'!$H$6:$H$505,$A62,'NHẬP ĐƠN HÀNG'!$T$6:$T$505))</f>
        <v/>
      </c>
      <c r="E62" s="10" t="str">
        <f aca="false">IF($A62="","",SUMIF('NHẬP ĐƠN HÀNG'!$H$6:$H$505,$A62,'NHẬP ĐƠN HÀNG'!$U$6:$U$505))</f>
        <v/>
      </c>
      <c r="F62" s="11" t="str">
        <f aca="false">IF(OR($A62="",$C62=0),"",$E62/$C62)</f>
        <v/>
      </c>
    </row>
    <row r="63" customFormat="false" ht="15" hidden="false" customHeight="false" outlineLevel="0" collapsed="false">
      <c r="A63" s="16" t="str">
        <f aca="false">IFERROR(INDEX('NHẬP ĐƠN HÀNG'!$H$6:$H$505,MATCH(31,'NHẬP ĐƠN HÀNG'!$AC$6:$AC$505,0)),"")</f>
        <v/>
      </c>
      <c r="B63" s="10" t="str">
        <f aca="false">IF($A63="","",SUMIF('NHẬP ĐƠN HÀNG'!$H$6:$H$505,$A63,'NHẬP ĐƠN HÀNG'!$I$6:$I$505))</f>
        <v/>
      </c>
      <c r="C63" s="10" t="str">
        <f aca="false">IF($A63="","",SUMIF('NHẬP ĐƠN HÀNG'!$H$6:$H$505,$A63,'NHẬP ĐƠN HÀNG'!$L$6:$L$505))</f>
        <v/>
      </c>
      <c r="D63" s="10" t="str">
        <f aca="false">IF($A63="","",SUMIF('NHẬP ĐƠN HÀNG'!$H$6:$H$505,$A63,'NHẬP ĐƠN HÀNG'!$T$6:$T$505))</f>
        <v/>
      </c>
      <c r="E63" s="10" t="str">
        <f aca="false">IF($A63="","",SUMIF('NHẬP ĐƠN HÀNG'!$H$6:$H$505,$A63,'NHẬP ĐƠN HÀNG'!$U$6:$U$505))</f>
        <v/>
      </c>
      <c r="F63" s="11" t="str">
        <f aca="false">IF(OR($A63="",$C63=0),"",$E63/$C63)</f>
        <v/>
      </c>
    </row>
    <row r="64" customFormat="false" ht="15" hidden="false" customHeight="false" outlineLevel="0" collapsed="false">
      <c r="A64" s="16" t="str">
        <f aca="false">IFERROR(INDEX('NHẬP ĐƠN HÀNG'!$H$6:$H$505,MATCH(32,'NHẬP ĐƠN HÀNG'!$AC$6:$AC$505,0)),"")</f>
        <v/>
      </c>
      <c r="B64" s="10" t="str">
        <f aca="false">IF($A64="","",SUMIF('NHẬP ĐƠN HÀNG'!$H$6:$H$505,$A64,'NHẬP ĐƠN HÀNG'!$I$6:$I$505))</f>
        <v/>
      </c>
      <c r="C64" s="10" t="str">
        <f aca="false">IF($A64="","",SUMIF('NHẬP ĐƠN HÀNG'!$H$6:$H$505,$A64,'NHẬP ĐƠN HÀNG'!$L$6:$L$505))</f>
        <v/>
      </c>
      <c r="D64" s="10" t="str">
        <f aca="false">IF($A64="","",SUMIF('NHẬP ĐƠN HÀNG'!$H$6:$H$505,$A64,'NHẬP ĐƠN HÀNG'!$T$6:$T$505))</f>
        <v/>
      </c>
      <c r="E64" s="10" t="str">
        <f aca="false">IF($A64="","",SUMIF('NHẬP ĐƠN HÀNG'!$H$6:$H$505,$A64,'NHẬP ĐƠN HÀNG'!$U$6:$U$505))</f>
        <v/>
      </c>
      <c r="F64" s="11" t="str">
        <f aca="false">IF(OR($A64="",$C64=0),"",$E64/$C64)</f>
        <v/>
      </c>
    </row>
    <row r="65" customFormat="false" ht="15" hidden="false" customHeight="false" outlineLevel="0" collapsed="false">
      <c r="A65" s="16" t="str">
        <f aca="false">IFERROR(INDEX('NHẬP ĐƠN HÀNG'!$H$6:$H$505,MATCH(33,'NHẬP ĐƠN HÀNG'!$AC$6:$AC$505,0)),"")</f>
        <v/>
      </c>
      <c r="B65" s="10" t="str">
        <f aca="false">IF($A65="","",SUMIF('NHẬP ĐƠN HÀNG'!$H$6:$H$505,$A65,'NHẬP ĐƠN HÀNG'!$I$6:$I$505))</f>
        <v/>
      </c>
      <c r="C65" s="10" t="str">
        <f aca="false">IF($A65="","",SUMIF('NHẬP ĐƠN HÀNG'!$H$6:$H$505,$A65,'NHẬP ĐƠN HÀNG'!$L$6:$L$505))</f>
        <v/>
      </c>
      <c r="D65" s="10" t="str">
        <f aca="false">IF($A65="","",SUMIF('NHẬP ĐƠN HÀNG'!$H$6:$H$505,$A65,'NHẬP ĐƠN HÀNG'!$T$6:$T$505))</f>
        <v/>
      </c>
      <c r="E65" s="10" t="str">
        <f aca="false">IF($A65="","",SUMIF('NHẬP ĐƠN HÀNG'!$H$6:$H$505,$A65,'NHẬP ĐƠN HÀNG'!$U$6:$U$505))</f>
        <v/>
      </c>
      <c r="F65" s="11" t="str">
        <f aca="false">IF(OR($A65="",$C65=0),"",$E65/$C65)</f>
        <v/>
      </c>
    </row>
    <row r="66" customFormat="false" ht="15" hidden="false" customHeight="false" outlineLevel="0" collapsed="false">
      <c r="A66" s="16" t="str">
        <f aca="false">IFERROR(INDEX('NHẬP ĐƠN HÀNG'!$H$6:$H$505,MATCH(34,'NHẬP ĐƠN HÀNG'!$AC$6:$AC$505,0)),"")</f>
        <v/>
      </c>
      <c r="B66" s="10" t="str">
        <f aca="false">IF($A66="","",SUMIF('NHẬP ĐƠN HÀNG'!$H$6:$H$505,$A66,'NHẬP ĐƠN HÀNG'!$I$6:$I$505))</f>
        <v/>
      </c>
      <c r="C66" s="10" t="str">
        <f aca="false">IF($A66="","",SUMIF('NHẬP ĐƠN HÀNG'!$H$6:$H$505,$A66,'NHẬP ĐƠN HÀNG'!$L$6:$L$505))</f>
        <v/>
      </c>
      <c r="D66" s="10" t="str">
        <f aca="false">IF($A66="","",SUMIF('NHẬP ĐƠN HÀNG'!$H$6:$H$505,$A66,'NHẬP ĐƠN HÀNG'!$T$6:$T$505))</f>
        <v/>
      </c>
      <c r="E66" s="10" t="str">
        <f aca="false">IF($A66="","",SUMIF('NHẬP ĐƠN HÀNG'!$H$6:$H$505,$A66,'NHẬP ĐƠN HÀNG'!$U$6:$U$505))</f>
        <v/>
      </c>
      <c r="F66" s="11" t="str">
        <f aca="false">IF(OR($A66="",$C66=0),"",$E66/$C66)</f>
        <v/>
      </c>
    </row>
    <row r="67" customFormat="false" ht="15" hidden="false" customHeight="false" outlineLevel="0" collapsed="false">
      <c r="A67" s="16" t="str">
        <f aca="false">IFERROR(INDEX('NHẬP ĐƠN HÀNG'!$H$6:$H$505,MATCH(35,'NHẬP ĐƠN HÀNG'!$AC$6:$AC$505,0)),"")</f>
        <v/>
      </c>
      <c r="B67" s="10" t="str">
        <f aca="false">IF($A67="","",SUMIF('NHẬP ĐƠN HÀNG'!$H$6:$H$505,$A67,'NHẬP ĐƠN HÀNG'!$I$6:$I$505))</f>
        <v/>
      </c>
      <c r="C67" s="10" t="str">
        <f aca="false">IF($A67="","",SUMIF('NHẬP ĐƠN HÀNG'!$H$6:$H$505,$A67,'NHẬP ĐƠN HÀNG'!$L$6:$L$505))</f>
        <v/>
      </c>
      <c r="D67" s="10" t="str">
        <f aca="false">IF($A67="","",SUMIF('NHẬP ĐƠN HÀNG'!$H$6:$H$505,$A67,'NHẬP ĐƠN HÀNG'!$T$6:$T$505))</f>
        <v/>
      </c>
      <c r="E67" s="10" t="str">
        <f aca="false">IF($A67="","",SUMIF('NHẬP ĐƠN HÀNG'!$H$6:$H$505,$A67,'NHẬP ĐƠN HÀNG'!$U$6:$U$505))</f>
        <v/>
      </c>
      <c r="F67" s="11" t="str">
        <f aca="false">IF(OR($A67="",$C67=0),"",$E67/$C67)</f>
        <v/>
      </c>
    </row>
    <row r="68" customFormat="false" ht="15" hidden="false" customHeight="false" outlineLevel="0" collapsed="false">
      <c r="A68" s="16" t="str">
        <f aca="false">IFERROR(INDEX('NHẬP ĐƠN HÀNG'!$H$6:$H$505,MATCH(36,'NHẬP ĐƠN HÀNG'!$AC$6:$AC$505,0)),"")</f>
        <v/>
      </c>
      <c r="B68" s="10" t="str">
        <f aca="false">IF($A68="","",SUMIF('NHẬP ĐƠN HÀNG'!$H$6:$H$505,$A68,'NHẬP ĐƠN HÀNG'!$I$6:$I$505))</f>
        <v/>
      </c>
      <c r="C68" s="10" t="str">
        <f aca="false">IF($A68="","",SUMIF('NHẬP ĐƠN HÀNG'!$H$6:$H$505,$A68,'NHẬP ĐƠN HÀNG'!$L$6:$L$505))</f>
        <v/>
      </c>
      <c r="D68" s="10" t="str">
        <f aca="false">IF($A68="","",SUMIF('NHẬP ĐƠN HÀNG'!$H$6:$H$505,$A68,'NHẬP ĐƠN HÀNG'!$T$6:$T$505))</f>
        <v/>
      </c>
      <c r="E68" s="10" t="str">
        <f aca="false">IF($A68="","",SUMIF('NHẬP ĐƠN HÀNG'!$H$6:$H$505,$A68,'NHẬP ĐƠN HÀNG'!$U$6:$U$505))</f>
        <v/>
      </c>
      <c r="F68" s="11" t="str">
        <f aca="false">IF(OR($A68="",$C68=0),"",$E68/$C68)</f>
        <v/>
      </c>
    </row>
    <row r="69" customFormat="false" ht="15" hidden="false" customHeight="false" outlineLevel="0" collapsed="false">
      <c r="A69" s="16" t="str">
        <f aca="false">IFERROR(INDEX('NHẬP ĐƠN HÀNG'!$H$6:$H$505,MATCH(37,'NHẬP ĐƠN HÀNG'!$AC$6:$AC$505,0)),"")</f>
        <v/>
      </c>
      <c r="B69" s="10" t="str">
        <f aca="false">IF($A69="","",SUMIF('NHẬP ĐƠN HÀNG'!$H$6:$H$505,$A69,'NHẬP ĐƠN HÀNG'!$I$6:$I$505))</f>
        <v/>
      </c>
      <c r="C69" s="10" t="str">
        <f aca="false">IF($A69="","",SUMIF('NHẬP ĐƠN HÀNG'!$H$6:$H$505,$A69,'NHẬP ĐƠN HÀNG'!$L$6:$L$505))</f>
        <v/>
      </c>
      <c r="D69" s="10" t="str">
        <f aca="false">IF($A69="","",SUMIF('NHẬP ĐƠN HÀNG'!$H$6:$H$505,$A69,'NHẬP ĐƠN HÀNG'!$T$6:$T$505))</f>
        <v/>
      </c>
      <c r="E69" s="10" t="str">
        <f aca="false">IF($A69="","",SUMIF('NHẬP ĐƠN HÀNG'!$H$6:$H$505,$A69,'NHẬP ĐƠN HÀNG'!$U$6:$U$505))</f>
        <v/>
      </c>
      <c r="F69" s="11" t="str">
        <f aca="false">IF(OR($A69="",$C69=0),"",$E69/$C69)</f>
        <v/>
      </c>
    </row>
    <row r="70" customFormat="false" ht="15" hidden="false" customHeight="false" outlineLevel="0" collapsed="false">
      <c r="A70" s="16" t="str">
        <f aca="false">IFERROR(INDEX('NHẬP ĐƠN HÀNG'!$H$6:$H$505,MATCH(38,'NHẬP ĐƠN HÀNG'!$AC$6:$AC$505,0)),"")</f>
        <v/>
      </c>
      <c r="B70" s="10" t="str">
        <f aca="false">IF($A70="","",SUMIF('NHẬP ĐƠN HÀNG'!$H$6:$H$505,$A70,'NHẬP ĐƠN HÀNG'!$I$6:$I$505))</f>
        <v/>
      </c>
      <c r="C70" s="10" t="str">
        <f aca="false">IF($A70="","",SUMIF('NHẬP ĐƠN HÀNG'!$H$6:$H$505,$A70,'NHẬP ĐƠN HÀNG'!$L$6:$L$505))</f>
        <v/>
      </c>
      <c r="D70" s="10" t="str">
        <f aca="false">IF($A70="","",SUMIF('NHẬP ĐƠN HÀNG'!$H$6:$H$505,$A70,'NHẬP ĐƠN HÀNG'!$T$6:$T$505))</f>
        <v/>
      </c>
      <c r="E70" s="10" t="str">
        <f aca="false">IF($A70="","",SUMIF('NHẬP ĐƠN HÀNG'!$H$6:$H$505,$A70,'NHẬP ĐƠN HÀNG'!$U$6:$U$505))</f>
        <v/>
      </c>
      <c r="F70" s="11" t="str">
        <f aca="false">IF(OR($A70="",$C70=0),"",$E70/$C70)</f>
        <v/>
      </c>
    </row>
    <row r="71" customFormat="false" ht="15" hidden="false" customHeight="false" outlineLevel="0" collapsed="false">
      <c r="A71" s="16" t="str">
        <f aca="false">IFERROR(INDEX('NHẬP ĐƠN HÀNG'!$H$6:$H$505,MATCH(39,'NHẬP ĐƠN HÀNG'!$AC$6:$AC$505,0)),"")</f>
        <v/>
      </c>
      <c r="B71" s="10" t="str">
        <f aca="false">IF($A71="","",SUMIF('NHẬP ĐƠN HÀNG'!$H$6:$H$505,$A71,'NHẬP ĐƠN HÀNG'!$I$6:$I$505))</f>
        <v/>
      </c>
      <c r="C71" s="10" t="str">
        <f aca="false">IF($A71="","",SUMIF('NHẬP ĐƠN HÀNG'!$H$6:$H$505,$A71,'NHẬP ĐƠN HÀNG'!$L$6:$L$505))</f>
        <v/>
      </c>
      <c r="D71" s="10" t="str">
        <f aca="false">IF($A71="","",SUMIF('NHẬP ĐƠN HÀNG'!$H$6:$H$505,$A71,'NHẬP ĐƠN HÀNG'!$T$6:$T$505))</f>
        <v/>
      </c>
      <c r="E71" s="10" t="str">
        <f aca="false">IF($A71="","",SUMIF('NHẬP ĐƠN HÀNG'!$H$6:$H$505,$A71,'NHẬP ĐƠN HÀNG'!$U$6:$U$505))</f>
        <v/>
      </c>
      <c r="F71" s="11" t="str">
        <f aca="false">IF(OR($A71="",$C71=0),"",$E71/$C71)</f>
        <v/>
      </c>
    </row>
    <row r="72" customFormat="false" ht="15" hidden="false" customHeight="false" outlineLevel="0" collapsed="false">
      <c r="A72" s="16" t="str">
        <f aca="false">IFERROR(INDEX('NHẬP ĐƠN HÀNG'!$H$6:$H$505,MATCH(40,'NHẬP ĐƠN HÀNG'!$AC$6:$AC$505,0)),"")</f>
        <v/>
      </c>
      <c r="B72" s="10" t="str">
        <f aca="false">IF($A72="","",SUMIF('NHẬP ĐƠN HÀNG'!$H$6:$H$505,$A72,'NHẬP ĐƠN HÀNG'!$I$6:$I$505))</f>
        <v/>
      </c>
      <c r="C72" s="10" t="str">
        <f aca="false">IF($A72="","",SUMIF('NHẬP ĐƠN HÀNG'!$H$6:$H$505,$A72,'NHẬP ĐƠN HÀNG'!$L$6:$L$505))</f>
        <v/>
      </c>
      <c r="D72" s="10" t="str">
        <f aca="false">IF($A72="","",SUMIF('NHẬP ĐƠN HÀNG'!$H$6:$H$505,$A72,'NHẬP ĐƠN HÀNG'!$T$6:$T$505))</f>
        <v/>
      </c>
      <c r="E72" s="10" t="str">
        <f aca="false">IF($A72="","",SUMIF('NHẬP ĐƠN HÀNG'!$H$6:$H$505,$A72,'NHẬP ĐƠN HÀNG'!$U$6:$U$505))</f>
        <v/>
      </c>
      <c r="F72" s="11" t="str">
        <f aca="false">IF(OR($A72="",$C72=0),"",$E72/$C72)</f>
        <v/>
      </c>
    </row>
    <row r="73" customFormat="false" ht="15" hidden="false" customHeight="false" outlineLevel="0" collapsed="false">
      <c r="A73" s="16" t="str">
        <f aca="false">IFERROR(INDEX('NHẬP ĐƠN HÀNG'!$H$6:$H$505,MATCH(41,'NHẬP ĐƠN HÀNG'!$AC$6:$AC$505,0)),"")</f>
        <v/>
      </c>
      <c r="B73" s="10" t="str">
        <f aca="false">IF($A73="","",SUMIF('NHẬP ĐƠN HÀNG'!$H$6:$H$505,$A73,'NHẬP ĐƠN HÀNG'!$I$6:$I$505))</f>
        <v/>
      </c>
      <c r="C73" s="10" t="str">
        <f aca="false">IF($A73="","",SUMIF('NHẬP ĐƠN HÀNG'!$H$6:$H$505,$A73,'NHẬP ĐƠN HÀNG'!$L$6:$L$505))</f>
        <v/>
      </c>
      <c r="D73" s="10" t="str">
        <f aca="false">IF($A73="","",SUMIF('NHẬP ĐƠN HÀNG'!$H$6:$H$505,$A73,'NHẬP ĐƠN HÀNG'!$T$6:$T$505))</f>
        <v/>
      </c>
      <c r="E73" s="10" t="str">
        <f aca="false">IF($A73="","",SUMIF('NHẬP ĐƠN HÀNG'!$H$6:$H$505,$A73,'NHẬP ĐƠN HÀNG'!$U$6:$U$505))</f>
        <v/>
      </c>
      <c r="F73" s="11" t="str">
        <f aca="false">IF(OR($A73="",$C73=0),"",$E73/$C73)</f>
        <v/>
      </c>
    </row>
    <row r="74" customFormat="false" ht="15" hidden="false" customHeight="false" outlineLevel="0" collapsed="false">
      <c r="A74" s="16" t="str">
        <f aca="false">IFERROR(INDEX('NHẬP ĐƠN HÀNG'!$H$6:$H$505,MATCH(42,'NHẬP ĐƠN HÀNG'!$AC$6:$AC$505,0)),"")</f>
        <v/>
      </c>
      <c r="B74" s="10" t="str">
        <f aca="false">IF($A74="","",SUMIF('NHẬP ĐƠN HÀNG'!$H$6:$H$505,$A74,'NHẬP ĐƠN HÀNG'!$I$6:$I$505))</f>
        <v/>
      </c>
      <c r="C74" s="10" t="str">
        <f aca="false">IF($A74="","",SUMIF('NHẬP ĐƠN HÀNG'!$H$6:$H$505,$A74,'NHẬP ĐƠN HÀNG'!$L$6:$L$505))</f>
        <v/>
      </c>
      <c r="D74" s="10" t="str">
        <f aca="false">IF($A74="","",SUMIF('NHẬP ĐƠN HÀNG'!$H$6:$H$505,$A74,'NHẬP ĐƠN HÀNG'!$T$6:$T$505))</f>
        <v/>
      </c>
      <c r="E74" s="10" t="str">
        <f aca="false">IF($A74="","",SUMIF('NHẬP ĐƠN HÀNG'!$H$6:$H$505,$A74,'NHẬP ĐƠN HÀNG'!$U$6:$U$505))</f>
        <v/>
      </c>
      <c r="F74" s="11" t="str">
        <f aca="false">IF(OR($A74="",$C74=0),"",$E74/$C74)</f>
        <v/>
      </c>
    </row>
    <row r="75" customFormat="false" ht="15" hidden="false" customHeight="false" outlineLevel="0" collapsed="false">
      <c r="A75" s="16" t="str">
        <f aca="false">IFERROR(INDEX('NHẬP ĐƠN HÀNG'!$H$6:$H$505,MATCH(43,'NHẬP ĐƠN HÀNG'!$AC$6:$AC$505,0)),"")</f>
        <v/>
      </c>
      <c r="B75" s="10" t="str">
        <f aca="false">IF($A75="","",SUMIF('NHẬP ĐƠN HÀNG'!$H$6:$H$505,$A75,'NHẬP ĐƠN HÀNG'!$I$6:$I$505))</f>
        <v/>
      </c>
      <c r="C75" s="10" t="str">
        <f aca="false">IF($A75="","",SUMIF('NHẬP ĐƠN HÀNG'!$H$6:$H$505,$A75,'NHẬP ĐƠN HÀNG'!$L$6:$L$505))</f>
        <v/>
      </c>
      <c r="D75" s="10" t="str">
        <f aca="false">IF($A75="","",SUMIF('NHẬP ĐƠN HÀNG'!$H$6:$H$505,$A75,'NHẬP ĐƠN HÀNG'!$T$6:$T$505))</f>
        <v/>
      </c>
      <c r="E75" s="10" t="str">
        <f aca="false">IF($A75="","",SUMIF('NHẬP ĐƠN HÀNG'!$H$6:$H$505,$A75,'NHẬP ĐƠN HÀNG'!$U$6:$U$505))</f>
        <v/>
      </c>
      <c r="F75" s="11" t="str">
        <f aca="false">IF(OR($A75="",$C75=0),"",$E75/$C75)</f>
        <v/>
      </c>
    </row>
    <row r="76" customFormat="false" ht="15" hidden="false" customHeight="false" outlineLevel="0" collapsed="false">
      <c r="A76" s="16" t="str">
        <f aca="false">IFERROR(INDEX('NHẬP ĐƠN HÀNG'!$H$6:$H$505,MATCH(44,'NHẬP ĐƠN HÀNG'!$AC$6:$AC$505,0)),"")</f>
        <v/>
      </c>
      <c r="B76" s="10" t="str">
        <f aca="false">IF($A76="","",SUMIF('NHẬP ĐƠN HÀNG'!$H$6:$H$505,$A76,'NHẬP ĐƠN HÀNG'!$I$6:$I$505))</f>
        <v/>
      </c>
      <c r="C76" s="10" t="str">
        <f aca="false">IF($A76="","",SUMIF('NHẬP ĐƠN HÀNG'!$H$6:$H$505,$A76,'NHẬP ĐƠN HÀNG'!$L$6:$L$505))</f>
        <v/>
      </c>
      <c r="D76" s="10" t="str">
        <f aca="false">IF($A76="","",SUMIF('NHẬP ĐƠN HÀNG'!$H$6:$H$505,$A76,'NHẬP ĐƠN HÀNG'!$T$6:$T$505))</f>
        <v/>
      </c>
      <c r="E76" s="10" t="str">
        <f aca="false">IF($A76="","",SUMIF('NHẬP ĐƠN HÀNG'!$H$6:$H$505,$A76,'NHẬP ĐƠN HÀNG'!$U$6:$U$505))</f>
        <v/>
      </c>
      <c r="F76" s="11" t="str">
        <f aca="false">IF(OR($A76="",$C76=0),"",$E76/$C76)</f>
        <v/>
      </c>
    </row>
    <row r="77" customFormat="false" ht="15" hidden="false" customHeight="false" outlineLevel="0" collapsed="false">
      <c r="A77" s="16" t="str">
        <f aca="false">IFERROR(INDEX('NHẬP ĐƠN HÀNG'!$H$6:$H$505,MATCH(45,'NHẬP ĐƠN HÀNG'!$AC$6:$AC$505,0)),"")</f>
        <v/>
      </c>
      <c r="B77" s="10" t="str">
        <f aca="false">IF($A77="","",SUMIF('NHẬP ĐƠN HÀNG'!$H$6:$H$505,$A77,'NHẬP ĐƠN HÀNG'!$I$6:$I$505))</f>
        <v/>
      </c>
      <c r="C77" s="10" t="str">
        <f aca="false">IF($A77="","",SUMIF('NHẬP ĐƠN HÀNG'!$H$6:$H$505,$A77,'NHẬP ĐƠN HÀNG'!$L$6:$L$505))</f>
        <v/>
      </c>
      <c r="D77" s="10" t="str">
        <f aca="false">IF($A77="","",SUMIF('NHẬP ĐƠN HÀNG'!$H$6:$H$505,$A77,'NHẬP ĐƠN HÀNG'!$T$6:$T$505))</f>
        <v/>
      </c>
      <c r="E77" s="10" t="str">
        <f aca="false">IF($A77="","",SUMIF('NHẬP ĐƠN HÀNG'!$H$6:$H$505,$A77,'NHẬP ĐƠN HÀNG'!$U$6:$U$505))</f>
        <v/>
      </c>
      <c r="F77" s="11" t="str">
        <f aca="false">IF(OR($A77="",$C77=0),"",$E77/$C77)</f>
        <v/>
      </c>
    </row>
    <row r="78" customFormat="false" ht="15" hidden="false" customHeight="false" outlineLevel="0" collapsed="false">
      <c r="A78" s="16" t="str">
        <f aca="false">IFERROR(INDEX('NHẬP ĐƠN HÀNG'!$H$6:$H$505,MATCH(46,'NHẬP ĐƠN HÀNG'!$AC$6:$AC$505,0)),"")</f>
        <v/>
      </c>
      <c r="B78" s="10" t="str">
        <f aca="false">IF($A78="","",SUMIF('NHẬP ĐƠN HÀNG'!$H$6:$H$505,$A78,'NHẬP ĐƠN HÀNG'!$I$6:$I$505))</f>
        <v/>
      </c>
      <c r="C78" s="10" t="str">
        <f aca="false">IF($A78="","",SUMIF('NHẬP ĐƠN HÀNG'!$H$6:$H$505,$A78,'NHẬP ĐƠN HÀNG'!$L$6:$L$505))</f>
        <v/>
      </c>
      <c r="D78" s="10" t="str">
        <f aca="false">IF($A78="","",SUMIF('NHẬP ĐƠN HÀNG'!$H$6:$H$505,$A78,'NHẬP ĐƠN HÀNG'!$T$6:$T$505))</f>
        <v/>
      </c>
      <c r="E78" s="10" t="str">
        <f aca="false">IF($A78="","",SUMIF('NHẬP ĐƠN HÀNG'!$H$6:$H$505,$A78,'NHẬP ĐƠN HÀNG'!$U$6:$U$505))</f>
        <v/>
      </c>
      <c r="F78" s="11" t="str">
        <f aca="false">IF(OR($A78="",$C78=0),"",$E78/$C78)</f>
        <v/>
      </c>
    </row>
    <row r="79" customFormat="false" ht="15" hidden="false" customHeight="false" outlineLevel="0" collapsed="false">
      <c r="A79" s="16" t="str">
        <f aca="false">IFERROR(INDEX('NHẬP ĐƠN HÀNG'!$H$6:$H$505,MATCH(47,'NHẬP ĐƠN HÀNG'!$AC$6:$AC$505,0)),"")</f>
        <v/>
      </c>
      <c r="B79" s="10" t="str">
        <f aca="false">IF($A79="","",SUMIF('NHẬP ĐƠN HÀNG'!$H$6:$H$505,$A79,'NHẬP ĐƠN HÀNG'!$I$6:$I$505))</f>
        <v/>
      </c>
      <c r="C79" s="10" t="str">
        <f aca="false">IF($A79="","",SUMIF('NHẬP ĐƠN HÀNG'!$H$6:$H$505,$A79,'NHẬP ĐƠN HÀNG'!$L$6:$L$505))</f>
        <v/>
      </c>
      <c r="D79" s="10" t="str">
        <f aca="false">IF($A79="","",SUMIF('NHẬP ĐƠN HÀNG'!$H$6:$H$505,$A79,'NHẬP ĐƠN HÀNG'!$T$6:$T$505))</f>
        <v/>
      </c>
      <c r="E79" s="10" t="str">
        <f aca="false">IF($A79="","",SUMIF('NHẬP ĐƠN HÀNG'!$H$6:$H$505,$A79,'NHẬP ĐƠN HÀNG'!$U$6:$U$505))</f>
        <v/>
      </c>
      <c r="F79" s="11" t="str">
        <f aca="false">IF(OR($A79="",$C79=0),"",$E79/$C79)</f>
        <v/>
      </c>
    </row>
    <row r="80" customFormat="false" ht="15" hidden="false" customHeight="false" outlineLevel="0" collapsed="false">
      <c r="A80" s="16" t="str">
        <f aca="false">IFERROR(INDEX('NHẬP ĐƠN HÀNG'!$H$6:$H$505,MATCH(48,'NHẬP ĐƠN HÀNG'!$AC$6:$AC$505,0)),"")</f>
        <v/>
      </c>
      <c r="B80" s="10" t="str">
        <f aca="false">IF($A80="","",SUMIF('NHẬP ĐƠN HÀNG'!$H$6:$H$505,$A80,'NHẬP ĐƠN HÀNG'!$I$6:$I$505))</f>
        <v/>
      </c>
      <c r="C80" s="10" t="str">
        <f aca="false">IF($A80="","",SUMIF('NHẬP ĐƠN HÀNG'!$H$6:$H$505,$A80,'NHẬP ĐƠN HÀNG'!$L$6:$L$505))</f>
        <v/>
      </c>
      <c r="D80" s="10" t="str">
        <f aca="false">IF($A80="","",SUMIF('NHẬP ĐƠN HÀNG'!$H$6:$H$505,$A80,'NHẬP ĐƠN HÀNG'!$T$6:$T$505))</f>
        <v/>
      </c>
      <c r="E80" s="10" t="str">
        <f aca="false">IF($A80="","",SUMIF('NHẬP ĐƠN HÀNG'!$H$6:$H$505,$A80,'NHẬP ĐƠN HÀNG'!$U$6:$U$505))</f>
        <v/>
      </c>
      <c r="F80" s="11" t="str">
        <f aca="false">IF(OR($A80="",$C80=0),"",$E80/$C80)</f>
        <v/>
      </c>
    </row>
    <row r="81" customFormat="false" ht="15" hidden="false" customHeight="false" outlineLevel="0" collapsed="false">
      <c r="A81" s="16" t="str">
        <f aca="false">IFERROR(INDEX('NHẬP ĐƠN HÀNG'!$H$6:$H$505,MATCH(49,'NHẬP ĐƠN HÀNG'!$AC$6:$AC$505,0)),"")</f>
        <v/>
      </c>
      <c r="B81" s="10" t="str">
        <f aca="false">IF($A81="","",SUMIF('NHẬP ĐƠN HÀNG'!$H$6:$H$505,$A81,'NHẬP ĐƠN HÀNG'!$I$6:$I$505))</f>
        <v/>
      </c>
      <c r="C81" s="10" t="str">
        <f aca="false">IF($A81="","",SUMIF('NHẬP ĐƠN HÀNG'!$H$6:$H$505,$A81,'NHẬP ĐƠN HÀNG'!$L$6:$L$505))</f>
        <v/>
      </c>
      <c r="D81" s="10" t="str">
        <f aca="false">IF($A81="","",SUMIF('NHẬP ĐƠN HÀNG'!$H$6:$H$505,$A81,'NHẬP ĐƠN HÀNG'!$T$6:$T$505))</f>
        <v/>
      </c>
      <c r="E81" s="10" t="str">
        <f aca="false">IF($A81="","",SUMIF('NHẬP ĐƠN HÀNG'!$H$6:$H$505,$A81,'NHẬP ĐƠN HÀNG'!$U$6:$U$505))</f>
        <v/>
      </c>
      <c r="F81" s="11" t="str">
        <f aca="false">IF(OR($A81="",$C81=0),"",$E81/$C81)</f>
        <v/>
      </c>
    </row>
    <row r="82" customFormat="false" ht="15" hidden="false" customHeight="false" outlineLevel="0" collapsed="false">
      <c r="A82" s="16" t="str">
        <f aca="false">IFERROR(INDEX('NHẬP ĐƠN HÀNG'!$H$6:$H$505,MATCH(50,'NHẬP ĐƠN HÀNG'!$AC$6:$AC$505,0)),"")</f>
        <v/>
      </c>
      <c r="B82" s="10" t="str">
        <f aca="false">IF($A82="","",SUMIF('NHẬP ĐƠN HÀNG'!$H$6:$H$505,$A82,'NHẬP ĐƠN HÀNG'!$I$6:$I$505))</f>
        <v/>
      </c>
      <c r="C82" s="10" t="str">
        <f aca="false">IF($A82="","",SUMIF('NHẬP ĐƠN HÀNG'!$H$6:$H$505,$A82,'NHẬP ĐƠN HÀNG'!$L$6:$L$505))</f>
        <v/>
      </c>
      <c r="D82" s="10" t="str">
        <f aca="false">IF($A82="","",SUMIF('NHẬP ĐƠN HÀNG'!$H$6:$H$505,$A82,'NHẬP ĐƠN HÀNG'!$T$6:$T$505))</f>
        <v/>
      </c>
      <c r="E82" s="10" t="str">
        <f aca="false">IF($A82="","",SUMIF('NHẬP ĐƠN HÀNG'!$H$6:$H$505,$A82,'NHẬP ĐƠN HÀNG'!$U$6:$U$505))</f>
        <v/>
      </c>
      <c r="F82" s="11" t="str">
        <f aca="false">IF(OR($A82="",$C82=0),"",$E82/$C82)</f>
        <v/>
      </c>
    </row>
    <row r="83" customFormat="false" ht="15" hidden="false" customHeight="false" outlineLevel="0" collapsed="false">
      <c r="A83" s="16" t="str">
        <f aca="false">IFERROR(INDEX('NHẬP ĐƠN HÀNG'!$H$6:$H$505,MATCH(51,'NHẬP ĐƠN HÀNG'!$AC$6:$AC$505,0)),"")</f>
        <v/>
      </c>
      <c r="B83" s="10" t="str">
        <f aca="false">IF($A83="","",SUMIF('NHẬP ĐƠN HÀNG'!$H$6:$H$505,$A83,'NHẬP ĐƠN HÀNG'!$I$6:$I$505))</f>
        <v/>
      </c>
      <c r="C83" s="10" t="str">
        <f aca="false">IF($A83="","",SUMIF('NHẬP ĐƠN HÀNG'!$H$6:$H$505,$A83,'NHẬP ĐƠN HÀNG'!$L$6:$L$505))</f>
        <v/>
      </c>
      <c r="D83" s="10" t="str">
        <f aca="false">IF($A83="","",SUMIF('NHẬP ĐƠN HÀNG'!$H$6:$H$505,$A83,'NHẬP ĐƠN HÀNG'!$T$6:$T$505))</f>
        <v/>
      </c>
      <c r="E83" s="10" t="str">
        <f aca="false">IF($A83="","",SUMIF('NHẬP ĐƠN HÀNG'!$H$6:$H$505,$A83,'NHẬP ĐƠN HÀNG'!$U$6:$U$505))</f>
        <v/>
      </c>
      <c r="F83" s="11" t="str">
        <f aca="false">IF(OR($A83="",$C83=0),"",$E83/$C83)</f>
        <v/>
      </c>
    </row>
    <row r="84" customFormat="false" ht="15" hidden="false" customHeight="false" outlineLevel="0" collapsed="false">
      <c r="A84" s="16" t="str">
        <f aca="false">IFERROR(INDEX('NHẬP ĐƠN HÀNG'!$H$6:$H$505,MATCH(52,'NHẬP ĐƠN HÀNG'!$AC$6:$AC$505,0)),"")</f>
        <v/>
      </c>
      <c r="B84" s="10" t="str">
        <f aca="false">IF($A84="","",SUMIF('NHẬP ĐƠN HÀNG'!$H$6:$H$505,$A84,'NHẬP ĐƠN HÀNG'!$I$6:$I$505))</f>
        <v/>
      </c>
      <c r="C84" s="10" t="str">
        <f aca="false">IF($A84="","",SUMIF('NHẬP ĐƠN HÀNG'!$H$6:$H$505,$A84,'NHẬP ĐƠN HÀNG'!$L$6:$L$505))</f>
        <v/>
      </c>
      <c r="D84" s="10" t="str">
        <f aca="false">IF($A84="","",SUMIF('NHẬP ĐƠN HÀNG'!$H$6:$H$505,$A84,'NHẬP ĐƠN HÀNG'!$T$6:$T$505))</f>
        <v/>
      </c>
      <c r="E84" s="10" t="str">
        <f aca="false">IF($A84="","",SUMIF('NHẬP ĐƠN HÀNG'!$H$6:$H$505,$A84,'NHẬP ĐƠN HÀNG'!$U$6:$U$505))</f>
        <v/>
      </c>
      <c r="F84" s="11" t="str">
        <f aca="false">IF(OR($A84="",$C84=0),"",$E84/$C84)</f>
        <v/>
      </c>
    </row>
    <row r="85" customFormat="false" ht="15" hidden="false" customHeight="false" outlineLevel="0" collapsed="false">
      <c r="A85" s="16" t="str">
        <f aca="false">IFERROR(INDEX('NHẬP ĐƠN HÀNG'!$H$6:$H$505,MATCH(53,'NHẬP ĐƠN HÀNG'!$AC$6:$AC$505,0)),"")</f>
        <v/>
      </c>
      <c r="B85" s="10" t="str">
        <f aca="false">IF($A85="","",SUMIF('NHẬP ĐƠN HÀNG'!$H$6:$H$505,$A85,'NHẬP ĐƠN HÀNG'!$I$6:$I$505))</f>
        <v/>
      </c>
      <c r="C85" s="10" t="str">
        <f aca="false">IF($A85="","",SUMIF('NHẬP ĐƠN HÀNG'!$H$6:$H$505,$A85,'NHẬP ĐƠN HÀNG'!$L$6:$L$505))</f>
        <v/>
      </c>
      <c r="D85" s="10" t="str">
        <f aca="false">IF($A85="","",SUMIF('NHẬP ĐƠN HÀNG'!$H$6:$H$505,$A85,'NHẬP ĐƠN HÀNG'!$T$6:$T$505))</f>
        <v/>
      </c>
      <c r="E85" s="10" t="str">
        <f aca="false">IF($A85="","",SUMIF('NHẬP ĐƠN HÀNG'!$H$6:$H$505,$A85,'NHẬP ĐƠN HÀNG'!$U$6:$U$505))</f>
        <v/>
      </c>
      <c r="F85" s="11" t="str">
        <f aca="false">IF(OR($A85="",$C85=0),"",$E85/$C85)</f>
        <v/>
      </c>
    </row>
    <row r="86" customFormat="false" ht="15" hidden="false" customHeight="false" outlineLevel="0" collapsed="false">
      <c r="A86" s="16" t="str">
        <f aca="false">IFERROR(INDEX('NHẬP ĐƠN HÀNG'!$H$6:$H$505,MATCH(54,'NHẬP ĐƠN HÀNG'!$AC$6:$AC$505,0)),"")</f>
        <v/>
      </c>
      <c r="B86" s="10" t="str">
        <f aca="false">IF($A86="","",SUMIF('NHẬP ĐƠN HÀNG'!$H$6:$H$505,$A86,'NHẬP ĐƠN HÀNG'!$I$6:$I$505))</f>
        <v/>
      </c>
      <c r="C86" s="10" t="str">
        <f aca="false">IF($A86="","",SUMIF('NHẬP ĐƠN HÀNG'!$H$6:$H$505,$A86,'NHẬP ĐƠN HÀNG'!$L$6:$L$505))</f>
        <v/>
      </c>
      <c r="D86" s="10" t="str">
        <f aca="false">IF($A86="","",SUMIF('NHẬP ĐƠN HÀNG'!$H$6:$H$505,$A86,'NHẬP ĐƠN HÀNG'!$T$6:$T$505))</f>
        <v/>
      </c>
      <c r="E86" s="10" t="str">
        <f aca="false">IF($A86="","",SUMIF('NHẬP ĐƠN HÀNG'!$H$6:$H$505,$A86,'NHẬP ĐƠN HÀNG'!$U$6:$U$505))</f>
        <v/>
      </c>
      <c r="F86" s="11" t="str">
        <f aca="false">IF(OR($A86="",$C86=0),"",$E86/$C86)</f>
        <v/>
      </c>
    </row>
    <row r="87" customFormat="false" ht="15" hidden="false" customHeight="false" outlineLevel="0" collapsed="false">
      <c r="A87" s="16" t="str">
        <f aca="false">IFERROR(INDEX('NHẬP ĐƠN HÀNG'!$H$6:$H$505,MATCH(55,'NHẬP ĐƠN HÀNG'!$AC$6:$AC$505,0)),"")</f>
        <v/>
      </c>
      <c r="B87" s="10" t="str">
        <f aca="false">IF($A87="","",SUMIF('NHẬP ĐƠN HÀNG'!$H$6:$H$505,$A87,'NHẬP ĐƠN HÀNG'!$I$6:$I$505))</f>
        <v/>
      </c>
      <c r="C87" s="10" t="str">
        <f aca="false">IF($A87="","",SUMIF('NHẬP ĐƠN HÀNG'!$H$6:$H$505,$A87,'NHẬP ĐƠN HÀNG'!$L$6:$L$505))</f>
        <v/>
      </c>
      <c r="D87" s="10" t="str">
        <f aca="false">IF($A87="","",SUMIF('NHẬP ĐƠN HÀNG'!$H$6:$H$505,$A87,'NHẬP ĐƠN HÀNG'!$T$6:$T$505))</f>
        <v/>
      </c>
      <c r="E87" s="10" t="str">
        <f aca="false">IF($A87="","",SUMIF('NHẬP ĐƠN HÀNG'!$H$6:$H$505,$A87,'NHẬP ĐƠN HÀNG'!$U$6:$U$505))</f>
        <v/>
      </c>
      <c r="F87" s="11" t="str">
        <f aca="false">IF(OR($A87="",$C87=0),"",$E87/$C87)</f>
        <v/>
      </c>
    </row>
    <row r="88" customFormat="false" ht="15" hidden="false" customHeight="false" outlineLevel="0" collapsed="false">
      <c r="A88" s="16" t="str">
        <f aca="false">IFERROR(INDEX('NHẬP ĐƠN HÀNG'!$H$6:$H$505,MATCH(56,'NHẬP ĐƠN HÀNG'!$AC$6:$AC$505,0)),"")</f>
        <v/>
      </c>
      <c r="B88" s="10" t="str">
        <f aca="false">IF($A88="","",SUMIF('NHẬP ĐƠN HÀNG'!$H$6:$H$505,$A88,'NHẬP ĐƠN HÀNG'!$I$6:$I$505))</f>
        <v/>
      </c>
      <c r="C88" s="10" t="str">
        <f aca="false">IF($A88="","",SUMIF('NHẬP ĐƠN HÀNG'!$H$6:$H$505,$A88,'NHẬP ĐƠN HÀNG'!$L$6:$L$505))</f>
        <v/>
      </c>
      <c r="D88" s="10" t="str">
        <f aca="false">IF($A88="","",SUMIF('NHẬP ĐƠN HÀNG'!$H$6:$H$505,$A88,'NHẬP ĐƠN HÀNG'!$T$6:$T$505))</f>
        <v/>
      </c>
      <c r="E88" s="10" t="str">
        <f aca="false">IF($A88="","",SUMIF('NHẬP ĐƠN HÀNG'!$H$6:$H$505,$A88,'NHẬP ĐƠN HÀNG'!$U$6:$U$505))</f>
        <v/>
      </c>
      <c r="F88" s="11" t="str">
        <f aca="false">IF(OR($A88="",$C88=0),"",$E88/$C88)</f>
        <v/>
      </c>
    </row>
    <row r="89" customFormat="false" ht="15" hidden="false" customHeight="false" outlineLevel="0" collapsed="false">
      <c r="A89" s="16" t="str">
        <f aca="false">IFERROR(INDEX('NHẬP ĐƠN HÀNG'!$H$6:$H$505,MATCH(57,'NHẬP ĐƠN HÀNG'!$AC$6:$AC$505,0)),"")</f>
        <v/>
      </c>
      <c r="B89" s="10" t="str">
        <f aca="false">IF($A89="","",SUMIF('NHẬP ĐƠN HÀNG'!$H$6:$H$505,$A89,'NHẬP ĐƠN HÀNG'!$I$6:$I$505))</f>
        <v/>
      </c>
      <c r="C89" s="10" t="str">
        <f aca="false">IF($A89="","",SUMIF('NHẬP ĐƠN HÀNG'!$H$6:$H$505,$A89,'NHẬP ĐƠN HÀNG'!$L$6:$L$505))</f>
        <v/>
      </c>
      <c r="D89" s="10" t="str">
        <f aca="false">IF($A89="","",SUMIF('NHẬP ĐƠN HÀNG'!$H$6:$H$505,$A89,'NHẬP ĐƠN HÀNG'!$T$6:$T$505))</f>
        <v/>
      </c>
      <c r="E89" s="10" t="str">
        <f aca="false">IF($A89="","",SUMIF('NHẬP ĐƠN HÀNG'!$H$6:$H$505,$A89,'NHẬP ĐƠN HÀNG'!$U$6:$U$505))</f>
        <v/>
      </c>
      <c r="F89" s="11" t="str">
        <f aca="false">IF(OR($A89="",$C89=0),"",$E89/$C89)</f>
        <v/>
      </c>
    </row>
    <row r="90" customFormat="false" ht="15" hidden="false" customHeight="false" outlineLevel="0" collapsed="false">
      <c r="A90" s="16" t="str">
        <f aca="false">IFERROR(INDEX('NHẬP ĐƠN HÀNG'!$H$6:$H$505,MATCH(58,'NHẬP ĐƠN HÀNG'!$AC$6:$AC$505,0)),"")</f>
        <v/>
      </c>
      <c r="B90" s="10" t="str">
        <f aca="false">IF($A90="","",SUMIF('NHẬP ĐƠN HÀNG'!$H$6:$H$505,$A90,'NHẬP ĐƠN HÀNG'!$I$6:$I$505))</f>
        <v/>
      </c>
      <c r="C90" s="10" t="str">
        <f aca="false">IF($A90="","",SUMIF('NHẬP ĐƠN HÀNG'!$H$6:$H$505,$A90,'NHẬP ĐƠN HÀNG'!$L$6:$L$505))</f>
        <v/>
      </c>
      <c r="D90" s="10" t="str">
        <f aca="false">IF($A90="","",SUMIF('NHẬP ĐƠN HÀNG'!$H$6:$H$505,$A90,'NHẬP ĐƠN HÀNG'!$T$6:$T$505))</f>
        <v/>
      </c>
      <c r="E90" s="10" t="str">
        <f aca="false">IF($A90="","",SUMIF('NHẬP ĐƠN HÀNG'!$H$6:$H$505,$A90,'NHẬP ĐƠN HÀNG'!$U$6:$U$505))</f>
        <v/>
      </c>
      <c r="F90" s="11" t="str">
        <f aca="false">IF(OR($A90="",$C90=0),"",$E90/$C90)</f>
        <v/>
      </c>
    </row>
    <row r="91" customFormat="false" ht="15" hidden="false" customHeight="false" outlineLevel="0" collapsed="false">
      <c r="A91" s="16" t="str">
        <f aca="false">IFERROR(INDEX('NHẬP ĐƠN HÀNG'!$H$6:$H$505,MATCH(59,'NHẬP ĐƠN HÀNG'!$AC$6:$AC$505,0)),"")</f>
        <v/>
      </c>
      <c r="B91" s="10" t="str">
        <f aca="false">IF($A91="","",SUMIF('NHẬP ĐƠN HÀNG'!$H$6:$H$505,$A91,'NHẬP ĐƠN HÀNG'!$I$6:$I$505))</f>
        <v/>
      </c>
      <c r="C91" s="10" t="str">
        <f aca="false">IF($A91="","",SUMIF('NHẬP ĐƠN HÀNG'!$H$6:$H$505,$A91,'NHẬP ĐƠN HÀNG'!$L$6:$L$505))</f>
        <v/>
      </c>
      <c r="D91" s="10" t="str">
        <f aca="false">IF($A91="","",SUMIF('NHẬP ĐƠN HÀNG'!$H$6:$H$505,$A91,'NHẬP ĐƠN HÀNG'!$T$6:$T$505))</f>
        <v/>
      </c>
      <c r="E91" s="10" t="str">
        <f aca="false">IF($A91="","",SUMIF('NHẬP ĐƠN HÀNG'!$H$6:$H$505,$A91,'NHẬP ĐƠN HÀNG'!$U$6:$U$505))</f>
        <v/>
      </c>
      <c r="F91" s="11" t="str">
        <f aca="false">IF(OR($A91="",$C91=0),"",$E91/$C91)</f>
        <v/>
      </c>
    </row>
    <row r="92" customFormat="false" ht="15" hidden="false" customHeight="false" outlineLevel="0" collapsed="false">
      <c r="A92" s="16" t="str">
        <f aca="false">IFERROR(INDEX('NHẬP ĐƠN HÀNG'!$H$6:$H$505,MATCH(60,'NHẬP ĐƠN HÀNG'!$AC$6:$AC$505,0)),"")</f>
        <v/>
      </c>
      <c r="B92" s="10" t="str">
        <f aca="false">IF($A92="","",SUMIF('NHẬP ĐƠN HÀNG'!$H$6:$H$505,$A92,'NHẬP ĐƠN HÀNG'!$I$6:$I$505))</f>
        <v/>
      </c>
      <c r="C92" s="10" t="str">
        <f aca="false">IF($A92="","",SUMIF('NHẬP ĐƠN HÀNG'!$H$6:$H$505,$A92,'NHẬP ĐƠN HÀNG'!$L$6:$L$505))</f>
        <v/>
      </c>
      <c r="D92" s="10" t="str">
        <f aca="false">IF($A92="","",SUMIF('NHẬP ĐƠN HÀNG'!$H$6:$H$505,$A92,'NHẬP ĐƠN HÀNG'!$T$6:$T$505))</f>
        <v/>
      </c>
      <c r="E92" s="10" t="str">
        <f aca="false">IF($A92="","",SUMIF('NHẬP ĐƠN HÀNG'!$H$6:$H$505,$A92,'NHẬP ĐƠN HÀNG'!$U$6:$U$505))</f>
        <v/>
      </c>
      <c r="F92" s="11" t="str">
        <f aca="false">IF(OR($A92="",$C92=0),"",$E92/$C92)</f>
        <v/>
      </c>
    </row>
    <row r="93" customFormat="false" ht="15" hidden="false" customHeight="false" outlineLevel="0" collapsed="false">
      <c r="A93" s="16" t="str">
        <f aca="false">IFERROR(INDEX('NHẬP ĐƠN HÀNG'!$H$6:$H$505,MATCH(61,'NHẬP ĐƠN HÀNG'!$AC$6:$AC$505,0)),"")</f>
        <v/>
      </c>
      <c r="B93" s="10" t="str">
        <f aca="false">IF($A93="","",SUMIF('NHẬP ĐƠN HÀNG'!$H$6:$H$505,$A93,'NHẬP ĐƠN HÀNG'!$I$6:$I$505))</f>
        <v/>
      </c>
      <c r="C93" s="10" t="str">
        <f aca="false">IF($A93="","",SUMIF('NHẬP ĐƠN HÀNG'!$H$6:$H$505,$A93,'NHẬP ĐƠN HÀNG'!$L$6:$L$505))</f>
        <v/>
      </c>
      <c r="D93" s="10" t="str">
        <f aca="false">IF($A93="","",SUMIF('NHẬP ĐƠN HÀNG'!$H$6:$H$505,$A93,'NHẬP ĐƠN HÀNG'!$T$6:$T$505))</f>
        <v/>
      </c>
      <c r="E93" s="10" t="str">
        <f aca="false">IF($A93="","",SUMIF('NHẬP ĐƠN HÀNG'!$H$6:$H$505,$A93,'NHẬP ĐƠN HÀNG'!$U$6:$U$505))</f>
        <v/>
      </c>
      <c r="F93" s="11" t="str">
        <f aca="false">IF(OR($A93="",$C93=0),"",$E93/$C93)</f>
        <v/>
      </c>
    </row>
    <row r="94" customFormat="false" ht="15" hidden="false" customHeight="false" outlineLevel="0" collapsed="false">
      <c r="A94" s="16" t="str">
        <f aca="false">IFERROR(INDEX('NHẬP ĐƠN HÀNG'!$H$6:$H$505,MATCH(62,'NHẬP ĐƠN HÀNG'!$AC$6:$AC$505,0)),"")</f>
        <v/>
      </c>
      <c r="B94" s="10" t="str">
        <f aca="false">IF($A94="","",SUMIF('NHẬP ĐƠN HÀNG'!$H$6:$H$505,$A94,'NHẬP ĐƠN HÀNG'!$I$6:$I$505))</f>
        <v/>
      </c>
      <c r="C94" s="10" t="str">
        <f aca="false">IF($A94="","",SUMIF('NHẬP ĐƠN HÀNG'!$H$6:$H$505,$A94,'NHẬP ĐƠN HÀNG'!$L$6:$L$505))</f>
        <v/>
      </c>
      <c r="D94" s="10" t="str">
        <f aca="false">IF($A94="","",SUMIF('NHẬP ĐƠN HÀNG'!$H$6:$H$505,$A94,'NHẬP ĐƠN HÀNG'!$T$6:$T$505))</f>
        <v/>
      </c>
      <c r="E94" s="10" t="str">
        <f aca="false">IF($A94="","",SUMIF('NHẬP ĐƠN HÀNG'!$H$6:$H$505,$A94,'NHẬP ĐƠN HÀNG'!$U$6:$U$505))</f>
        <v/>
      </c>
      <c r="F94" s="11" t="str">
        <f aca="false">IF(OR($A94="",$C94=0),"",$E94/$C94)</f>
        <v/>
      </c>
    </row>
    <row r="95" customFormat="false" ht="15" hidden="false" customHeight="false" outlineLevel="0" collapsed="false">
      <c r="A95" s="16" t="str">
        <f aca="false">IFERROR(INDEX('NHẬP ĐƠN HÀNG'!$H$6:$H$505,MATCH(63,'NHẬP ĐƠN HÀNG'!$AC$6:$AC$505,0)),"")</f>
        <v/>
      </c>
      <c r="B95" s="10" t="str">
        <f aca="false">IF($A95="","",SUMIF('NHẬP ĐƠN HÀNG'!$H$6:$H$505,$A95,'NHẬP ĐƠN HÀNG'!$I$6:$I$505))</f>
        <v/>
      </c>
      <c r="C95" s="10" t="str">
        <f aca="false">IF($A95="","",SUMIF('NHẬP ĐƠN HÀNG'!$H$6:$H$505,$A95,'NHẬP ĐƠN HÀNG'!$L$6:$L$505))</f>
        <v/>
      </c>
      <c r="D95" s="10" t="str">
        <f aca="false">IF($A95="","",SUMIF('NHẬP ĐƠN HÀNG'!$H$6:$H$505,$A95,'NHẬP ĐƠN HÀNG'!$T$6:$T$505))</f>
        <v/>
      </c>
      <c r="E95" s="10" t="str">
        <f aca="false">IF($A95="","",SUMIF('NHẬP ĐƠN HÀNG'!$H$6:$H$505,$A95,'NHẬP ĐƠN HÀNG'!$U$6:$U$505))</f>
        <v/>
      </c>
      <c r="F95" s="11" t="str">
        <f aca="false">IF(OR($A95="",$C95=0),"",$E95/$C95)</f>
        <v/>
      </c>
    </row>
    <row r="96" customFormat="false" ht="15" hidden="false" customHeight="false" outlineLevel="0" collapsed="false">
      <c r="A96" s="16" t="str">
        <f aca="false">IFERROR(INDEX('NHẬP ĐƠN HÀNG'!$H$6:$H$505,MATCH(64,'NHẬP ĐƠN HÀNG'!$AC$6:$AC$505,0)),"")</f>
        <v/>
      </c>
      <c r="B96" s="10" t="str">
        <f aca="false">IF($A96="","",SUMIF('NHẬP ĐƠN HÀNG'!$H$6:$H$505,$A96,'NHẬP ĐƠN HÀNG'!$I$6:$I$505))</f>
        <v/>
      </c>
      <c r="C96" s="10" t="str">
        <f aca="false">IF($A96="","",SUMIF('NHẬP ĐƠN HÀNG'!$H$6:$H$505,$A96,'NHẬP ĐƠN HÀNG'!$L$6:$L$505))</f>
        <v/>
      </c>
      <c r="D96" s="10" t="str">
        <f aca="false">IF($A96="","",SUMIF('NHẬP ĐƠN HÀNG'!$H$6:$H$505,$A96,'NHẬP ĐƠN HÀNG'!$T$6:$T$505))</f>
        <v/>
      </c>
      <c r="E96" s="10" t="str">
        <f aca="false">IF($A96="","",SUMIF('NHẬP ĐƠN HÀNG'!$H$6:$H$505,$A96,'NHẬP ĐƠN HÀNG'!$U$6:$U$505))</f>
        <v/>
      </c>
      <c r="F96" s="11" t="str">
        <f aca="false">IF(OR($A96="",$C96=0),"",$E96/$C96)</f>
        <v/>
      </c>
    </row>
    <row r="97" customFormat="false" ht="15" hidden="false" customHeight="false" outlineLevel="0" collapsed="false">
      <c r="A97" s="16" t="str">
        <f aca="false">IFERROR(INDEX('NHẬP ĐƠN HÀNG'!$H$6:$H$505,MATCH(65,'NHẬP ĐƠN HÀNG'!$AC$6:$AC$505,0)),"")</f>
        <v/>
      </c>
      <c r="B97" s="10" t="str">
        <f aca="false">IF($A97="","",SUMIF('NHẬP ĐƠN HÀNG'!$H$6:$H$505,$A97,'NHẬP ĐƠN HÀNG'!$I$6:$I$505))</f>
        <v/>
      </c>
      <c r="C97" s="10" t="str">
        <f aca="false">IF($A97="","",SUMIF('NHẬP ĐƠN HÀNG'!$H$6:$H$505,$A97,'NHẬP ĐƠN HÀNG'!$L$6:$L$505))</f>
        <v/>
      </c>
      <c r="D97" s="10" t="str">
        <f aca="false">IF($A97="","",SUMIF('NHẬP ĐƠN HÀNG'!$H$6:$H$505,$A97,'NHẬP ĐƠN HÀNG'!$T$6:$T$505))</f>
        <v/>
      </c>
      <c r="E97" s="10" t="str">
        <f aca="false">IF($A97="","",SUMIF('NHẬP ĐƠN HÀNG'!$H$6:$H$505,$A97,'NHẬP ĐƠN HÀNG'!$U$6:$U$505))</f>
        <v/>
      </c>
      <c r="F97" s="11" t="str">
        <f aca="false">IF(OR($A97="",$C97=0),"",$E97/$C97)</f>
        <v/>
      </c>
    </row>
    <row r="98" customFormat="false" ht="15" hidden="false" customHeight="false" outlineLevel="0" collapsed="false">
      <c r="A98" s="16" t="str">
        <f aca="false">IFERROR(INDEX('NHẬP ĐƠN HÀNG'!$H$6:$H$505,MATCH(66,'NHẬP ĐƠN HÀNG'!$AC$6:$AC$505,0)),"")</f>
        <v/>
      </c>
      <c r="B98" s="10" t="str">
        <f aca="false">IF($A98="","",SUMIF('NHẬP ĐƠN HÀNG'!$H$6:$H$505,$A98,'NHẬP ĐƠN HÀNG'!$I$6:$I$505))</f>
        <v/>
      </c>
      <c r="C98" s="10" t="str">
        <f aca="false">IF($A98="","",SUMIF('NHẬP ĐƠN HÀNG'!$H$6:$H$505,$A98,'NHẬP ĐƠN HÀNG'!$L$6:$L$505))</f>
        <v/>
      </c>
      <c r="D98" s="10" t="str">
        <f aca="false">IF($A98="","",SUMIF('NHẬP ĐƠN HÀNG'!$H$6:$H$505,$A98,'NHẬP ĐƠN HÀNG'!$T$6:$T$505))</f>
        <v/>
      </c>
      <c r="E98" s="10" t="str">
        <f aca="false">IF($A98="","",SUMIF('NHẬP ĐƠN HÀNG'!$H$6:$H$505,$A98,'NHẬP ĐƠN HÀNG'!$U$6:$U$505))</f>
        <v/>
      </c>
      <c r="F98" s="11" t="str">
        <f aca="false">IF(OR($A98="",$C98=0),"",$E98/$C98)</f>
        <v/>
      </c>
    </row>
    <row r="99" customFormat="false" ht="15" hidden="false" customHeight="false" outlineLevel="0" collapsed="false">
      <c r="A99" s="16" t="str">
        <f aca="false">IFERROR(INDEX('NHẬP ĐƠN HÀNG'!$H$6:$H$505,MATCH(67,'NHẬP ĐƠN HÀNG'!$AC$6:$AC$505,0)),"")</f>
        <v/>
      </c>
      <c r="B99" s="10" t="str">
        <f aca="false">IF($A99="","",SUMIF('NHẬP ĐƠN HÀNG'!$H$6:$H$505,$A99,'NHẬP ĐƠN HÀNG'!$I$6:$I$505))</f>
        <v/>
      </c>
      <c r="C99" s="10" t="str">
        <f aca="false">IF($A99="","",SUMIF('NHẬP ĐƠN HÀNG'!$H$6:$H$505,$A99,'NHẬP ĐƠN HÀNG'!$L$6:$L$505))</f>
        <v/>
      </c>
      <c r="D99" s="10" t="str">
        <f aca="false">IF($A99="","",SUMIF('NHẬP ĐƠN HÀNG'!$H$6:$H$505,$A99,'NHẬP ĐƠN HÀNG'!$T$6:$T$505))</f>
        <v/>
      </c>
      <c r="E99" s="10" t="str">
        <f aca="false">IF($A99="","",SUMIF('NHẬP ĐƠN HÀNG'!$H$6:$H$505,$A99,'NHẬP ĐƠN HÀNG'!$U$6:$U$505))</f>
        <v/>
      </c>
      <c r="F99" s="11" t="str">
        <f aca="false">IF(OR($A99="",$C99=0),"",$E99/$C99)</f>
        <v/>
      </c>
    </row>
    <row r="100" customFormat="false" ht="15" hidden="false" customHeight="false" outlineLevel="0" collapsed="false">
      <c r="A100" s="16" t="str">
        <f aca="false">IFERROR(INDEX('NHẬP ĐƠN HÀNG'!$H$6:$H$505,MATCH(68,'NHẬP ĐƠN HÀNG'!$AC$6:$AC$505,0)),"")</f>
        <v/>
      </c>
      <c r="B100" s="10" t="str">
        <f aca="false">IF($A100="","",SUMIF('NHẬP ĐƠN HÀNG'!$H$6:$H$505,$A100,'NHẬP ĐƠN HÀNG'!$I$6:$I$505))</f>
        <v/>
      </c>
      <c r="C100" s="10" t="str">
        <f aca="false">IF($A100="","",SUMIF('NHẬP ĐƠN HÀNG'!$H$6:$H$505,$A100,'NHẬP ĐƠN HÀNG'!$L$6:$L$505))</f>
        <v/>
      </c>
      <c r="D100" s="10" t="str">
        <f aca="false">IF($A100="","",SUMIF('NHẬP ĐƠN HÀNG'!$H$6:$H$505,$A100,'NHẬP ĐƠN HÀNG'!$T$6:$T$505))</f>
        <v/>
      </c>
      <c r="E100" s="10" t="str">
        <f aca="false">IF($A100="","",SUMIF('NHẬP ĐƠN HÀNG'!$H$6:$H$505,$A100,'NHẬP ĐƠN HÀNG'!$U$6:$U$505))</f>
        <v/>
      </c>
      <c r="F100" s="11" t="str">
        <f aca="false">IF(OR($A100="",$C100=0),"",$E100/$C100)</f>
        <v/>
      </c>
    </row>
    <row r="101" customFormat="false" ht="15" hidden="false" customHeight="false" outlineLevel="0" collapsed="false">
      <c r="A101" s="16" t="str">
        <f aca="false">IFERROR(INDEX('NHẬP ĐƠN HÀNG'!$H$6:$H$505,MATCH(69,'NHẬP ĐƠN HÀNG'!$AC$6:$AC$505,0)),"")</f>
        <v/>
      </c>
      <c r="B101" s="10" t="str">
        <f aca="false">IF($A101="","",SUMIF('NHẬP ĐƠN HÀNG'!$H$6:$H$505,$A101,'NHẬP ĐƠN HÀNG'!$I$6:$I$505))</f>
        <v/>
      </c>
      <c r="C101" s="10" t="str">
        <f aca="false">IF($A101="","",SUMIF('NHẬP ĐƠN HÀNG'!$H$6:$H$505,$A101,'NHẬP ĐƠN HÀNG'!$L$6:$L$505))</f>
        <v/>
      </c>
      <c r="D101" s="10" t="str">
        <f aca="false">IF($A101="","",SUMIF('NHẬP ĐƠN HÀNG'!$H$6:$H$505,$A101,'NHẬP ĐƠN HÀNG'!$T$6:$T$505))</f>
        <v/>
      </c>
      <c r="E101" s="10" t="str">
        <f aca="false">IF($A101="","",SUMIF('NHẬP ĐƠN HÀNG'!$H$6:$H$505,$A101,'NHẬP ĐƠN HÀNG'!$U$6:$U$505))</f>
        <v/>
      </c>
      <c r="F101" s="11" t="str">
        <f aca="false">IF(OR($A101="",$C101=0),"",$E101/$C101)</f>
        <v/>
      </c>
    </row>
    <row r="102" customFormat="false" ht="15" hidden="false" customHeight="false" outlineLevel="0" collapsed="false">
      <c r="A102" s="16" t="str">
        <f aca="false">IFERROR(INDEX('NHẬP ĐƠN HÀNG'!$H$6:$H$505,MATCH(70,'NHẬP ĐƠN HÀNG'!$AC$6:$AC$505,0)),"")</f>
        <v/>
      </c>
      <c r="B102" s="10" t="str">
        <f aca="false">IF($A102="","",SUMIF('NHẬP ĐƠN HÀNG'!$H$6:$H$505,$A102,'NHẬP ĐƠN HÀNG'!$I$6:$I$505))</f>
        <v/>
      </c>
      <c r="C102" s="10" t="str">
        <f aca="false">IF($A102="","",SUMIF('NHẬP ĐƠN HÀNG'!$H$6:$H$505,$A102,'NHẬP ĐƠN HÀNG'!$L$6:$L$505))</f>
        <v/>
      </c>
      <c r="D102" s="10" t="str">
        <f aca="false">IF($A102="","",SUMIF('NHẬP ĐƠN HÀNG'!$H$6:$H$505,$A102,'NHẬP ĐƠN HÀNG'!$T$6:$T$505))</f>
        <v/>
      </c>
      <c r="E102" s="10" t="str">
        <f aca="false">IF($A102="","",SUMIF('NHẬP ĐƠN HÀNG'!$H$6:$H$505,$A102,'NHẬP ĐƠN HÀNG'!$U$6:$U$505))</f>
        <v/>
      </c>
      <c r="F102" s="11" t="str">
        <f aca="false">IF(OR($A102="",$C102=0),"",$E102/$C102)</f>
        <v/>
      </c>
    </row>
    <row r="103" customFormat="false" ht="15" hidden="false" customHeight="false" outlineLevel="0" collapsed="false">
      <c r="A103" s="16" t="str">
        <f aca="false">IFERROR(INDEX('NHẬP ĐƠN HÀNG'!$H$6:$H$505,MATCH(71,'NHẬP ĐƠN HÀNG'!$AC$6:$AC$505,0)),"")</f>
        <v/>
      </c>
      <c r="B103" s="10" t="str">
        <f aca="false">IF($A103="","",SUMIF('NHẬP ĐƠN HÀNG'!$H$6:$H$505,$A103,'NHẬP ĐƠN HÀNG'!$I$6:$I$505))</f>
        <v/>
      </c>
      <c r="C103" s="10" t="str">
        <f aca="false">IF($A103="","",SUMIF('NHẬP ĐƠN HÀNG'!$H$6:$H$505,$A103,'NHẬP ĐƠN HÀNG'!$L$6:$L$505))</f>
        <v/>
      </c>
      <c r="D103" s="10" t="str">
        <f aca="false">IF($A103="","",SUMIF('NHẬP ĐƠN HÀNG'!$H$6:$H$505,$A103,'NHẬP ĐƠN HÀNG'!$T$6:$T$505))</f>
        <v/>
      </c>
      <c r="E103" s="10" t="str">
        <f aca="false">IF($A103="","",SUMIF('NHẬP ĐƠN HÀNG'!$H$6:$H$505,$A103,'NHẬP ĐƠN HÀNG'!$U$6:$U$505))</f>
        <v/>
      </c>
      <c r="F103" s="11" t="str">
        <f aca="false">IF(OR($A103="",$C103=0),"",$E103/$C103)</f>
        <v/>
      </c>
    </row>
    <row r="104" customFormat="false" ht="15" hidden="false" customHeight="false" outlineLevel="0" collapsed="false">
      <c r="A104" s="16" t="str">
        <f aca="false">IFERROR(INDEX('NHẬP ĐƠN HÀNG'!$H$6:$H$505,MATCH(72,'NHẬP ĐƠN HÀNG'!$AC$6:$AC$505,0)),"")</f>
        <v/>
      </c>
      <c r="B104" s="10" t="str">
        <f aca="false">IF($A104="","",SUMIF('NHẬP ĐƠN HÀNG'!$H$6:$H$505,$A104,'NHẬP ĐƠN HÀNG'!$I$6:$I$505))</f>
        <v/>
      </c>
      <c r="C104" s="10" t="str">
        <f aca="false">IF($A104="","",SUMIF('NHẬP ĐƠN HÀNG'!$H$6:$H$505,$A104,'NHẬP ĐƠN HÀNG'!$L$6:$L$505))</f>
        <v/>
      </c>
      <c r="D104" s="10" t="str">
        <f aca="false">IF($A104="","",SUMIF('NHẬP ĐƠN HÀNG'!$H$6:$H$505,$A104,'NHẬP ĐƠN HÀNG'!$T$6:$T$505))</f>
        <v/>
      </c>
      <c r="E104" s="10" t="str">
        <f aca="false">IF($A104="","",SUMIF('NHẬP ĐƠN HÀNG'!$H$6:$H$505,$A104,'NHẬP ĐƠN HÀNG'!$U$6:$U$505))</f>
        <v/>
      </c>
      <c r="F104" s="11" t="str">
        <f aca="false">IF(OR($A104="",$C104=0),"",$E104/$C104)</f>
        <v/>
      </c>
    </row>
    <row r="105" customFormat="false" ht="15" hidden="false" customHeight="false" outlineLevel="0" collapsed="false">
      <c r="A105" s="16" t="str">
        <f aca="false">IFERROR(INDEX('NHẬP ĐƠN HÀNG'!$H$6:$H$505,MATCH(73,'NHẬP ĐƠN HÀNG'!$AC$6:$AC$505,0)),"")</f>
        <v/>
      </c>
      <c r="B105" s="10" t="str">
        <f aca="false">IF($A105="","",SUMIF('NHẬP ĐƠN HÀNG'!$H$6:$H$505,$A105,'NHẬP ĐƠN HÀNG'!$I$6:$I$505))</f>
        <v/>
      </c>
      <c r="C105" s="10" t="str">
        <f aca="false">IF($A105="","",SUMIF('NHẬP ĐƠN HÀNG'!$H$6:$H$505,$A105,'NHẬP ĐƠN HÀNG'!$L$6:$L$505))</f>
        <v/>
      </c>
      <c r="D105" s="10" t="str">
        <f aca="false">IF($A105="","",SUMIF('NHẬP ĐƠN HÀNG'!$H$6:$H$505,$A105,'NHẬP ĐƠN HÀNG'!$T$6:$T$505))</f>
        <v/>
      </c>
      <c r="E105" s="10" t="str">
        <f aca="false">IF($A105="","",SUMIF('NHẬP ĐƠN HÀNG'!$H$6:$H$505,$A105,'NHẬP ĐƠN HÀNG'!$U$6:$U$505))</f>
        <v/>
      </c>
      <c r="F105" s="11" t="str">
        <f aca="false">IF(OR($A105="",$C105=0),"",$E105/$C105)</f>
        <v/>
      </c>
    </row>
    <row r="106" customFormat="false" ht="15" hidden="false" customHeight="false" outlineLevel="0" collapsed="false">
      <c r="A106" s="16" t="str">
        <f aca="false">IFERROR(INDEX('NHẬP ĐƠN HÀNG'!$H$6:$H$505,MATCH(74,'NHẬP ĐƠN HÀNG'!$AC$6:$AC$505,0)),"")</f>
        <v/>
      </c>
      <c r="B106" s="10" t="str">
        <f aca="false">IF($A106="","",SUMIF('NHẬP ĐƠN HÀNG'!$H$6:$H$505,$A106,'NHẬP ĐƠN HÀNG'!$I$6:$I$505))</f>
        <v/>
      </c>
      <c r="C106" s="10" t="str">
        <f aca="false">IF($A106="","",SUMIF('NHẬP ĐƠN HÀNG'!$H$6:$H$505,$A106,'NHẬP ĐƠN HÀNG'!$L$6:$L$505))</f>
        <v/>
      </c>
      <c r="D106" s="10" t="str">
        <f aca="false">IF($A106="","",SUMIF('NHẬP ĐƠN HÀNG'!$H$6:$H$505,$A106,'NHẬP ĐƠN HÀNG'!$T$6:$T$505))</f>
        <v/>
      </c>
      <c r="E106" s="10" t="str">
        <f aca="false">IF($A106="","",SUMIF('NHẬP ĐƠN HÀNG'!$H$6:$H$505,$A106,'NHẬP ĐƠN HÀNG'!$U$6:$U$505))</f>
        <v/>
      </c>
      <c r="F106" s="11" t="str">
        <f aca="false">IF(OR($A106="",$C106=0),"",$E106/$C106)</f>
        <v/>
      </c>
    </row>
    <row r="107" customFormat="false" ht="15" hidden="false" customHeight="false" outlineLevel="0" collapsed="false">
      <c r="A107" s="16" t="str">
        <f aca="false">IFERROR(INDEX('NHẬP ĐƠN HÀNG'!$H$6:$H$505,MATCH(75,'NHẬP ĐƠN HÀNG'!$AC$6:$AC$505,0)),"")</f>
        <v/>
      </c>
      <c r="B107" s="10" t="str">
        <f aca="false">IF($A107="","",SUMIF('NHẬP ĐƠN HÀNG'!$H$6:$H$505,$A107,'NHẬP ĐƠN HÀNG'!$I$6:$I$505))</f>
        <v/>
      </c>
      <c r="C107" s="10" t="str">
        <f aca="false">IF($A107="","",SUMIF('NHẬP ĐƠN HÀNG'!$H$6:$H$505,$A107,'NHẬP ĐƠN HÀNG'!$L$6:$L$505))</f>
        <v/>
      </c>
      <c r="D107" s="10" t="str">
        <f aca="false">IF($A107="","",SUMIF('NHẬP ĐƠN HÀNG'!$H$6:$H$505,$A107,'NHẬP ĐƠN HÀNG'!$T$6:$T$505))</f>
        <v/>
      </c>
      <c r="E107" s="10" t="str">
        <f aca="false">IF($A107="","",SUMIF('NHẬP ĐƠN HÀNG'!$H$6:$H$505,$A107,'NHẬP ĐƠN HÀNG'!$U$6:$U$505))</f>
        <v/>
      </c>
      <c r="F107" s="11" t="str">
        <f aca="false">IF(OR($A107="",$C107=0),"",$E107/$C107)</f>
        <v/>
      </c>
    </row>
    <row r="108" customFormat="false" ht="15" hidden="false" customHeight="false" outlineLevel="0" collapsed="false">
      <c r="A108" s="16" t="str">
        <f aca="false">IFERROR(INDEX('NHẬP ĐƠN HÀNG'!$H$6:$H$505,MATCH(76,'NHẬP ĐƠN HÀNG'!$AC$6:$AC$505,0)),"")</f>
        <v/>
      </c>
      <c r="B108" s="10" t="str">
        <f aca="false">IF($A108="","",SUMIF('NHẬP ĐƠN HÀNG'!$H$6:$H$505,$A108,'NHẬP ĐƠN HÀNG'!$I$6:$I$505))</f>
        <v/>
      </c>
      <c r="C108" s="10" t="str">
        <f aca="false">IF($A108="","",SUMIF('NHẬP ĐƠN HÀNG'!$H$6:$H$505,$A108,'NHẬP ĐƠN HÀNG'!$L$6:$L$505))</f>
        <v/>
      </c>
      <c r="D108" s="10" t="str">
        <f aca="false">IF($A108="","",SUMIF('NHẬP ĐƠN HÀNG'!$H$6:$H$505,$A108,'NHẬP ĐƠN HÀNG'!$T$6:$T$505))</f>
        <v/>
      </c>
      <c r="E108" s="10" t="str">
        <f aca="false">IF($A108="","",SUMIF('NHẬP ĐƠN HÀNG'!$H$6:$H$505,$A108,'NHẬP ĐƠN HÀNG'!$U$6:$U$505))</f>
        <v/>
      </c>
      <c r="F108" s="11" t="str">
        <f aca="false">IF(OR($A108="",$C108=0),"",$E108/$C108)</f>
        <v/>
      </c>
    </row>
    <row r="109" customFormat="false" ht="15" hidden="false" customHeight="false" outlineLevel="0" collapsed="false">
      <c r="A109" s="16" t="str">
        <f aca="false">IFERROR(INDEX('NHẬP ĐƠN HÀNG'!$H$6:$H$505,MATCH(77,'NHẬP ĐƠN HÀNG'!$AC$6:$AC$505,0)),"")</f>
        <v/>
      </c>
      <c r="B109" s="10" t="str">
        <f aca="false">IF($A109="","",SUMIF('NHẬP ĐƠN HÀNG'!$H$6:$H$505,$A109,'NHẬP ĐƠN HÀNG'!$I$6:$I$505))</f>
        <v/>
      </c>
      <c r="C109" s="10" t="str">
        <f aca="false">IF($A109="","",SUMIF('NHẬP ĐƠN HÀNG'!$H$6:$H$505,$A109,'NHẬP ĐƠN HÀNG'!$L$6:$L$505))</f>
        <v/>
      </c>
      <c r="D109" s="10" t="str">
        <f aca="false">IF($A109="","",SUMIF('NHẬP ĐƠN HÀNG'!$H$6:$H$505,$A109,'NHẬP ĐƠN HÀNG'!$T$6:$T$505))</f>
        <v/>
      </c>
      <c r="E109" s="10" t="str">
        <f aca="false">IF($A109="","",SUMIF('NHẬP ĐƠN HÀNG'!$H$6:$H$505,$A109,'NHẬP ĐƠN HÀNG'!$U$6:$U$505))</f>
        <v/>
      </c>
      <c r="F109" s="11" t="str">
        <f aca="false">IF(OR($A109="",$C109=0),"",$E109/$C109)</f>
        <v/>
      </c>
    </row>
    <row r="110" customFormat="false" ht="15" hidden="false" customHeight="false" outlineLevel="0" collapsed="false">
      <c r="A110" s="16" t="str">
        <f aca="false">IFERROR(INDEX('NHẬP ĐƠN HÀNG'!$H$6:$H$505,MATCH(78,'NHẬP ĐƠN HÀNG'!$AC$6:$AC$505,0)),"")</f>
        <v/>
      </c>
      <c r="B110" s="10" t="str">
        <f aca="false">IF($A110="","",SUMIF('NHẬP ĐƠN HÀNG'!$H$6:$H$505,$A110,'NHẬP ĐƠN HÀNG'!$I$6:$I$505))</f>
        <v/>
      </c>
      <c r="C110" s="10" t="str">
        <f aca="false">IF($A110="","",SUMIF('NHẬP ĐƠN HÀNG'!$H$6:$H$505,$A110,'NHẬP ĐƠN HÀNG'!$L$6:$L$505))</f>
        <v/>
      </c>
      <c r="D110" s="10" t="str">
        <f aca="false">IF($A110="","",SUMIF('NHẬP ĐƠN HÀNG'!$H$6:$H$505,$A110,'NHẬP ĐƠN HÀNG'!$T$6:$T$505))</f>
        <v/>
      </c>
      <c r="E110" s="10" t="str">
        <f aca="false">IF($A110="","",SUMIF('NHẬP ĐƠN HÀNG'!$H$6:$H$505,$A110,'NHẬP ĐƠN HÀNG'!$U$6:$U$505))</f>
        <v/>
      </c>
      <c r="F110" s="11" t="str">
        <f aca="false">IF(OR($A110="",$C110=0),"",$E110/$C110)</f>
        <v/>
      </c>
    </row>
    <row r="111" customFormat="false" ht="15" hidden="false" customHeight="false" outlineLevel="0" collapsed="false">
      <c r="A111" s="16" t="str">
        <f aca="false">IFERROR(INDEX('NHẬP ĐƠN HÀNG'!$H$6:$H$505,MATCH(79,'NHẬP ĐƠN HÀNG'!$AC$6:$AC$505,0)),"")</f>
        <v/>
      </c>
      <c r="B111" s="10" t="str">
        <f aca="false">IF($A111="","",SUMIF('NHẬP ĐƠN HÀNG'!$H$6:$H$505,$A111,'NHẬP ĐƠN HÀNG'!$I$6:$I$505))</f>
        <v/>
      </c>
      <c r="C111" s="10" t="str">
        <f aca="false">IF($A111="","",SUMIF('NHẬP ĐƠN HÀNG'!$H$6:$H$505,$A111,'NHẬP ĐƠN HÀNG'!$L$6:$L$505))</f>
        <v/>
      </c>
      <c r="D111" s="10" t="str">
        <f aca="false">IF($A111="","",SUMIF('NHẬP ĐƠN HÀNG'!$H$6:$H$505,$A111,'NHẬP ĐƠN HÀNG'!$T$6:$T$505))</f>
        <v/>
      </c>
      <c r="E111" s="10" t="str">
        <f aca="false">IF($A111="","",SUMIF('NHẬP ĐƠN HÀNG'!$H$6:$H$505,$A111,'NHẬP ĐƠN HÀNG'!$U$6:$U$505))</f>
        <v/>
      </c>
      <c r="F111" s="11" t="str">
        <f aca="false">IF(OR($A111="",$C111=0),"",$E111/$C111)</f>
        <v/>
      </c>
    </row>
    <row r="112" customFormat="false" ht="15" hidden="false" customHeight="false" outlineLevel="0" collapsed="false">
      <c r="A112" s="16" t="str">
        <f aca="false">IFERROR(INDEX('NHẬP ĐƠN HÀNG'!$H$6:$H$505,MATCH(80,'NHẬP ĐƠN HÀNG'!$AC$6:$AC$505,0)),"")</f>
        <v/>
      </c>
      <c r="B112" s="10" t="str">
        <f aca="false">IF($A112="","",SUMIF('NHẬP ĐƠN HÀNG'!$H$6:$H$505,$A112,'NHẬP ĐƠN HÀNG'!$I$6:$I$505))</f>
        <v/>
      </c>
      <c r="C112" s="10" t="str">
        <f aca="false">IF($A112="","",SUMIF('NHẬP ĐƠN HÀNG'!$H$6:$H$505,$A112,'NHẬP ĐƠN HÀNG'!$L$6:$L$505))</f>
        <v/>
      </c>
      <c r="D112" s="10" t="str">
        <f aca="false">IF($A112="","",SUMIF('NHẬP ĐƠN HÀNG'!$H$6:$H$505,$A112,'NHẬP ĐƠN HÀNG'!$T$6:$T$505))</f>
        <v/>
      </c>
      <c r="E112" s="10" t="str">
        <f aca="false">IF($A112="","",SUMIF('NHẬP ĐƠN HÀNG'!$H$6:$H$505,$A112,'NHẬP ĐƠN HÀNG'!$U$6:$U$505))</f>
        <v/>
      </c>
      <c r="F112" s="11" t="str">
        <f aca="false">IF(OR($A112="",$C112=0),"",$E112/$C112)</f>
        <v/>
      </c>
    </row>
    <row r="113" customFormat="false" ht="15" hidden="false" customHeight="false" outlineLevel="0" collapsed="false">
      <c r="A113" s="16" t="str">
        <f aca="false">IFERROR(INDEX('NHẬP ĐƠN HÀNG'!$H$6:$H$505,MATCH(81,'NHẬP ĐƠN HÀNG'!$AC$6:$AC$505,0)),"")</f>
        <v/>
      </c>
      <c r="B113" s="10" t="str">
        <f aca="false">IF($A113="","",SUMIF('NHẬP ĐƠN HÀNG'!$H$6:$H$505,$A113,'NHẬP ĐƠN HÀNG'!$I$6:$I$505))</f>
        <v/>
      </c>
      <c r="C113" s="10" t="str">
        <f aca="false">IF($A113="","",SUMIF('NHẬP ĐƠN HÀNG'!$H$6:$H$505,$A113,'NHẬP ĐƠN HÀNG'!$L$6:$L$505))</f>
        <v/>
      </c>
      <c r="D113" s="10" t="str">
        <f aca="false">IF($A113="","",SUMIF('NHẬP ĐƠN HÀNG'!$H$6:$H$505,$A113,'NHẬP ĐƠN HÀNG'!$T$6:$T$505))</f>
        <v/>
      </c>
      <c r="E113" s="10" t="str">
        <f aca="false">IF($A113="","",SUMIF('NHẬP ĐƠN HÀNG'!$H$6:$H$505,$A113,'NHẬP ĐƠN HÀNG'!$U$6:$U$505))</f>
        <v/>
      </c>
      <c r="F113" s="11" t="str">
        <f aca="false">IF(OR($A113="",$C113=0),"",$E113/$C113)</f>
        <v/>
      </c>
    </row>
    <row r="114" customFormat="false" ht="15" hidden="false" customHeight="false" outlineLevel="0" collapsed="false">
      <c r="A114" s="16" t="str">
        <f aca="false">IFERROR(INDEX('NHẬP ĐƠN HÀNG'!$H$6:$H$505,MATCH(82,'NHẬP ĐƠN HÀNG'!$AC$6:$AC$505,0)),"")</f>
        <v/>
      </c>
      <c r="B114" s="10" t="str">
        <f aca="false">IF($A114="","",SUMIF('NHẬP ĐƠN HÀNG'!$H$6:$H$505,$A114,'NHẬP ĐƠN HÀNG'!$I$6:$I$505))</f>
        <v/>
      </c>
      <c r="C114" s="10" t="str">
        <f aca="false">IF($A114="","",SUMIF('NHẬP ĐƠN HÀNG'!$H$6:$H$505,$A114,'NHẬP ĐƠN HÀNG'!$L$6:$L$505))</f>
        <v/>
      </c>
      <c r="D114" s="10" t="str">
        <f aca="false">IF($A114="","",SUMIF('NHẬP ĐƠN HÀNG'!$H$6:$H$505,$A114,'NHẬP ĐƠN HÀNG'!$T$6:$T$505))</f>
        <v/>
      </c>
      <c r="E114" s="10" t="str">
        <f aca="false">IF($A114="","",SUMIF('NHẬP ĐƠN HÀNG'!$H$6:$H$505,$A114,'NHẬP ĐƠN HÀNG'!$U$6:$U$505))</f>
        <v/>
      </c>
      <c r="F114" s="11" t="str">
        <f aca="false">IF(OR($A114="",$C114=0),"",$E114/$C114)</f>
        <v/>
      </c>
    </row>
    <row r="115" customFormat="false" ht="15" hidden="false" customHeight="false" outlineLevel="0" collapsed="false">
      <c r="A115" s="16" t="str">
        <f aca="false">IFERROR(INDEX('NHẬP ĐƠN HÀNG'!$H$6:$H$505,MATCH(83,'NHẬP ĐƠN HÀNG'!$AC$6:$AC$505,0)),"")</f>
        <v/>
      </c>
      <c r="B115" s="10" t="str">
        <f aca="false">IF($A115="","",SUMIF('NHẬP ĐƠN HÀNG'!$H$6:$H$505,$A115,'NHẬP ĐƠN HÀNG'!$I$6:$I$505))</f>
        <v/>
      </c>
      <c r="C115" s="10" t="str">
        <f aca="false">IF($A115="","",SUMIF('NHẬP ĐƠN HÀNG'!$H$6:$H$505,$A115,'NHẬP ĐƠN HÀNG'!$L$6:$L$505))</f>
        <v/>
      </c>
      <c r="D115" s="10" t="str">
        <f aca="false">IF($A115="","",SUMIF('NHẬP ĐƠN HÀNG'!$H$6:$H$505,$A115,'NHẬP ĐƠN HÀNG'!$T$6:$T$505))</f>
        <v/>
      </c>
      <c r="E115" s="10" t="str">
        <f aca="false">IF($A115="","",SUMIF('NHẬP ĐƠN HÀNG'!$H$6:$H$505,$A115,'NHẬP ĐƠN HÀNG'!$U$6:$U$505))</f>
        <v/>
      </c>
      <c r="F115" s="11" t="str">
        <f aca="false">IF(OR($A115="",$C115=0),"",$E115/$C115)</f>
        <v/>
      </c>
    </row>
    <row r="116" customFormat="false" ht="15" hidden="false" customHeight="false" outlineLevel="0" collapsed="false">
      <c r="A116" s="16" t="str">
        <f aca="false">IFERROR(INDEX('NHẬP ĐƠN HÀNG'!$H$6:$H$505,MATCH(84,'NHẬP ĐƠN HÀNG'!$AC$6:$AC$505,0)),"")</f>
        <v/>
      </c>
      <c r="B116" s="10" t="str">
        <f aca="false">IF($A116="","",SUMIF('NHẬP ĐƠN HÀNG'!$H$6:$H$505,$A116,'NHẬP ĐƠN HÀNG'!$I$6:$I$505))</f>
        <v/>
      </c>
      <c r="C116" s="10" t="str">
        <f aca="false">IF($A116="","",SUMIF('NHẬP ĐƠN HÀNG'!$H$6:$H$505,$A116,'NHẬP ĐƠN HÀNG'!$L$6:$L$505))</f>
        <v/>
      </c>
      <c r="D116" s="10" t="str">
        <f aca="false">IF($A116="","",SUMIF('NHẬP ĐƠN HÀNG'!$H$6:$H$505,$A116,'NHẬP ĐƠN HÀNG'!$T$6:$T$505))</f>
        <v/>
      </c>
      <c r="E116" s="10" t="str">
        <f aca="false">IF($A116="","",SUMIF('NHẬP ĐƠN HÀNG'!$H$6:$H$505,$A116,'NHẬP ĐƠN HÀNG'!$U$6:$U$505))</f>
        <v/>
      </c>
      <c r="F116" s="11" t="str">
        <f aca="false">IF(OR($A116="",$C116=0),"",$E116/$C116)</f>
        <v/>
      </c>
    </row>
    <row r="117" customFormat="false" ht="15" hidden="false" customHeight="false" outlineLevel="0" collapsed="false">
      <c r="A117" s="16" t="str">
        <f aca="false">IFERROR(INDEX('NHẬP ĐƠN HÀNG'!$H$6:$H$505,MATCH(85,'NHẬP ĐƠN HÀNG'!$AC$6:$AC$505,0)),"")</f>
        <v/>
      </c>
      <c r="B117" s="10" t="str">
        <f aca="false">IF($A117="","",SUMIF('NHẬP ĐƠN HÀNG'!$H$6:$H$505,$A117,'NHẬP ĐƠN HÀNG'!$I$6:$I$505))</f>
        <v/>
      </c>
      <c r="C117" s="10" t="str">
        <f aca="false">IF($A117="","",SUMIF('NHẬP ĐƠN HÀNG'!$H$6:$H$505,$A117,'NHẬP ĐƠN HÀNG'!$L$6:$L$505))</f>
        <v/>
      </c>
      <c r="D117" s="10" t="str">
        <f aca="false">IF($A117="","",SUMIF('NHẬP ĐƠN HÀNG'!$H$6:$H$505,$A117,'NHẬP ĐƠN HÀNG'!$T$6:$T$505))</f>
        <v/>
      </c>
      <c r="E117" s="10" t="str">
        <f aca="false">IF($A117="","",SUMIF('NHẬP ĐƠN HÀNG'!$H$6:$H$505,$A117,'NHẬP ĐƠN HÀNG'!$U$6:$U$505))</f>
        <v/>
      </c>
      <c r="F117" s="11" t="str">
        <f aca="false">IF(OR($A117="",$C117=0),"",$E117/$C117)</f>
        <v/>
      </c>
    </row>
    <row r="118" customFormat="false" ht="15" hidden="false" customHeight="false" outlineLevel="0" collapsed="false">
      <c r="A118" s="16" t="str">
        <f aca="false">IFERROR(INDEX('NHẬP ĐƠN HÀNG'!$H$6:$H$505,MATCH(86,'NHẬP ĐƠN HÀNG'!$AC$6:$AC$505,0)),"")</f>
        <v/>
      </c>
      <c r="B118" s="10" t="str">
        <f aca="false">IF($A118="","",SUMIF('NHẬP ĐƠN HÀNG'!$H$6:$H$505,$A118,'NHẬP ĐƠN HÀNG'!$I$6:$I$505))</f>
        <v/>
      </c>
      <c r="C118" s="10" t="str">
        <f aca="false">IF($A118="","",SUMIF('NHẬP ĐƠN HÀNG'!$H$6:$H$505,$A118,'NHẬP ĐƠN HÀNG'!$L$6:$L$505))</f>
        <v/>
      </c>
      <c r="D118" s="10" t="str">
        <f aca="false">IF($A118="","",SUMIF('NHẬP ĐƠN HÀNG'!$H$6:$H$505,$A118,'NHẬP ĐƠN HÀNG'!$T$6:$T$505))</f>
        <v/>
      </c>
      <c r="E118" s="10" t="str">
        <f aca="false">IF($A118="","",SUMIF('NHẬP ĐƠN HÀNG'!$H$6:$H$505,$A118,'NHẬP ĐƠN HÀNG'!$U$6:$U$505))</f>
        <v/>
      </c>
      <c r="F118" s="11" t="str">
        <f aca="false">IF(OR($A118="",$C118=0),"",$E118/$C118)</f>
        <v/>
      </c>
    </row>
    <row r="119" customFormat="false" ht="15" hidden="false" customHeight="false" outlineLevel="0" collapsed="false">
      <c r="A119" s="16" t="str">
        <f aca="false">IFERROR(INDEX('NHẬP ĐƠN HÀNG'!$H$6:$H$505,MATCH(87,'NHẬP ĐƠN HÀNG'!$AC$6:$AC$505,0)),"")</f>
        <v/>
      </c>
      <c r="B119" s="10" t="str">
        <f aca="false">IF($A119="","",SUMIF('NHẬP ĐƠN HÀNG'!$H$6:$H$505,$A119,'NHẬP ĐƠN HÀNG'!$I$6:$I$505))</f>
        <v/>
      </c>
      <c r="C119" s="10" t="str">
        <f aca="false">IF($A119="","",SUMIF('NHẬP ĐƠN HÀNG'!$H$6:$H$505,$A119,'NHẬP ĐƠN HÀNG'!$L$6:$L$505))</f>
        <v/>
      </c>
      <c r="D119" s="10" t="str">
        <f aca="false">IF($A119="","",SUMIF('NHẬP ĐƠN HÀNG'!$H$6:$H$505,$A119,'NHẬP ĐƠN HÀNG'!$T$6:$T$505))</f>
        <v/>
      </c>
      <c r="E119" s="10" t="str">
        <f aca="false">IF($A119="","",SUMIF('NHẬP ĐƠN HÀNG'!$H$6:$H$505,$A119,'NHẬP ĐƠN HÀNG'!$U$6:$U$505))</f>
        <v/>
      </c>
      <c r="F119" s="11" t="str">
        <f aca="false">IF(OR($A119="",$C119=0),"",$E119/$C119)</f>
        <v/>
      </c>
    </row>
    <row r="120" customFormat="false" ht="15" hidden="false" customHeight="false" outlineLevel="0" collapsed="false">
      <c r="A120" s="16" t="str">
        <f aca="false">IFERROR(INDEX('NHẬP ĐƠN HÀNG'!$H$6:$H$505,MATCH(88,'NHẬP ĐƠN HÀNG'!$AC$6:$AC$505,0)),"")</f>
        <v/>
      </c>
      <c r="B120" s="10" t="str">
        <f aca="false">IF($A120="","",SUMIF('NHẬP ĐƠN HÀNG'!$H$6:$H$505,$A120,'NHẬP ĐƠN HÀNG'!$I$6:$I$505))</f>
        <v/>
      </c>
      <c r="C120" s="10" t="str">
        <f aca="false">IF($A120="","",SUMIF('NHẬP ĐƠN HÀNG'!$H$6:$H$505,$A120,'NHẬP ĐƠN HÀNG'!$L$6:$L$505))</f>
        <v/>
      </c>
      <c r="D120" s="10" t="str">
        <f aca="false">IF($A120="","",SUMIF('NHẬP ĐƠN HÀNG'!$H$6:$H$505,$A120,'NHẬP ĐƠN HÀNG'!$T$6:$T$505))</f>
        <v/>
      </c>
      <c r="E120" s="10" t="str">
        <f aca="false">IF($A120="","",SUMIF('NHẬP ĐƠN HÀNG'!$H$6:$H$505,$A120,'NHẬP ĐƠN HÀNG'!$U$6:$U$505))</f>
        <v/>
      </c>
      <c r="F120" s="11" t="str">
        <f aca="false">IF(OR($A120="",$C120=0),"",$E120/$C120)</f>
        <v/>
      </c>
    </row>
    <row r="121" customFormat="false" ht="15" hidden="false" customHeight="false" outlineLevel="0" collapsed="false">
      <c r="A121" s="16" t="str">
        <f aca="false">IFERROR(INDEX('NHẬP ĐƠN HÀNG'!$H$6:$H$505,MATCH(89,'NHẬP ĐƠN HÀNG'!$AC$6:$AC$505,0)),"")</f>
        <v/>
      </c>
      <c r="B121" s="10" t="str">
        <f aca="false">IF($A121="","",SUMIF('NHẬP ĐƠN HÀNG'!$H$6:$H$505,$A121,'NHẬP ĐƠN HÀNG'!$I$6:$I$505))</f>
        <v/>
      </c>
      <c r="C121" s="10" t="str">
        <f aca="false">IF($A121="","",SUMIF('NHẬP ĐƠN HÀNG'!$H$6:$H$505,$A121,'NHẬP ĐƠN HÀNG'!$L$6:$L$505))</f>
        <v/>
      </c>
      <c r="D121" s="10" t="str">
        <f aca="false">IF($A121="","",SUMIF('NHẬP ĐƠN HÀNG'!$H$6:$H$505,$A121,'NHẬP ĐƠN HÀNG'!$T$6:$T$505))</f>
        <v/>
      </c>
      <c r="E121" s="10" t="str">
        <f aca="false">IF($A121="","",SUMIF('NHẬP ĐƠN HÀNG'!$H$6:$H$505,$A121,'NHẬP ĐƠN HÀNG'!$U$6:$U$505))</f>
        <v/>
      </c>
      <c r="F121" s="11" t="str">
        <f aca="false">IF(OR($A121="",$C121=0),"",$E121/$C121)</f>
        <v/>
      </c>
    </row>
    <row r="122" customFormat="false" ht="15" hidden="false" customHeight="false" outlineLevel="0" collapsed="false">
      <c r="A122" s="16" t="str">
        <f aca="false">IFERROR(INDEX('NHẬP ĐƠN HÀNG'!$H$6:$H$505,MATCH(90,'NHẬP ĐƠN HÀNG'!$AC$6:$AC$505,0)),"")</f>
        <v/>
      </c>
      <c r="B122" s="10" t="str">
        <f aca="false">IF($A122="","",SUMIF('NHẬP ĐƠN HÀNG'!$H$6:$H$505,$A122,'NHẬP ĐƠN HÀNG'!$I$6:$I$505))</f>
        <v/>
      </c>
      <c r="C122" s="10" t="str">
        <f aca="false">IF($A122="","",SUMIF('NHẬP ĐƠN HÀNG'!$H$6:$H$505,$A122,'NHẬP ĐƠN HÀNG'!$L$6:$L$505))</f>
        <v/>
      </c>
      <c r="D122" s="10" t="str">
        <f aca="false">IF($A122="","",SUMIF('NHẬP ĐƠN HÀNG'!$H$6:$H$505,$A122,'NHẬP ĐƠN HÀNG'!$T$6:$T$505))</f>
        <v/>
      </c>
      <c r="E122" s="10" t="str">
        <f aca="false">IF($A122="","",SUMIF('NHẬP ĐƠN HÀNG'!$H$6:$H$505,$A122,'NHẬP ĐƠN HÀNG'!$U$6:$U$505))</f>
        <v/>
      </c>
      <c r="F122" s="11" t="str">
        <f aca="false">IF(OR($A122="",$C122=0),"",$E122/$C122)</f>
        <v/>
      </c>
    </row>
    <row r="123" customFormat="false" ht="15" hidden="false" customHeight="false" outlineLevel="0" collapsed="false">
      <c r="A123" s="16" t="str">
        <f aca="false">IFERROR(INDEX('NHẬP ĐƠN HÀNG'!$H$6:$H$505,MATCH(91,'NHẬP ĐƠN HÀNG'!$AC$6:$AC$505,0)),"")</f>
        <v/>
      </c>
      <c r="B123" s="10" t="str">
        <f aca="false">IF($A123="","",SUMIF('NHẬP ĐƠN HÀNG'!$H$6:$H$505,$A123,'NHẬP ĐƠN HÀNG'!$I$6:$I$505))</f>
        <v/>
      </c>
      <c r="C123" s="10" t="str">
        <f aca="false">IF($A123="","",SUMIF('NHẬP ĐƠN HÀNG'!$H$6:$H$505,$A123,'NHẬP ĐƠN HÀNG'!$L$6:$L$505))</f>
        <v/>
      </c>
      <c r="D123" s="10" t="str">
        <f aca="false">IF($A123="","",SUMIF('NHẬP ĐƠN HÀNG'!$H$6:$H$505,$A123,'NHẬP ĐƠN HÀNG'!$T$6:$T$505))</f>
        <v/>
      </c>
      <c r="E123" s="10" t="str">
        <f aca="false">IF($A123="","",SUMIF('NHẬP ĐƠN HÀNG'!$H$6:$H$505,$A123,'NHẬP ĐƠN HÀNG'!$U$6:$U$505))</f>
        <v/>
      </c>
      <c r="F123" s="11" t="str">
        <f aca="false">IF(OR($A123="",$C123=0),"",$E123/$C123)</f>
        <v/>
      </c>
    </row>
    <row r="124" customFormat="false" ht="15" hidden="false" customHeight="false" outlineLevel="0" collapsed="false">
      <c r="A124" s="16" t="str">
        <f aca="false">IFERROR(INDEX('NHẬP ĐƠN HÀNG'!$H$6:$H$505,MATCH(92,'NHẬP ĐƠN HÀNG'!$AC$6:$AC$505,0)),"")</f>
        <v/>
      </c>
      <c r="B124" s="10" t="str">
        <f aca="false">IF($A124="","",SUMIF('NHẬP ĐƠN HÀNG'!$H$6:$H$505,$A124,'NHẬP ĐƠN HÀNG'!$I$6:$I$505))</f>
        <v/>
      </c>
      <c r="C124" s="10" t="str">
        <f aca="false">IF($A124="","",SUMIF('NHẬP ĐƠN HÀNG'!$H$6:$H$505,$A124,'NHẬP ĐƠN HÀNG'!$L$6:$L$505))</f>
        <v/>
      </c>
      <c r="D124" s="10" t="str">
        <f aca="false">IF($A124="","",SUMIF('NHẬP ĐƠN HÀNG'!$H$6:$H$505,$A124,'NHẬP ĐƠN HÀNG'!$T$6:$T$505))</f>
        <v/>
      </c>
      <c r="E124" s="10" t="str">
        <f aca="false">IF($A124="","",SUMIF('NHẬP ĐƠN HÀNG'!$H$6:$H$505,$A124,'NHẬP ĐƠN HÀNG'!$U$6:$U$505))</f>
        <v/>
      </c>
      <c r="F124" s="11" t="str">
        <f aca="false">IF(OR($A124="",$C124=0),"",$E124/$C124)</f>
        <v/>
      </c>
    </row>
    <row r="125" customFormat="false" ht="15" hidden="false" customHeight="false" outlineLevel="0" collapsed="false">
      <c r="A125" s="16" t="str">
        <f aca="false">IFERROR(INDEX('NHẬP ĐƠN HÀNG'!$H$6:$H$505,MATCH(93,'NHẬP ĐƠN HÀNG'!$AC$6:$AC$505,0)),"")</f>
        <v/>
      </c>
      <c r="B125" s="10" t="str">
        <f aca="false">IF($A125="","",SUMIF('NHẬP ĐƠN HÀNG'!$H$6:$H$505,$A125,'NHẬP ĐƠN HÀNG'!$I$6:$I$505))</f>
        <v/>
      </c>
      <c r="C125" s="10" t="str">
        <f aca="false">IF($A125="","",SUMIF('NHẬP ĐƠN HÀNG'!$H$6:$H$505,$A125,'NHẬP ĐƠN HÀNG'!$L$6:$L$505))</f>
        <v/>
      </c>
      <c r="D125" s="10" t="str">
        <f aca="false">IF($A125="","",SUMIF('NHẬP ĐƠN HÀNG'!$H$6:$H$505,$A125,'NHẬP ĐƠN HÀNG'!$T$6:$T$505))</f>
        <v/>
      </c>
      <c r="E125" s="10" t="str">
        <f aca="false">IF($A125="","",SUMIF('NHẬP ĐƠN HÀNG'!$H$6:$H$505,$A125,'NHẬP ĐƠN HÀNG'!$U$6:$U$505))</f>
        <v/>
      </c>
      <c r="F125" s="11" t="str">
        <f aca="false">IF(OR($A125="",$C125=0),"",$E125/$C125)</f>
        <v/>
      </c>
    </row>
    <row r="126" customFormat="false" ht="15" hidden="false" customHeight="false" outlineLevel="0" collapsed="false">
      <c r="A126" s="16" t="str">
        <f aca="false">IFERROR(INDEX('NHẬP ĐƠN HÀNG'!$H$6:$H$505,MATCH(94,'NHẬP ĐƠN HÀNG'!$AC$6:$AC$505,0)),"")</f>
        <v/>
      </c>
      <c r="B126" s="10" t="str">
        <f aca="false">IF($A126="","",SUMIF('NHẬP ĐƠN HÀNG'!$H$6:$H$505,$A126,'NHẬP ĐƠN HÀNG'!$I$6:$I$505))</f>
        <v/>
      </c>
      <c r="C126" s="10" t="str">
        <f aca="false">IF($A126="","",SUMIF('NHẬP ĐƠN HÀNG'!$H$6:$H$505,$A126,'NHẬP ĐƠN HÀNG'!$L$6:$L$505))</f>
        <v/>
      </c>
      <c r="D126" s="10" t="str">
        <f aca="false">IF($A126="","",SUMIF('NHẬP ĐƠN HÀNG'!$H$6:$H$505,$A126,'NHẬP ĐƠN HÀNG'!$T$6:$T$505))</f>
        <v/>
      </c>
      <c r="E126" s="10" t="str">
        <f aca="false">IF($A126="","",SUMIF('NHẬP ĐƠN HÀNG'!$H$6:$H$505,$A126,'NHẬP ĐƠN HÀNG'!$U$6:$U$505))</f>
        <v/>
      </c>
      <c r="F126" s="11" t="str">
        <f aca="false">IF(OR($A126="",$C126=0),"",$E126/$C126)</f>
        <v/>
      </c>
    </row>
    <row r="127" customFormat="false" ht="15" hidden="false" customHeight="false" outlineLevel="0" collapsed="false">
      <c r="A127" s="16" t="str">
        <f aca="false">IFERROR(INDEX('NHẬP ĐƠN HÀNG'!$H$6:$H$505,MATCH(95,'NHẬP ĐƠN HÀNG'!$AC$6:$AC$505,0)),"")</f>
        <v/>
      </c>
      <c r="B127" s="10" t="str">
        <f aca="false">IF($A127="","",SUMIF('NHẬP ĐƠN HÀNG'!$H$6:$H$505,$A127,'NHẬP ĐƠN HÀNG'!$I$6:$I$505))</f>
        <v/>
      </c>
      <c r="C127" s="10" t="str">
        <f aca="false">IF($A127="","",SUMIF('NHẬP ĐƠN HÀNG'!$H$6:$H$505,$A127,'NHẬP ĐƠN HÀNG'!$L$6:$L$505))</f>
        <v/>
      </c>
      <c r="D127" s="10" t="str">
        <f aca="false">IF($A127="","",SUMIF('NHẬP ĐƠN HÀNG'!$H$6:$H$505,$A127,'NHẬP ĐƠN HÀNG'!$T$6:$T$505))</f>
        <v/>
      </c>
      <c r="E127" s="10" t="str">
        <f aca="false">IF($A127="","",SUMIF('NHẬP ĐƠN HÀNG'!$H$6:$H$505,$A127,'NHẬP ĐƠN HÀNG'!$U$6:$U$505))</f>
        <v/>
      </c>
      <c r="F127" s="11" t="str">
        <f aca="false">IF(OR($A127="",$C127=0),"",$E127/$C127)</f>
        <v/>
      </c>
    </row>
    <row r="128" customFormat="false" ht="15" hidden="false" customHeight="false" outlineLevel="0" collapsed="false">
      <c r="A128" s="16" t="str">
        <f aca="false">IFERROR(INDEX('NHẬP ĐƠN HÀNG'!$H$6:$H$505,MATCH(96,'NHẬP ĐƠN HÀNG'!$AC$6:$AC$505,0)),"")</f>
        <v/>
      </c>
      <c r="B128" s="10" t="str">
        <f aca="false">IF($A128="","",SUMIF('NHẬP ĐƠN HÀNG'!$H$6:$H$505,$A128,'NHẬP ĐƠN HÀNG'!$I$6:$I$505))</f>
        <v/>
      </c>
      <c r="C128" s="10" t="str">
        <f aca="false">IF($A128="","",SUMIF('NHẬP ĐƠN HÀNG'!$H$6:$H$505,$A128,'NHẬP ĐƠN HÀNG'!$L$6:$L$505))</f>
        <v/>
      </c>
      <c r="D128" s="10" t="str">
        <f aca="false">IF($A128="","",SUMIF('NHẬP ĐƠN HÀNG'!$H$6:$H$505,$A128,'NHẬP ĐƠN HÀNG'!$T$6:$T$505))</f>
        <v/>
      </c>
      <c r="E128" s="10" t="str">
        <f aca="false">IF($A128="","",SUMIF('NHẬP ĐƠN HÀNG'!$H$6:$H$505,$A128,'NHẬP ĐƠN HÀNG'!$U$6:$U$505))</f>
        <v/>
      </c>
      <c r="F128" s="11" t="str">
        <f aca="false">IF(OR($A128="",$C128=0),"",$E128/$C128)</f>
        <v/>
      </c>
    </row>
    <row r="129" customFormat="false" ht="15" hidden="false" customHeight="false" outlineLevel="0" collapsed="false">
      <c r="A129" s="16" t="str">
        <f aca="false">IFERROR(INDEX('NHẬP ĐƠN HÀNG'!$H$6:$H$505,MATCH(97,'NHẬP ĐƠN HÀNG'!$AC$6:$AC$505,0)),"")</f>
        <v/>
      </c>
      <c r="B129" s="10" t="str">
        <f aca="false">IF($A129="","",SUMIF('NHẬP ĐƠN HÀNG'!$H$6:$H$505,$A129,'NHẬP ĐƠN HÀNG'!$I$6:$I$505))</f>
        <v/>
      </c>
      <c r="C129" s="10" t="str">
        <f aca="false">IF($A129="","",SUMIF('NHẬP ĐƠN HÀNG'!$H$6:$H$505,$A129,'NHẬP ĐƠN HÀNG'!$L$6:$L$505))</f>
        <v/>
      </c>
      <c r="D129" s="10" t="str">
        <f aca="false">IF($A129="","",SUMIF('NHẬP ĐƠN HÀNG'!$H$6:$H$505,$A129,'NHẬP ĐƠN HÀNG'!$T$6:$T$505))</f>
        <v/>
      </c>
      <c r="E129" s="10" t="str">
        <f aca="false">IF($A129="","",SUMIF('NHẬP ĐƠN HÀNG'!$H$6:$H$505,$A129,'NHẬP ĐƠN HÀNG'!$U$6:$U$505))</f>
        <v/>
      </c>
      <c r="F129" s="11" t="str">
        <f aca="false">IF(OR($A129="",$C129=0),"",$E129/$C129)</f>
        <v/>
      </c>
    </row>
    <row r="130" customFormat="false" ht="15" hidden="false" customHeight="false" outlineLevel="0" collapsed="false">
      <c r="A130" s="16" t="str">
        <f aca="false">IFERROR(INDEX('NHẬP ĐƠN HÀNG'!$H$6:$H$505,MATCH(98,'NHẬP ĐƠN HÀNG'!$AC$6:$AC$505,0)),"")</f>
        <v/>
      </c>
      <c r="B130" s="10" t="str">
        <f aca="false">IF($A130="","",SUMIF('NHẬP ĐƠN HÀNG'!$H$6:$H$505,$A130,'NHẬP ĐƠN HÀNG'!$I$6:$I$505))</f>
        <v/>
      </c>
      <c r="C130" s="10" t="str">
        <f aca="false">IF($A130="","",SUMIF('NHẬP ĐƠN HÀNG'!$H$6:$H$505,$A130,'NHẬP ĐƠN HÀNG'!$L$6:$L$505))</f>
        <v/>
      </c>
      <c r="D130" s="10" t="str">
        <f aca="false">IF($A130="","",SUMIF('NHẬP ĐƠN HÀNG'!$H$6:$H$505,$A130,'NHẬP ĐƠN HÀNG'!$T$6:$T$505))</f>
        <v/>
      </c>
      <c r="E130" s="10" t="str">
        <f aca="false">IF($A130="","",SUMIF('NHẬP ĐƠN HÀNG'!$H$6:$H$505,$A130,'NHẬP ĐƠN HÀNG'!$U$6:$U$505))</f>
        <v/>
      </c>
      <c r="F130" s="11" t="str">
        <f aca="false">IF(OR($A130="",$C130=0),"",$E130/$C130)</f>
        <v/>
      </c>
    </row>
    <row r="131" customFormat="false" ht="15" hidden="false" customHeight="false" outlineLevel="0" collapsed="false">
      <c r="A131" s="16" t="str">
        <f aca="false">IFERROR(INDEX('NHẬP ĐƠN HÀNG'!$H$6:$H$505,MATCH(99,'NHẬP ĐƠN HÀNG'!$AC$6:$AC$505,0)),"")</f>
        <v/>
      </c>
      <c r="B131" s="10" t="str">
        <f aca="false">IF($A131="","",SUMIF('NHẬP ĐƠN HÀNG'!$H$6:$H$505,$A131,'NHẬP ĐƠN HÀNG'!$I$6:$I$505))</f>
        <v/>
      </c>
      <c r="C131" s="10" t="str">
        <f aca="false">IF($A131="","",SUMIF('NHẬP ĐƠN HÀNG'!$H$6:$H$505,$A131,'NHẬP ĐƠN HÀNG'!$L$6:$L$505))</f>
        <v/>
      </c>
      <c r="D131" s="10" t="str">
        <f aca="false">IF($A131="","",SUMIF('NHẬP ĐƠN HÀNG'!$H$6:$H$505,$A131,'NHẬP ĐƠN HÀNG'!$T$6:$T$505))</f>
        <v/>
      </c>
      <c r="E131" s="10" t="str">
        <f aca="false">IF($A131="","",SUMIF('NHẬP ĐƠN HÀNG'!$H$6:$H$505,$A131,'NHẬP ĐƠN HÀNG'!$U$6:$U$505))</f>
        <v/>
      </c>
      <c r="F131" s="11" t="str">
        <f aca="false">IF(OR($A131="",$C131=0),"",$E131/$C131)</f>
        <v/>
      </c>
    </row>
    <row r="132" customFormat="false" ht="15" hidden="false" customHeight="false" outlineLevel="0" collapsed="false">
      <c r="A132" s="16" t="str">
        <f aca="false">IFERROR(INDEX('NHẬP ĐƠN HÀNG'!$H$6:$H$505,MATCH(100,'NHẬP ĐƠN HÀNG'!$AC$6:$AC$505,0)),"")</f>
        <v/>
      </c>
      <c r="B132" s="10" t="str">
        <f aca="false">IF($A132="","",SUMIF('NHẬP ĐƠN HÀNG'!$H$6:$H$505,$A132,'NHẬP ĐƠN HÀNG'!$I$6:$I$505))</f>
        <v/>
      </c>
      <c r="C132" s="10" t="str">
        <f aca="false">IF($A132="","",SUMIF('NHẬP ĐƠN HÀNG'!$H$6:$H$505,$A132,'NHẬP ĐƠN HÀNG'!$L$6:$L$505))</f>
        <v/>
      </c>
      <c r="D132" s="10" t="str">
        <f aca="false">IF($A132="","",SUMIF('NHẬP ĐƠN HÀNG'!$H$6:$H$505,$A132,'NHẬP ĐƠN HÀNG'!$T$6:$T$505))</f>
        <v/>
      </c>
      <c r="E132" s="10" t="str">
        <f aca="false">IF($A132="","",SUMIF('NHẬP ĐƠN HÀNG'!$H$6:$H$505,$A132,'NHẬP ĐƠN HÀNG'!$U$6:$U$505))</f>
        <v/>
      </c>
      <c r="F132" s="11" t="str">
        <f aca="false">IF(OR($A132="",$C132=0),"",$E132/$C132)</f>
        <v/>
      </c>
    </row>
  </sheetData>
  <mergeCells count="5">
    <mergeCell ref="A1:F1"/>
    <mergeCell ref="A2:F2"/>
    <mergeCell ref="A4:F4"/>
    <mergeCell ref="A15:F15"/>
    <mergeCell ref="A31:F31"/>
  </mergeCells>
  <conditionalFormatting sqref="B7">
    <cfRule type="cellIs" priority="2" operator="lessThan" aboveAverage="0" equalAverage="0" bottom="0" percent="0" rank="0" text="" dxfId="6">
      <formula>0</formula>
    </cfRule>
  </conditionalFormatting>
  <conditionalFormatting sqref="D17:D28">
    <cfRule type="cellIs" priority="3" operator="lessThan" aboveAverage="0" equalAverage="0" bottom="0" percent="0" rank="0" text="" dxfId="12">
      <formula>0</formula>
    </cfRule>
  </conditionalFormatting>
  <conditionalFormatting sqref="E33:E132">
    <cfRule type="cellIs" priority="4" operator="lessThan" aboveAverage="0" equalAverage="0" bottom="0" percent="0" rank="0" text="" dxfId="1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N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9"/>
    <col collapsed="false" customWidth="true" hidden="false" outlineLevel="0" max="10" min="8" style="0" width="17"/>
    <col collapsed="false" customWidth="true" hidden="false" outlineLevel="0" max="11" min="11" style="0" width="15"/>
    <col collapsed="false" customWidth="true" hidden="false" outlineLevel="0" max="12" min="12" style="0" width="16"/>
    <col collapsed="false" customWidth="true" hidden="false" outlineLevel="0" max="13" min="13" style="0" width="15"/>
    <col collapsed="false" customWidth="true" hidden="false" outlineLevel="0" max="14" min="14" style="0" width="18"/>
  </cols>
  <sheetData>
    <row r="1" customFormat="false" ht="30" hidden="false" customHeight="true" outlineLevel="0" collapsed="false">
      <c r="A1" s="1" t="s">
        <v>157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2" t="s">
        <v>158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5" customFormat="false" ht="33.75" hidden="false" customHeight="true" outlineLevel="0" collapsed="false">
      <c r="A5" s="7" t="s">
        <v>92</v>
      </c>
      <c r="B5" s="7" t="s">
        <v>94</v>
      </c>
      <c r="C5" s="7" t="s">
        <v>95</v>
      </c>
      <c r="D5" s="7" t="s">
        <v>159</v>
      </c>
      <c r="E5" s="7" t="s">
        <v>160</v>
      </c>
      <c r="F5" s="7" t="s">
        <v>98</v>
      </c>
      <c r="G5" s="7" t="s">
        <v>84</v>
      </c>
      <c r="H5" s="7" t="s">
        <v>161</v>
      </c>
      <c r="I5" s="7" t="s">
        <v>88</v>
      </c>
      <c r="J5" s="7" t="s">
        <v>104</v>
      </c>
      <c r="K5" s="7" t="s">
        <v>90</v>
      </c>
      <c r="L5" s="7" t="s">
        <v>162</v>
      </c>
      <c r="M5" s="7" t="s">
        <v>163</v>
      </c>
      <c r="N5" s="7" t="s">
        <v>164</v>
      </c>
    </row>
    <row r="6" customFormat="false" ht="15" hidden="false" customHeight="false" outlineLevel="0" collapsed="false">
      <c r="A6" s="16" t="n">
        <f aca="false">IF($B6="","",1)</f>
        <v>1</v>
      </c>
      <c r="B6" s="16" t="str">
        <f aca="false">IFERROR(INDEX('NHẬP ĐƠN HÀNG'!$C$6:$C$505,MATCH(1,'NHẬP ĐƠN HÀNG'!$AB$6:$AB$505,0)),"")</f>
        <v>BGB - GẤU TỐT NGHIỆP AMES EL</v>
      </c>
      <c r="C6" s="16" t="str">
        <f aca="false">IF($B6="","",IFERROR(IF(INDEX('NHẬP ĐƠN HÀNG'!$D$6:$D$505,MATCH($B6,'NHẬP ĐƠN HÀNG'!$C$6:$C$505,0))="","",INDEX('NHẬP ĐƠN HÀNG'!$D$6:$D$505,MATCH($B6,'NHẬP ĐƠN HÀNG'!$C$6:$C$505,0))),""))</f>
        <v>0865895498</v>
      </c>
      <c r="D6" s="16" t="str">
        <f aca="false">IF($B6="","",IFERROR(IF(INDEX('NHẬP ĐƠN HÀNG'!$E$6:$E$505,MATCH($B6,'NHẬP ĐƠN HÀNG'!$C$6:$C$505,0))="","",INDEX('NHẬP ĐƠN HÀNG'!$E$6:$E$505,MATCH($B6,'NHẬP ĐƠN HÀNG'!$C$6:$C$505,0))),""))</f>
        <v>CÔNG TY CỔ PHẦN ĐÀO TẠO AMES - CHI NHÁNH THANH HÓA</v>
      </c>
      <c r="E6" s="16" t="str">
        <f aca="false">IF($B6="","",IFERROR(IF(INDEX('NHẬP ĐƠN HÀNG'!$F$6:$F$505,MATCH($B6,'NHẬP ĐƠN HÀNG'!$C$6:$C$505,0))="","",INDEX('NHẬP ĐƠN HÀNG'!$F$6:$F$505,MATCH($B6,'NHẬP ĐƠN HÀNG'!$C$6:$C$505,0))),""))</f>
        <v>0402018889-005</v>
      </c>
      <c r="F6" s="16" t="str">
        <f aca="false">IF($B6="","",IFERROR(IF(INDEX('NHẬP ĐƠN HÀNG'!$G$6:$G$505,MATCH($B6,'NHẬP ĐƠN HÀNG'!$C$6:$C$505,0))="","",INDEX('NHẬP ĐƠN HÀNG'!$G$6:$G$505,MATCH($B6,'NHẬP ĐƠN HÀNG'!$C$6:$C$505,0))),""))</f>
        <v>18 Phan Chu Trinh, Hạc Thành, Thanh Hóa</v>
      </c>
      <c r="G6" s="10" t="n">
        <f aca="false">IF($B6="","",COUNTIFS('NHẬP ĐƠN HÀNG'!$C$6:$C$505,$B6,'NHẬP ĐƠN HÀNG'!$L$6:$L$505,"&gt;0"))</f>
        <v>1</v>
      </c>
      <c r="H6" s="10" t="n">
        <f aca="false">IF($B6="","",SUMIF('NHẬP ĐƠN HÀNG'!$C$6:$C$505,$B6,'NHẬP ĐƠN HÀNG'!$L$6:$L$505))</f>
        <v>1140000</v>
      </c>
      <c r="I6" s="10" t="n">
        <f aca="false">IF($B6="","",SUMIF('NHẬP ĐƠN HÀNG'!$C$6:$C$505,$B6,'NHẬP ĐƠN HÀNG'!$P$6:$P$505))</f>
        <v>1231200</v>
      </c>
      <c r="J6" s="10" t="n">
        <f aca="false">IF($B6="","",SUMIF('NHẬP ĐƠN HÀNG'!$C$6:$C$505,$B6,'NHẬP ĐƠN HÀNG'!$Q$6:$Q$505))</f>
        <v>0</v>
      </c>
      <c r="K6" s="10" t="n">
        <f aca="false">IF($B6="","",SUMIF('NHẬP ĐƠN HÀNG'!$C$6:$C$505,$B6,'NHẬP ĐƠN HÀNG'!$R$6:$R$505))</f>
        <v>1231200</v>
      </c>
      <c r="L6" s="10" t="n">
        <f aca="false">IF($B6="","",SUMIF('NHẬP ĐƠN HÀNG'!$C$6:$C$505,$B6,'NHẬP ĐƠN HÀNG'!$U$6:$U$505))</f>
        <v>340000</v>
      </c>
      <c r="M6" s="34" t="str">
        <f aca="false">IF($B6="","",IF(SUMPRODUCT(MAX(('NHẬP ĐƠN HÀNG'!$C$6:$C$505=$B6)*'NHẬP ĐƠN HÀNG'!$B$6:$B$505))=0,"",SUMPRODUCT(MAX(('NHẬP ĐƠN HÀNG'!$C$6:$C$505=$B6)*'NHẬP ĐƠN HÀNG'!$B$6:$B$505))))</f>
        <v/>
      </c>
      <c r="N6" s="16" t="str">
        <f aca="false">IF($B6="","",IF($G6=0,"Chưa có đơn",IF(COUNTIFS('NHẬP ĐƠN HÀNG'!$C$6:$C$505,$B6,'NHẬP ĐƠN HÀNG'!$N$6:$N$505,"&gt;0")&gt;0,"Có lấy VAT","Không lấy VAT")))</f>
        <v>Có lấy VAT</v>
      </c>
    </row>
    <row r="7" customFormat="false" ht="15" hidden="false" customHeight="false" outlineLevel="0" collapsed="false">
      <c r="A7" s="16" t="n">
        <f aca="false">IF($B7="","",2)</f>
        <v>2</v>
      </c>
      <c r="B7" s="16" t="str">
        <f aca="false">IFERROR(INDEX('NHẬP ĐƠN HÀNG'!$C$6:$C$505,MATCH(2,'NHẬP ĐƠN HÀNG'!$AB$6:$AB$505,0)),"")</f>
        <v>NGUYỆT ANH</v>
      </c>
      <c r="C7" s="16" t="str">
        <f aca="false">IF($B7="","",IFERROR(IF(INDEX('NHẬP ĐƠN HÀNG'!$D$6:$D$505,MATCH($B7,'NHẬP ĐƠN HÀNG'!$C$6:$C$505,0))="","",INDEX('NHẬP ĐƠN HÀNG'!$D$6:$D$505,MATCH($B7,'NHẬP ĐƠN HÀNG'!$C$6:$C$505,0))),""))</f>
        <v>0914121088</v>
      </c>
      <c r="D7" s="16" t="str">
        <f aca="false">IF($B7="","",IFERROR(IF(INDEX('NHẬP ĐƠN HÀNG'!$E$6:$E$505,MATCH($B7,'NHẬP ĐƠN HÀNG'!$C$6:$C$505,0))="","",INDEX('NHẬP ĐƠN HÀNG'!$E$6:$E$505,MATCH($B7,'NHẬP ĐƠN HÀNG'!$C$6:$C$505,0))),""))</f>
        <v>BGB - K2 NBK 130C</v>
      </c>
      <c r="E7" s="16" t="str">
        <f aca="false">IF($B7="","",IFERROR(IF(INDEX('NHẬP ĐƠN HÀNG'!$F$6:$F$505,MATCH($B7,'NHẬP ĐƠN HÀNG'!$C$6:$C$505,0))="","",INDEX('NHẬP ĐƠN HÀNG'!$F$6:$F$505,MATCH($B7,'NHẬP ĐƠN HÀNG'!$C$6:$C$505,0))),""))</f>
        <v>2500740944</v>
      </c>
      <c r="F7" s="16" t="str">
        <f aca="false">IF($B7="","",IFERROR(IF(INDEX('NHẬP ĐƠN HÀNG'!$G$6:$G$505,MATCH($B7,'NHẬP ĐƠN HÀNG'!$C$6:$C$505,0))="","",INDEX('NHẬP ĐƠN HÀNG'!$G$6:$G$505,MATCH($B7,'NHẬP ĐƠN HÀNG'!$C$6:$C$505,0))),""))</f>
        <v>Gần Nguyễn Hoàng (đoạn đường tránh qua TP. Tam Kỳ)</v>
      </c>
      <c r="G7" s="10" t="n">
        <f aca="false">IF($B7="","",COUNTIFS('NHẬP ĐƠN HÀNG'!$C$6:$C$505,$B7,'NHẬP ĐƠN HÀNG'!$L$6:$L$505,"&gt;0"))</f>
        <v>1</v>
      </c>
      <c r="H7" s="10" t="n">
        <f aca="false">IF($B7="","",SUMIF('NHẬP ĐƠN HÀNG'!$C$6:$C$505,$B7,'NHẬP ĐƠN HÀNG'!$L$6:$L$505))</f>
        <v>6240000</v>
      </c>
      <c r="I7" s="10" t="n">
        <f aca="false">IF($B7="","",SUMIF('NHẬP ĐƠN HÀNG'!$C$6:$C$505,$B7,'NHẬP ĐƠN HÀNG'!$P$6:$P$505))</f>
        <v>6240000</v>
      </c>
      <c r="J7" s="10" t="n">
        <f aca="false">IF($B7="","",SUMIF('NHẬP ĐƠN HÀNG'!$C$6:$C$505,$B7,'NHẬP ĐƠN HÀNG'!$Q$6:$Q$505))</f>
        <v>3110000</v>
      </c>
      <c r="K7" s="10" t="n">
        <f aca="false">IF($B7="","",SUMIF('NHẬP ĐƠN HÀNG'!$C$6:$C$505,$B7,'NHẬP ĐƠN HÀNG'!$R$6:$R$505))</f>
        <v>3130000</v>
      </c>
      <c r="L7" s="10" t="n">
        <f aca="false">IF($B7="","",SUMIF('NHẬP ĐƠN HÀNG'!$C$6:$C$505,$B7,'NHẬP ĐƠN HÀNG'!$U$6:$U$505))</f>
        <v>1690000</v>
      </c>
      <c r="M7" s="34" t="n">
        <f aca="false">IF($B7="","",IF(SUMPRODUCT(MAX(('NHẬP ĐƠN HÀNG'!$C$6:$C$505=$B7)*'NHẬP ĐƠN HÀNG'!$B$6:$B$505))=0,"",SUMPRODUCT(MAX(('NHẬP ĐƠN HÀNG'!$C$6:$C$505=$B7)*'NHẬP ĐƠN HÀNG'!$B$6:$B$505))))</f>
        <v>46224</v>
      </c>
      <c r="N7" s="16" t="str">
        <f aca="false">IF($B7="","",IF($G7=0,"Chưa có đơn",IF(COUNTIFS('NHẬP ĐƠN HÀNG'!$C$6:$C$505,$B7,'NHẬP ĐƠN HÀNG'!$N$6:$N$505,"&gt;0")&gt;0,"Có lấy VAT","Không lấy VAT")))</f>
        <v>Không lấy VAT</v>
      </c>
    </row>
    <row r="8" customFormat="false" ht="15" hidden="false" customHeight="false" outlineLevel="0" collapsed="false">
      <c r="A8" s="16" t="n">
        <f aca="false">IF($B8="","",3)</f>
        <v>3</v>
      </c>
      <c r="B8" s="16" t="str">
        <f aca="false">IFERROR(INDEX('NHẬP ĐƠN HÀNG'!$C$6:$C$505,MATCH(3,'NHẬP ĐƠN HÀNG'!$AB$6:$AB$505,0)),"")</f>
        <v>KH-0007 (file cũ chưa có tên)</v>
      </c>
      <c r="C8" s="16" t="str">
        <f aca="false">IF($B8="","",IFERROR(IF(INDEX('NHẬP ĐƠN HÀNG'!$D$6:$D$505,MATCH($B8,'NHẬP ĐƠN HÀNG'!$C$6:$C$505,0))="","",INDEX('NHẬP ĐƠN HÀNG'!$D$6:$D$505,MATCH($B8,'NHẬP ĐƠN HÀNG'!$C$6:$C$505,0))),""))</f>
        <v/>
      </c>
      <c r="D8" s="16" t="str">
        <f aca="false">IF($B8="","",IFERROR(IF(INDEX('NHẬP ĐƠN HÀNG'!$E$6:$E$505,MATCH($B8,'NHẬP ĐƠN HÀNG'!$C$6:$C$505,0))="","",INDEX('NHẬP ĐƠN HÀNG'!$E$6:$E$505,MATCH($B8,'NHẬP ĐƠN HÀNG'!$C$6:$C$505,0))),""))</f>
        <v/>
      </c>
      <c r="E8" s="16" t="str">
        <f aca="false">IF($B8="","",IFERROR(IF(INDEX('NHẬP ĐƠN HÀNG'!$F$6:$F$505,MATCH($B8,'NHẬP ĐƠN HÀNG'!$C$6:$C$505,0))="","",INDEX('NHẬP ĐƠN HÀNG'!$F$6:$F$505,MATCH($B8,'NHẬP ĐƠN HÀNG'!$C$6:$C$505,0))),""))</f>
        <v/>
      </c>
      <c r="F8" s="16" t="str">
        <f aca="false">IF($B8="","",IFERROR(IF(INDEX('NHẬP ĐƠN HÀNG'!$G$6:$G$505,MATCH($B8,'NHẬP ĐƠN HÀNG'!$C$6:$C$505,0))="","",INDEX('NHẬP ĐƠN HÀNG'!$G$6:$G$505,MATCH($B8,'NHẬP ĐƠN HÀNG'!$C$6:$C$505,0))),""))</f>
        <v/>
      </c>
      <c r="G8" s="10" t="n">
        <f aca="false">IF($B8="","",COUNTIFS('NHẬP ĐƠN HÀNG'!$C$6:$C$505,$B8,'NHẬP ĐƠN HÀNG'!$L$6:$L$505,"&gt;0"))</f>
        <v>1</v>
      </c>
      <c r="H8" s="10" t="n">
        <f aca="false">IF($B8="","",SUMIF('NHẬP ĐƠN HÀNG'!$C$6:$C$505,$B8,'NHẬP ĐƠN HÀNG'!$L$6:$L$505))</f>
        <v>4160000</v>
      </c>
      <c r="I8" s="10" t="n">
        <f aca="false">IF($B8="","",SUMIF('NHẬP ĐƠN HÀNG'!$C$6:$C$505,$B8,'NHẬP ĐƠN HÀNG'!$P$6:$P$505))</f>
        <v>4160000</v>
      </c>
      <c r="J8" s="10" t="n">
        <f aca="false">IF($B8="","",SUMIF('NHẬP ĐƠN HÀNG'!$C$6:$C$505,$B8,'NHẬP ĐƠN HÀNG'!$Q$6:$Q$505))</f>
        <v>1500000</v>
      </c>
      <c r="K8" s="10" t="n">
        <f aca="false">IF($B8="","",SUMIF('NHẬP ĐƠN HÀNG'!$C$6:$C$505,$B8,'NHẬP ĐƠN HÀNG'!$R$6:$R$505))</f>
        <v>2660000</v>
      </c>
      <c r="L8" s="10" t="n">
        <f aca="false">IF($B8="","",SUMIF('NHẬP ĐƠN HÀNG'!$C$6:$C$505,$B8,'NHẬP ĐƠN HÀNG'!$U$6:$U$505))</f>
        <v>1360000</v>
      </c>
      <c r="M8" s="34" t="n">
        <f aca="false">IF($B8="","",IF(SUMPRODUCT(MAX(('NHẬP ĐƠN HÀNG'!$C$6:$C$505=$B8)*'NHẬP ĐƠN HÀNG'!$B$6:$B$505))=0,"",SUMPRODUCT(MAX(('NHẬP ĐƠN HÀNG'!$C$6:$C$505=$B8)*'NHẬP ĐƠN HÀNG'!$B$6:$B$505))))</f>
        <v>46224</v>
      </c>
      <c r="N8" s="16" t="str">
        <f aca="false">IF($B8="","",IF($G8=0,"Chưa có đơn",IF(COUNTIFS('NHẬP ĐƠN HÀNG'!$C$6:$C$505,$B8,'NHẬP ĐƠN HÀNG'!$N$6:$N$505,"&gt;0")&gt;0,"Có lấy VAT","Không lấy VAT")))</f>
        <v>Không lấy VAT</v>
      </c>
    </row>
    <row r="9" customFormat="false" ht="15" hidden="false" customHeight="false" outlineLevel="0" collapsed="false">
      <c r="A9" s="16" t="n">
        <f aca="false">IF($B9="","",4)</f>
        <v>4</v>
      </c>
      <c r="B9" s="16" t="str">
        <f aca="false">IFERROR(INDEX('NHẬP ĐƠN HÀNG'!$C$6:$C$505,MATCH(4,'NHẬP ĐƠN HÀNG'!$AB$6:$AB$505,0)),"")</f>
        <v>KH-007 (file cũ chưa có tên)</v>
      </c>
      <c r="C9" s="16" t="str">
        <f aca="false">IF($B9="","",IFERROR(IF(INDEX('NHẬP ĐƠN HÀNG'!$D$6:$D$505,MATCH($B9,'NHẬP ĐƠN HÀNG'!$C$6:$C$505,0))="","",INDEX('NHẬP ĐƠN HÀNG'!$D$6:$D$505,MATCH($B9,'NHẬP ĐƠN HÀNG'!$C$6:$C$505,0))),""))</f>
        <v/>
      </c>
      <c r="D9" s="16" t="str">
        <f aca="false">IF($B9="","",IFERROR(IF(INDEX('NHẬP ĐƠN HÀNG'!$E$6:$E$505,MATCH($B9,'NHẬP ĐƠN HÀNG'!$C$6:$C$505,0))="","",INDEX('NHẬP ĐƠN HÀNG'!$E$6:$E$505,MATCH($B9,'NHẬP ĐƠN HÀNG'!$C$6:$C$505,0))),""))</f>
        <v/>
      </c>
      <c r="E9" s="16" t="str">
        <f aca="false">IF($B9="","",IFERROR(IF(INDEX('NHẬP ĐƠN HÀNG'!$F$6:$F$505,MATCH($B9,'NHẬP ĐƠN HÀNG'!$C$6:$C$505,0))="","",INDEX('NHẬP ĐƠN HÀNG'!$F$6:$F$505,MATCH($B9,'NHẬP ĐƠN HÀNG'!$C$6:$C$505,0))),""))</f>
        <v/>
      </c>
      <c r="F9" s="16" t="str">
        <f aca="false">IF($B9="","",IFERROR(IF(INDEX('NHẬP ĐƠN HÀNG'!$G$6:$G$505,MATCH($B9,'NHẬP ĐƠN HÀNG'!$C$6:$C$505,0))="","",INDEX('NHẬP ĐƠN HÀNG'!$G$6:$G$505,MATCH($B9,'NHẬP ĐƠN HÀNG'!$C$6:$C$505,0))),""))</f>
        <v/>
      </c>
      <c r="G9" s="10" t="n">
        <f aca="false">IF($B9="","",COUNTIFS('NHẬP ĐƠN HÀNG'!$C$6:$C$505,$B9,'NHẬP ĐƠN HÀNG'!$L$6:$L$505,"&gt;0"))</f>
        <v>1</v>
      </c>
      <c r="H9" s="10" t="n">
        <f aca="false">IF($B9="","",SUMIF('NHẬP ĐƠN HÀNG'!$C$6:$C$505,$B9,'NHẬP ĐƠN HÀNG'!$L$6:$L$505))</f>
        <v>3760000</v>
      </c>
      <c r="I9" s="10" t="n">
        <f aca="false">IF($B9="","",SUMIF('NHẬP ĐƠN HÀNG'!$C$6:$C$505,$B9,'NHẬP ĐƠN HÀNG'!$P$6:$P$505))</f>
        <v>3760000</v>
      </c>
      <c r="J9" s="10" t="n">
        <f aca="false">IF($B9="","",SUMIF('NHẬP ĐƠN HÀNG'!$C$6:$C$505,$B9,'NHẬP ĐƠN HÀNG'!$Q$6:$Q$505))</f>
        <v>1500000</v>
      </c>
      <c r="K9" s="10" t="n">
        <f aca="false">IF($B9="","",SUMIF('NHẬP ĐƠN HÀNG'!$C$6:$C$505,$B9,'NHẬP ĐƠN HÀNG'!$R$6:$R$505))</f>
        <v>2260000</v>
      </c>
      <c r="L9" s="10" t="n">
        <f aca="false">IF($B9="","",SUMIF('NHẬP ĐƠN HÀNG'!$C$6:$C$505,$B9,'NHẬP ĐƠN HÀNG'!$U$6:$U$505))</f>
        <v>960000</v>
      </c>
      <c r="M9" s="34" t="n">
        <f aca="false">IF($B9="","",IF(SUMPRODUCT(MAX(('NHẬP ĐƠN HÀNG'!$C$6:$C$505=$B9)*'NHẬP ĐƠN HÀNG'!$B$6:$B$505))=0,"",SUMPRODUCT(MAX(('NHẬP ĐƠN HÀNG'!$C$6:$C$505=$B9)*'NHẬP ĐƠN HÀNG'!$B$6:$B$505))))</f>
        <v>46224</v>
      </c>
      <c r="N9" s="16" t="str">
        <f aca="false">IF($B9="","",IF($G9=0,"Chưa có đơn",IF(COUNTIFS('NHẬP ĐƠN HÀNG'!$C$6:$C$505,$B9,'NHẬP ĐƠN HÀNG'!$N$6:$N$505,"&gt;0")&gt;0,"Có lấy VAT","Không lấy VAT")))</f>
        <v>Không lấy VAT</v>
      </c>
    </row>
    <row r="10" customFormat="false" ht="15" hidden="false" customHeight="false" outlineLevel="0" collapsed="false">
      <c r="A10" s="16" t="n">
        <f aca="false">IF($B10="","",5)</f>
        <v>5</v>
      </c>
      <c r="B10" s="16" t="str">
        <f aca="false">IFERROR(INDEX('NHẬP ĐƠN HÀNG'!$C$6:$C$505,MATCH(5,'NHẬP ĐƠN HÀNG'!$AB$6:$AB$505,0)),"")</f>
        <v>A TÀI - HUYNDAI - 20C</v>
      </c>
      <c r="C10" s="16" t="str">
        <f aca="false">IF($B10="","",IFERROR(IF(INDEX('NHẬP ĐƠN HÀNG'!$D$6:$D$505,MATCH($B10,'NHẬP ĐƠN HÀNG'!$C$6:$C$505,0))="","",INDEX('NHẬP ĐƠN HÀNG'!$D$6:$D$505,MATCH($B10,'NHẬP ĐƠN HÀNG'!$C$6:$C$505,0))),""))</f>
        <v>0935494005</v>
      </c>
      <c r="D10" s="16" t="str">
        <f aca="false">IF($B10="","",IFERROR(IF(INDEX('NHẬP ĐƠN HÀNG'!$E$6:$E$505,MATCH($B10,'NHẬP ĐƠN HÀNG'!$C$6:$C$505,0))="","",INDEX('NHẬP ĐƠN HÀNG'!$E$6:$E$505,MATCH($B10,'NHẬP ĐƠN HÀNG'!$C$6:$C$505,0))),""))</f>
        <v/>
      </c>
      <c r="E10" s="16" t="str">
        <f aca="false">IF($B10="","",IFERROR(IF(INDEX('NHẬP ĐƠN HÀNG'!$F$6:$F$505,MATCH($B10,'NHẬP ĐƠN HÀNG'!$C$6:$C$505,0))="","",INDEX('NHẬP ĐƠN HÀNG'!$F$6:$F$505,MATCH($B10,'NHẬP ĐƠN HÀNG'!$C$6:$C$505,0))),""))</f>
        <v/>
      </c>
      <c r="F10" s="16" t="str">
        <f aca="false">IF($B10="","",IFERROR(IF(INDEX('NHẬP ĐƠN HÀNG'!$G$6:$G$505,MATCH($B10,'NHẬP ĐƠN HÀNG'!$C$6:$C$505,0))="","",INDEX('NHẬP ĐƠN HÀNG'!$G$6:$G$505,MATCH($B10,'NHẬP ĐƠN HÀNG'!$C$6:$C$505,0))),""))</f>
        <v>461 Tây Sơn, Quy Nhơn Nam, Gia Lai</v>
      </c>
      <c r="G10" s="10" t="n">
        <f aca="false">IF($B10="","",COUNTIFS('NHẬP ĐƠN HÀNG'!$C$6:$C$505,$B10,'NHẬP ĐƠN HÀNG'!$L$6:$L$505,"&gt;0"))</f>
        <v>0</v>
      </c>
      <c r="H10" s="10" t="n">
        <f aca="false">IF($B10="","",SUMIF('NHẬP ĐƠN HÀNG'!$C$6:$C$505,$B10,'NHẬP ĐƠN HÀNG'!$L$6:$L$505))</f>
        <v>0</v>
      </c>
      <c r="I10" s="10" t="n">
        <f aca="false">IF($B10="","",SUMIF('NHẬP ĐƠN HÀNG'!$C$6:$C$505,$B10,'NHẬP ĐƠN HÀNG'!$P$6:$P$505))</f>
        <v>0</v>
      </c>
      <c r="J10" s="10" t="n">
        <f aca="false">IF($B10="","",SUMIF('NHẬP ĐƠN HÀNG'!$C$6:$C$505,$B10,'NHẬP ĐƠN HÀNG'!$Q$6:$Q$505))</f>
        <v>0</v>
      </c>
      <c r="K10" s="10" t="n">
        <f aca="false">IF($B10="","",SUMIF('NHẬP ĐƠN HÀNG'!$C$6:$C$505,$B10,'NHẬP ĐƠN HÀNG'!$R$6:$R$505))</f>
        <v>0</v>
      </c>
      <c r="L10" s="10" t="n">
        <f aca="false">IF($B10="","",SUMIF('NHẬP ĐƠN HÀNG'!$C$6:$C$505,$B10,'NHẬP ĐƠN HÀNG'!$U$6:$U$505))</f>
        <v>0</v>
      </c>
      <c r="M10" s="34" t="str">
        <f aca="false">IF($B10="","",IF(SUMPRODUCT(MAX(('NHẬP ĐƠN HÀNG'!$C$6:$C$505=$B10)*'NHẬP ĐƠN HÀNG'!$B$6:$B$505))=0,"",SUMPRODUCT(MAX(('NHẬP ĐƠN HÀNG'!$C$6:$C$505=$B10)*'NHẬP ĐƠN HÀNG'!$B$6:$B$505))))</f>
        <v/>
      </c>
      <c r="N10" s="16" t="str">
        <f aca="false">IF($B10="","",IF($G10=0,"Chưa có đơn",IF(COUNTIFS('NHẬP ĐƠN HÀNG'!$C$6:$C$505,$B10,'NHẬP ĐƠN HÀNG'!$N$6:$N$505,"&gt;0")&gt;0,"Có lấy VAT","Không lấy VAT")))</f>
        <v>Chưa có đơn</v>
      </c>
    </row>
    <row r="11" customFormat="false" ht="15" hidden="false" customHeight="false" outlineLevel="0" collapsed="false">
      <c r="A11" s="16" t="n">
        <f aca="false">IF($B11="","",6)</f>
        <v>6</v>
      </c>
      <c r="B11" s="16" t="str">
        <f aca="false">IFERROR(INDEX('NHẬP ĐƠN HÀNG'!$C$6:$C$505,MATCH(6,'NHẬP ĐƠN HÀNG'!$AB$6:$AB$505,0)),"")</f>
        <v>BGB - CÔ AN MẾN TẶNG</v>
      </c>
      <c r="C11" s="16" t="str">
        <f aca="false">IF($B11="","",IFERROR(IF(INDEX('NHẬP ĐƠN HÀNG'!$D$6:$D$505,MATCH($B11,'NHẬP ĐƠN HÀNG'!$C$6:$C$505,0))="","",INDEX('NHẬP ĐƠN HÀNG'!$D$6:$D$505,MATCH($B11,'NHẬP ĐƠN HÀNG'!$C$6:$C$505,0))),""))</f>
        <v>0903535291</v>
      </c>
      <c r="D11" s="16" t="str">
        <f aca="false">IF($B11="","",IFERROR(IF(INDEX('NHẬP ĐƠN HÀNG'!$E$6:$E$505,MATCH($B11,'NHẬP ĐƠN HÀNG'!$C$6:$C$505,0))="","",INDEX('NHẬP ĐƠN HÀNG'!$E$6:$E$505,MATCH($B11,'NHẬP ĐƠN HÀNG'!$C$6:$C$505,0))),""))</f>
        <v/>
      </c>
      <c r="E11" s="16" t="str">
        <f aca="false">IF($B11="","",IFERROR(IF(INDEX('NHẬP ĐƠN HÀNG'!$F$6:$F$505,MATCH($B11,'NHẬP ĐƠN HÀNG'!$C$6:$C$505,0))="","",INDEX('NHẬP ĐƠN HÀNG'!$F$6:$F$505,MATCH($B11,'NHẬP ĐƠN HÀNG'!$C$6:$C$505,0))),""))</f>
        <v/>
      </c>
      <c r="F11" s="16" t="str">
        <f aca="false">IF($B11="","",IFERROR(IF(INDEX('NHẬP ĐƠN HÀNG'!$G$6:$G$505,MATCH($B11,'NHẬP ĐƠN HÀNG'!$C$6:$C$505,0))="","",INDEX('NHẬP ĐƠN HÀNG'!$G$6:$G$505,MATCH($B11,'NHẬP ĐƠN HÀNG'!$C$6:$C$505,0))),""))</f>
        <v>658 đường 2/9 Hải Châu - Đà Nẵng</v>
      </c>
      <c r="G11" s="10" t="n">
        <f aca="false">IF($B11="","",COUNTIFS('NHẬP ĐƠN HÀNG'!$C$6:$C$505,$B11,'NHẬP ĐƠN HÀNG'!$L$6:$L$505,"&gt;0"))</f>
        <v>0</v>
      </c>
      <c r="H11" s="10" t="n">
        <f aca="false">IF($B11="","",SUMIF('NHẬP ĐƠN HÀNG'!$C$6:$C$505,$B11,'NHẬP ĐƠN HÀNG'!$L$6:$L$505))</f>
        <v>0</v>
      </c>
      <c r="I11" s="10" t="n">
        <f aca="false">IF($B11="","",SUMIF('NHẬP ĐƠN HÀNG'!$C$6:$C$505,$B11,'NHẬP ĐƠN HÀNG'!$P$6:$P$505))</f>
        <v>0</v>
      </c>
      <c r="J11" s="10" t="n">
        <f aca="false">IF($B11="","",SUMIF('NHẬP ĐƠN HÀNG'!$C$6:$C$505,$B11,'NHẬP ĐƠN HÀNG'!$Q$6:$Q$505))</f>
        <v>0</v>
      </c>
      <c r="K11" s="10" t="n">
        <f aca="false">IF($B11="","",SUMIF('NHẬP ĐƠN HÀNG'!$C$6:$C$505,$B11,'NHẬP ĐƠN HÀNG'!$R$6:$R$505))</f>
        <v>0</v>
      </c>
      <c r="L11" s="10" t="n">
        <f aca="false">IF($B11="","",SUMIF('NHẬP ĐƠN HÀNG'!$C$6:$C$505,$B11,'NHẬP ĐƠN HÀNG'!$U$6:$U$505))</f>
        <v>0</v>
      </c>
      <c r="M11" s="34" t="str">
        <f aca="false">IF($B11="","",IF(SUMPRODUCT(MAX(('NHẬP ĐƠN HÀNG'!$C$6:$C$505=$B11)*'NHẬP ĐƠN HÀNG'!$B$6:$B$505))=0,"",SUMPRODUCT(MAX(('NHẬP ĐƠN HÀNG'!$C$6:$C$505=$B11)*'NHẬP ĐƠN HÀNG'!$B$6:$B$505))))</f>
        <v/>
      </c>
      <c r="N11" s="16" t="str">
        <f aca="false">IF($B11="","",IF($G11=0,"Chưa có đơn",IF(COUNTIFS('NHẬP ĐƠN HÀNG'!$C$6:$C$505,$B11,'NHẬP ĐƠN HÀNG'!$N$6:$N$505,"&gt;0")&gt;0,"Có lấy VAT","Không lấy VAT")))</f>
        <v>Chưa có đơn</v>
      </c>
    </row>
    <row r="12" customFormat="false" ht="15" hidden="false" customHeight="false" outlineLevel="0" collapsed="false">
      <c r="A12" s="16" t="str">
        <f aca="false">IF($B12="","",7)</f>
        <v/>
      </c>
      <c r="B12" s="16" t="str">
        <f aca="false">IFERROR(INDEX('NHẬP ĐƠN HÀNG'!$C$6:$C$505,MATCH(7,'NHẬP ĐƠN HÀNG'!$AB$6:$AB$505,0)),"")</f>
        <v/>
      </c>
      <c r="C12" s="16" t="str">
        <f aca="false">IF($B12="","",IFERROR(IF(INDEX('NHẬP ĐƠN HÀNG'!$D$6:$D$505,MATCH($B12,'NHẬP ĐƠN HÀNG'!$C$6:$C$505,0))="","",INDEX('NHẬP ĐƠN HÀNG'!$D$6:$D$505,MATCH($B12,'NHẬP ĐƠN HÀNG'!$C$6:$C$505,0))),""))</f>
        <v/>
      </c>
      <c r="D12" s="16" t="str">
        <f aca="false">IF($B12="","",IFERROR(IF(INDEX('NHẬP ĐƠN HÀNG'!$E$6:$E$505,MATCH($B12,'NHẬP ĐƠN HÀNG'!$C$6:$C$505,0))="","",INDEX('NHẬP ĐƠN HÀNG'!$E$6:$E$505,MATCH($B12,'NHẬP ĐƠN HÀNG'!$C$6:$C$505,0))),""))</f>
        <v/>
      </c>
      <c r="E12" s="16" t="str">
        <f aca="false">IF($B12="","",IFERROR(IF(INDEX('NHẬP ĐƠN HÀNG'!$F$6:$F$505,MATCH($B12,'NHẬP ĐƠN HÀNG'!$C$6:$C$505,0))="","",INDEX('NHẬP ĐƠN HÀNG'!$F$6:$F$505,MATCH($B12,'NHẬP ĐƠN HÀNG'!$C$6:$C$505,0))),""))</f>
        <v/>
      </c>
      <c r="F12" s="16" t="str">
        <f aca="false">IF($B12="","",IFERROR(IF(INDEX('NHẬP ĐƠN HÀNG'!$G$6:$G$505,MATCH($B12,'NHẬP ĐƠN HÀNG'!$C$6:$C$505,0))="","",INDEX('NHẬP ĐƠN HÀNG'!$G$6:$G$505,MATCH($B12,'NHẬP ĐƠN HÀNG'!$C$6:$C$505,0))),""))</f>
        <v/>
      </c>
      <c r="G12" s="10" t="str">
        <f aca="false">IF($B12="","",COUNTIFS('NHẬP ĐƠN HÀNG'!$C$6:$C$505,$B12,'NHẬP ĐƠN HÀNG'!$L$6:$L$505,"&gt;0"))</f>
        <v/>
      </c>
      <c r="H12" s="10" t="str">
        <f aca="false">IF($B12="","",SUMIF('NHẬP ĐƠN HÀNG'!$C$6:$C$505,$B12,'NHẬP ĐƠN HÀNG'!$L$6:$L$505))</f>
        <v/>
      </c>
      <c r="I12" s="10" t="str">
        <f aca="false">IF($B12="","",SUMIF('NHẬP ĐƠN HÀNG'!$C$6:$C$505,$B12,'NHẬP ĐƠN HÀNG'!$P$6:$P$505))</f>
        <v/>
      </c>
      <c r="J12" s="10" t="str">
        <f aca="false">IF($B12="","",SUMIF('NHẬP ĐƠN HÀNG'!$C$6:$C$505,$B12,'NHẬP ĐƠN HÀNG'!$Q$6:$Q$505))</f>
        <v/>
      </c>
      <c r="K12" s="10" t="str">
        <f aca="false">IF($B12="","",SUMIF('NHẬP ĐƠN HÀNG'!$C$6:$C$505,$B12,'NHẬP ĐƠN HÀNG'!$R$6:$R$505))</f>
        <v/>
      </c>
      <c r="L12" s="10" t="str">
        <f aca="false">IF($B12="","",SUMIF('NHẬP ĐƠN HÀNG'!$C$6:$C$505,$B12,'NHẬP ĐƠN HÀNG'!$U$6:$U$505))</f>
        <v/>
      </c>
      <c r="M12" s="34" t="str">
        <f aca="false">IF($B12="","",IF(SUMPRODUCT(MAX(('NHẬP ĐƠN HÀNG'!$C$6:$C$505=$B12)*'NHẬP ĐƠN HÀNG'!$B$6:$B$505))=0,"",SUMPRODUCT(MAX(('NHẬP ĐƠN HÀNG'!$C$6:$C$505=$B12)*'NHẬP ĐƠN HÀNG'!$B$6:$B$505))))</f>
        <v/>
      </c>
      <c r="N12" s="16" t="str">
        <f aca="false">IF($B12="","",IF($G12=0,"Chưa có đơn",IF(COUNTIFS('NHẬP ĐƠN HÀNG'!$C$6:$C$505,$B12,'NHẬP ĐƠN HÀNG'!$N$6:$N$505,"&gt;0")&gt;0,"Có lấy VAT","Không lấy VAT")))</f>
        <v/>
      </c>
    </row>
    <row r="13" customFormat="false" ht="15" hidden="false" customHeight="false" outlineLevel="0" collapsed="false">
      <c r="A13" s="16" t="str">
        <f aca="false">IF($B13="","",8)</f>
        <v/>
      </c>
      <c r="B13" s="16" t="str">
        <f aca="false">IFERROR(INDEX('NHẬP ĐƠN HÀNG'!$C$6:$C$505,MATCH(8,'NHẬP ĐƠN HÀNG'!$AB$6:$AB$505,0)),"")</f>
        <v/>
      </c>
      <c r="C13" s="16" t="str">
        <f aca="false">IF($B13="","",IFERROR(IF(INDEX('NHẬP ĐƠN HÀNG'!$D$6:$D$505,MATCH($B13,'NHẬP ĐƠN HÀNG'!$C$6:$C$505,0))="","",INDEX('NHẬP ĐƠN HÀNG'!$D$6:$D$505,MATCH($B13,'NHẬP ĐƠN HÀNG'!$C$6:$C$505,0))),""))</f>
        <v/>
      </c>
      <c r="D13" s="16" t="str">
        <f aca="false">IF($B13="","",IFERROR(IF(INDEX('NHẬP ĐƠN HÀNG'!$E$6:$E$505,MATCH($B13,'NHẬP ĐƠN HÀNG'!$C$6:$C$505,0))="","",INDEX('NHẬP ĐƠN HÀNG'!$E$6:$E$505,MATCH($B13,'NHẬP ĐƠN HÀNG'!$C$6:$C$505,0))),""))</f>
        <v/>
      </c>
      <c r="E13" s="16" t="str">
        <f aca="false">IF($B13="","",IFERROR(IF(INDEX('NHẬP ĐƠN HÀNG'!$F$6:$F$505,MATCH($B13,'NHẬP ĐƠN HÀNG'!$C$6:$C$505,0))="","",INDEX('NHẬP ĐƠN HÀNG'!$F$6:$F$505,MATCH($B13,'NHẬP ĐƠN HÀNG'!$C$6:$C$505,0))),""))</f>
        <v/>
      </c>
      <c r="F13" s="16" t="str">
        <f aca="false">IF($B13="","",IFERROR(IF(INDEX('NHẬP ĐƠN HÀNG'!$G$6:$G$505,MATCH($B13,'NHẬP ĐƠN HÀNG'!$C$6:$C$505,0))="","",INDEX('NHẬP ĐƠN HÀNG'!$G$6:$G$505,MATCH($B13,'NHẬP ĐƠN HÀNG'!$C$6:$C$505,0))),""))</f>
        <v/>
      </c>
      <c r="G13" s="10" t="str">
        <f aca="false">IF($B13="","",COUNTIFS('NHẬP ĐƠN HÀNG'!$C$6:$C$505,$B13,'NHẬP ĐƠN HÀNG'!$L$6:$L$505,"&gt;0"))</f>
        <v/>
      </c>
      <c r="H13" s="10" t="str">
        <f aca="false">IF($B13="","",SUMIF('NHẬP ĐƠN HÀNG'!$C$6:$C$505,$B13,'NHẬP ĐƠN HÀNG'!$L$6:$L$505))</f>
        <v/>
      </c>
      <c r="I13" s="10" t="str">
        <f aca="false">IF($B13="","",SUMIF('NHẬP ĐƠN HÀNG'!$C$6:$C$505,$B13,'NHẬP ĐƠN HÀNG'!$P$6:$P$505))</f>
        <v/>
      </c>
      <c r="J13" s="10" t="str">
        <f aca="false">IF($B13="","",SUMIF('NHẬP ĐƠN HÀNG'!$C$6:$C$505,$B13,'NHẬP ĐƠN HÀNG'!$Q$6:$Q$505))</f>
        <v/>
      </c>
      <c r="K13" s="10" t="str">
        <f aca="false">IF($B13="","",SUMIF('NHẬP ĐƠN HÀNG'!$C$6:$C$505,$B13,'NHẬP ĐƠN HÀNG'!$R$6:$R$505))</f>
        <v/>
      </c>
      <c r="L13" s="10" t="str">
        <f aca="false">IF($B13="","",SUMIF('NHẬP ĐƠN HÀNG'!$C$6:$C$505,$B13,'NHẬP ĐƠN HÀNG'!$U$6:$U$505))</f>
        <v/>
      </c>
      <c r="M13" s="34" t="str">
        <f aca="false">IF($B13="","",IF(SUMPRODUCT(MAX(('NHẬP ĐƠN HÀNG'!$C$6:$C$505=$B13)*'NHẬP ĐƠN HÀNG'!$B$6:$B$505))=0,"",SUMPRODUCT(MAX(('NHẬP ĐƠN HÀNG'!$C$6:$C$505=$B13)*'NHẬP ĐƠN HÀNG'!$B$6:$B$505))))</f>
        <v/>
      </c>
      <c r="N13" s="16" t="str">
        <f aca="false">IF($B13="","",IF($G13=0,"Chưa có đơn",IF(COUNTIFS('NHẬP ĐƠN HÀNG'!$C$6:$C$505,$B13,'NHẬP ĐƠN HÀNG'!$N$6:$N$505,"&gt;0")&gt;0,"Có lấy VAT","Không lấy VAT")))</f>
        <v/>
      </c>
    </row>
    <row r="14" customFormat="false" ht="15" hidden="false" customHeight="false" outlineLevel="0" collapsed="false">
      <c r="A14" s="16" t="str">
        <f aca="false">IF($B14="","",9)</f>
        <v/>
      </c>
      <c r="B14" s="16" t="str">
        <f aca="false">IFERROR(INDEX('NHẬP ĐƠN HÀNG'!$C$6:$C$505,MATCH(9,'NHẬP ĐƠN HÀNG'!$AB$6:$AB$505,0)),"")</f>
        <v/>
      </c>
      <c r="C14" s="16" t="str">
        <f aca="false">IF($B14="","",IFERROR(IF(INDEX('NHẬP ĐƠN HÀNG'!$D$6:$D$505,MATCH($B14,'NHẬP ĐƠN HÀNG'!$C$6:$C$505,0))="","",INDEX('NHẬP ĐƠN HÀNG'!$D$6:$D$505,MATCH($B14,'NHẬP ĐƠN HÀNG'!$C$6:$C$505,0))),""))</f>
        <v/>
      </c>
      <c r="D14" s="16" t="str">
        <f aca="false">IF($B14="","",IFERROR(IF(INDEX('NHẬP ĐƠN HÀNG'!$E$6:$E$505,MATCH($B14,'NHẬP ĐƠN HÀNG'!$C$6:$C$505,0))="","",INDEX('NHẬP ĐƠN HÀNG'!$E$6:$E$505,MATCH($B14,'NHẬP ĐƠN HÀNG'!$C$6:$C$505,0))),""))</f>
        <v/>
      </c>
      <c r="E14" s="16" t="str">
        <f aca="false">IF($B14="","",IFERROR(IF(INDEX('NHẬP ĐƠN HÀNG'!$F$6:$F$505,MATCH($B14,'NHẬP ĐƠN HÀNG'!$C$6:$C$505,0))="","",INDEX('NHẬP ĐƠN HÀNG'!$F$6:$F$505,MATCH($B14,'NHẬP ĐƠN HÀNG'!$C$6:$C$505,0))),""))</f>
        <v/>
      </c>
      <c r="F14" s="16" t="str">
        <f aca="false">IF($B14="","",IFERROR(IF(INDEX('NHẬP ĐƠN HÀNG'!$G$6:$G$505,MATCH($B14,'NHẬP ĐƠN HÀNG'!$C$6:$C$505,0))="","",INDEX('NHẬP ĐƠN HÀNG'!$G$6:$G$505,MATCH($B14,'NHẬP ĐƠN HÀNG'!$C$6:$C$505,0))),""))</f>
        <v/>
      </c>
      <c r="G14" s="10" t="str">
        <f aca="false">IF($B14="","",COUNTIFS('NHẬP ĐƠN HÀNG'!$C$6:$C$505,$B14,'NHẬP ĐƠN HÀNG'!$L$6:$L$505,"&gt;0"))</f>
        <v/>
      </c>
      <c r="H14" s="10" t="str">
        <f aca="false">IF($B14="","",SUMIF('NHẬP ĐƠN HÀNG'!$C$6:$C$505,$B14,'NHẬP ĐƠN HÀNG'!$L$6:$L$505))</f>
        <v/>
      </c>
      <c r="I14" s="10" t="str">
        <f aca="false">IF($B14="","",SUMIF('NHẬP ĐƠN HÀNG'!$C$6:$C$505,$B14,'NHẬP ĐƠN HÀNG'!$P$6:$P$505))</f>
        <v/>
      </c>
      <c r="J14" s="10" t="str">
        <f aca="false">IF($B14="","",SUMIF('NHẬP ĐƠN HÀNG'!$C$6:$C$505,$B14,'NHẬP ĐƠN HÀNG'!$Q$6:$Q$505))</f>
        <v/>
      </c>
      <c r="K14" s="10" t="str">
        <f aca="false">IF($B14="","",SUMIF('NHẬP ĐƠN HÀNG'!$C$6:$C$505,$B14,'NHẬP ĐƠN HÀNG'!$R$6:$R$505))</f>
        <v/>
      </c>
      <c r="L14" s="10" t="str">
        <f aca="false">IF($B14="","",SUMIF('NHẬP ĐƠN HÀNG'!$C$6:$C$505,$B14,'NHẬP ĐƠN HÀNG'!$U$6:$U$505))</f>
        <v/>
      </c>
      <c r="M14" s="34" t="str">
        <f aca="false">IF($B14="","",IF(SUMPRODUCT(MAX(('NHẬP ĐƠN HÀNG'!$C$6:$C$505=$B14)*'NHẬP ĐƠN HÀNG'!$B$6:$B$505))=0,"",SUMPRODUCT(MAX(('NHẬP ĐƠN HÀNG'!$C$6:$C$505=$B14)*'NHẬP ĐƠN HÀNG'!$B$6:$B$505))))</f>
        <v/>
      </c>
      <c r="N14" s="16" t="str">
        <f aca="false">IF($B14="","",IF($G14=0,"Chưa có đơn",IF(COUNTIFS('NHẬP ĐƠN HÀNG'!$C$6:$C$505,$B14,'NHẬP ĐƠN HÀNG'!$N$6:$N$505,"&gt;0")&gt;0,"Có lấy VAT","Không lấy VAT")))</f>
        <v/>
      </c>
    </row>
    <row r="15" customFormat="false" ht="15" hidden="false" customHeight="false" outlineLevel="0" collapsed="false">
      <c r="A15" s="16" t="str">
        <f aca="false">IF($B15="","",10)</f>
        <v/>
      </c>
      <c r="B15" s="16" t="str">
        <f aca="false">IFERROR(INDEX('NHẬP ĐƠN HÀNG'!$C$6:$C$505,MATCH(10,'NHẬP ĐƠN HÀNG'!$AB$6:$AB$505,0)),"")</f>
        <v/>
      </c>
      <c r="C15" s="16" t="str">
        <f aca="false">IF($B15="","",IFERROR(IF(INDEX('NHẬP ĐƠN HÀNG'!$D$6:$D$505,MATCH($B15,'NHẬP ĐƠN HÀNG'!$C$6:$C$505,0))="","",INDEX('NHẬP ĐƠN HÀNG'!$D$6:$D$505,MATCH($B15,'NHẬP ĐƠN HÀNG'!$C$6:$C$505,0))),""))</f>
        <v/>
      </c>
      <c r="D15" s="16" t="str">
        <f aca="false">IF($B15="","",IFERROR(IF(INDEX('NHẬP ĐƠN HÀNG'!$E$6:$E$505,MATCH($B15,'NHẬP ĐƠN HÀNG'!$C$6:$C$505,0))="","",INDEX('NHẬP ĐƠN HÀNG'!$E$6:$E$505,MATCH($B15,'NHẬP ĐƠN HÀNG'!$C$6:$C$505,0))),""))</f>
        <v/>
      </c>
      <c r="E15" s="16" t="str">
        <f aca="false">IF($B15="","",IFERROR(IF(INDEX('NHẬP ĐƠN HÀNG'!$F$6:$F$505,MATCH($B15,'NHẬP ĐƠN HÀNG'!$C$6:$C$505,0))="","",INDEX('NHẬP ĐƠN HÀNG'!$F$6:$F$505,MATCH($B15,'NHẬP ĐƠN HÀNG'!$C$6:$C$505,0))),""))</f>
        <v/>
      </c>
      <c r="F15" s="16" t="str">
        <f aca="false">IF($B15="","",IFERROR(IF(INDEX('NHẬP ĐƠN HÀNG'!$G$6:$G$505,MATCH($B15,'NHẬP ĐƠN HÀNG'!$C$6:$C$505,0))="","",INDEX('NHẬP ĐƠN HÀNG'!$G$6:$G$505,MATCH($B15,'NHẬP ĐƠN HÀNG'!$C$6:$C$505,0))),""))</f>
        <v/>
      </c>
      <c r="G15" s="10" t="str">
        <f aca="false">IF($B15="","",COUNTIFS('NHẬP ĐƠN HÀNG'!$C$6:$C$505,$B15,'NHẬP ĐƠN HÀNG'!$L$6:$L$505,"&gt;0"))</f>
        <v/>
      </c>
      <c r="H15" s="10" t="str">
        <f aca="false">IF($B15="","",SUMIF('NHẬP ĐƠN HÀNG'!$C$6:$C$505,$B15,'NHẬP ĐƠN HÀNG'!$L$6:$L$505))</f>
        <v/>
      </c>
      <c r="I15" s="10" t="str">
        <f aca="false">IF($B15="","",SUMIF('NHẬP ĐƠN HÀNG'!$C$6:$C$505,$B15,'NHẬP ĐƠN HÀNG'!$P$6:$P$505))</f>
        <v/>
      </c>
      <c r="J15" s="10" t="str">
        <f aca="false">IF($B15="","",SUMIF('NHẬP ĐƠN HÀNG'!$C$6:$C$505,$B15,'NHẬP ĐƠN HÀNG'!$Q$6:$Q$505))</f>
        <v/>
      </c>
      <c r="K15" s="10" t="str">
        <f aca="false">IF($B15="","",SUMIF('NHẬP ĐƠN HÀNG'!$C$6:$C$505,$B15,'NHẬP ĐƠN HÀNG'!$R$6:$R$505))</f>
        <v/>
      </c>
      <c r="L15" s="10" t="str">
        <f aca="false">IF($B15="","",SUMIF('NHẬP ĐƠN HÀNG'!$C$6:$C$505,$B15,'NHẬP ĐƠN HÀNG'!$U$6:$U$505))</f>
        <v/>
      </c>
      <c r="M15" s="34" t="str">
        <f aca="false">IF($B15="","",IF(SUMPRODUCT(MAX(('NHẬP ĐƠN HÀNG'!$C$6:$C$505=$B15)*'NHẬP ĐƠN HÀNG'!$B$6:$B$505))=0,"",SUMPRODUCT(MAX(('NHẬP ĐƠN HÀNG'!$C$6:$C$505=$B15)*'NHẬP ĐƠN HÀNG'!$B$6:$B$505))))</f>
        <v/>
      </c>
      <c r="N15" s="16" t="str">
        <f aca="false">IF($B15="","",IF($G15=0,"Chưa có đơn",IF(COUNTIFS('NHẬP ĐƠN HÀNG'!$C$6:$C$505,$B15,'NHẬP ĐƠN HÀNG'!$N$6:$N$505,"&gt;0")&gt;0,"Có lấy VAT","Không lấy VAT")))</f>
        <v/>
      </c>
    </row>
    <row r="16" customFormat="false" ht="15" hidden="false" customHeight="false" outlineLevel="0" collapsed="false">
      <c r="A16" s="16" t="str">
        <f aca="false">IF($B16="","",11)</f>
        <v/>
      </c>
      <c r="B16" s="16" t="str">
        <f aca="false">IFERROR(INDEX('NHẬP ĐƠN HÀNG'!$C$6:$C$505,MATCH(11,'NHẬP ĐƠN HÀNG'!$AB$6:$AB$505,0)),"")</f>
        <v/>
      </c>
      <c r="C16" s="16" t="str">
        <f aca="false">IF($B16="","",IFERROR(IF(INDEX('NHẬP ĐƠN HÀNG'!$D$6:$D$505,MATCH($B16,'NHẬP ĐƠN HÀNG'!$C$6:$C$505,0))="","",INDEX('NHẬP ĐƠN HÀNG'!$D$6:$D$505,MATCH($B16,'NHẬP ĐƠN HÀNG'!$C$6:$C$505,0))),""))</f>
        <v/>
      </c>
      <c r="D16" s="16" t="str">
        <f aca="false">IF($B16="","",IFERROR(IF(INDEX('NHẬP ĐƠN HÀNG'!$E$6:$E$505,MATCH($B16,'NHẬP ĐƠN HÀNG'!$C$6:$C$505,0))="","",INDEX('NHẬP ĐƠN HÀNG'!$E$6:$E$505,MATCH($B16,'NHẬP ĐƠN HÀNG'!$C$6:$C$505,0))),""))</f>
        <v/>
      </c>
      <c r="E16" s="16" t="str">
        <f aca="false">IF($B16="","",IFERROR(IF(INDEX('NHẬP ĐƠN HÀNG'!$F$6:$F$505,MATCH($B16,'NHẬP ĐƠN HÀNG'!$C$6:$C$505,0))="","",INDEX('NHẬP ĐƠN HÀNG'!$F$6:$F$505,MATCH($B16,'NHẬP ĐƠN HÀNG'!$C$6:$C$505,0))),""))</f>
        <v/>
      </c>
      <c r="F16" s="16" t="str">
        <f aca="false">IF($B16="","",IFERROR(IF(INDEX('NHẬP ĐƠN HÀNG'!$G$6:$G$505,MATCH($B16,'NHẬP ĐƠN HÀNG'!$C$6:$C$505,0))="","",INDEX('NHẬP ĐƠN HÀNG'!$G$6:$G$505,MATCH($B16,'NHẬP ĐƠN HÀNG'!$C$6:$C$505,0))),""))</f>
        <v/>
      </c>
      <c r="G16" s="10" t="str">
        <f aca="false">IF($B16="","",COUNTIFS('NHẬP ĐƠN HÀNG'!$C$6:$C$505,$B16,'NHẬP ĐƠN HÀNG'!$L$6:$L$505,"&gt;0"))</f>
        <v/>
      </c>
      <c r="H16" s="10" t="str">
        <f aca="false">IF($B16="","",SUMIF('NHẬP ĐƠN HÀNG'!$C$6:$C$505,$B16,'NHẬP ĐƠN HÀNG'!$L$6:$L$505))</f>
        <v/>
      </c>
      <c r="I16" s="10" t="str">
        <f aca="false">IF($B16="","",SUMIF('NHẬP ĐƠN HÀNG'!$C$6:$C$505,$B16,'NHẬP ĐƠN HÀNG'!$P$6:$P$505))</f>
        <v/>
      </c>
      <c r="J16" s="10" t="str">
        <f aca="false">IF($B16="","",SUMIF('NHẬP ĐƠN HÀNG'!$C$6:$C$505,$B16,'NHẬP ĐƠN HÀNG'!$Q$6:$Q$505))</f>
        <v/>
      </c>
      <c r="K16" s="10" t="str">
        <f aca="false">IF($B16="","",SUMIF('NHẬP ĐƠN HÀNG'!$C$6:$C$505,$B16,'NHẬP ĐƠN HÀNG'!$R$6:$R$505))</f>
        <v/>
      </c>
      <c r="L16" s="10" t="str">
        <f aca="false">IF($B16="","",SUMIF('NHẬP ĐƠN HÀNG'!$C$6:$C$505,$B16,'NHẬP ĐƠN HÀNG'!$U$6:$U$505))</f>
        <v/>
      </c>
      <c r="M16" s="34" t="str">
        <f aca="false">IF($B16="","",IF(SUMPRODUCT(MAX(('NHẬP ĐƠN HÀNG'!$C$6:$C$505=$B16)*'NHẬP ĐƠN HÀNG'!$B$6:$B$505))=0,"",SUMPRODUCT(MAX(('NHẬP ĐƠN HÀNG'!$C$6:$C$505=$B16)*'NHẬP ĐƠN HÀNG'!$B$6:$B$505))))</f>
        <v/>
      </c>
      <c r="N16" s="16" t="str">
        <f aca="false">IF($B16="","",IF($G16=0,"Chưa có đơn",IF(COUNTIFS('NHẬP ĐƠN HÀNG'!$C$6:$C$505,$B16,'NHẬP ĐƠN HÀNG'!$N$6:$N$505,"&gt;0")&gt;0,"Có lấy VAT","Không lấy VAT")))</f>
        <v/>
      </c>
    </row>
    <row r="17" customFormat="false" ht="15" hidden="false" customHeight="false" outlineLevel="0" collapsed="false">
      <c r="A17" s="16" t="str">
        <f aca="false">IF($B17="","",12)</f>
        <v/>
      </c>
      <c r="B17" s="16" t="str">
        <f aca="false">IFERROR(INDEX('NHẬP ĐƠN HÀNG'!$C$6:$C$505,MATCH(12,'NHẬP ĐƠN HÀNG'!$AB$6:$AB$505,0)),"")</f>
        <v/>
      </c>
      <c r="C17" s="16" t="str">
        <f aca="false">IF($B17="","",IFERROR(IF(INDEX('NHẬP ĐƠN HÀNG'!$D$6:$D$505,MATCH($B17,'NHẬP ĐƠN HÀNG'!$C$6:$C$505,0))="","",INDEX('NHẬP ĐƠN HÀNG'!$D$6:$D$505,MATCH($B17,'NHẬP ĐƠN HÀNG'!$C$6:$C$505,0))),""))</f>
        <v/>
      </c>
      <c r="D17" s="16" t="str">
        <f aca="false">IF($B17="","",IFERROR(IF(INDEX('NHẬP ĐƠN HÀNG'!$E$6:$E$505,MATCH($B17,'NHẬP ĐƠN HÀNG'!$C$6:$C$505,0))="","",INDEX('NHẬP ĐƠN HÀNG'!$E$6:$E$505,MATCH($B17,'NHẬP ĐƠN HÀNG'!$C$6:$C$505,0))),""))</f>
        <v/>
      </c>
      <c r="E17" s="16" t="str">
        <f aca="false">IF($B17="","",IFERROR(IF(INDEX('NHẬP ĐƠN HÀNG'!$F$6:$F$505,MATCH($B17,'NHẬP ĐƠN HÀNG'!$C$6:$C$505,0))="","",INDEX('NHẬP ĐƠN HÀNG'!$F$6:$F$505,MATCH($B17,'NHẬP ĐƠN HÀNG'!$C$6:$C$505,0))),""))</f>
        <v/>
      </c>
      <c r="F17" s="16" t="str">
        <f aca="false">IF($B17="","",IFERROR(IF(INDEX('NHẬP ĐƠN HÀNG'!$G$6:$G$505,MATCH($B17,'NHẬP ĐƠN HÀNG'!$C$6:$C$505,0))="","",INDEX('NHẬP ĐƠN HÀNG'!$G$6:$G$505,MATCH($B17,'NHẬP ĐƠN HÀNG'!$C$6:$C$505,0))),""))</f>
        <v/>
      </c>
      <c r="G17" s="10" t="str">
        <f aca="false">IF($B17="","",COUNTIFS('NHẬP ĐƠN HÀNG'!$C$6:$C$505,$B17,'NHẬP ĐƠN HÀNG'!$L$6:$L$505,"&gt;0"))</f>
        <v/>
      </c>
      <c r="H17" s="10" t="str">
        <f aca="false">IF($B17="","",SUMIF('NHẬP ĐƠN HÀNG'!$C$6:$C$505,$B17,'NHẬP ĐƠN HÀNG'!$L$6:$L$505))</f>
        <v/>
      </c>
      <c r="I17" s="10" t="str">
        <f aca="false">IF($B17="","",SUMIF('NHẬP ĐƠN HÀNG'!$C$6:$C$505,$B17,'NHẬP ĐƠN HÀNG'!$P$6:$P$505))</f>
        <v/>
      </c>
      <c r="J17" s="10" t="str">
        <f aca="false">IF($B17="","",SUMIF('NHẬP ĐƠN HÀNG'!$C$6:$C$505,$B17,'NHẬP ĐƠN HÀNG'!$Q$6:$Q$505))</f>
        <v/>
      </c>
      <c r="K17" s="10" t="str">
        <f aca="false">IF($B17="","",SUMIF('NHẬP ĐƠN HÀNG'!$C$6:$C$505,$B17,'NHẬP ĐƠN HÀNG'!$R$6:$R$505))</f>
        <v/>
      </c>
      <c r="L17" s="10" t="str">
        <f aca="false">IF($B17="","",SUMIF('NHẬP ĐƠN HÀNG'!$C$6:$C$505,$B17,'NHẬP ĐƠN HÀNG'!$U$6:$U$505))</f>
        <v/>
      </c>
      <c r="M17" s="34" t="str">
        <f aca="false">IF($B17="","",IF(SUMPRODUCT(MAX(('NHẬP ĐƠN HÀNG'!$C$6:$C$505=$B17)*'NHẬP ĐƠN HÀNG'!$B$6:$B$505))=0,"",SUMPRODUCT(MAX(('NHẬP ĐƠN HÀNG'!$C$6:$C$505=$B17)*'NHẬP ĐƠN HÀNG'!$B$6:$B$505))))</f>
        <v/>
      </c>
      <c r="N17" s="16" t="str">
        <f aca="false">IF($B17="","",IF($G17=0,"Chưa có đơn",IF(COUNTIFS('NHẬP ĐƠN HÀNG'!$C$6:$C$505,$B17,'NHẬP ĐƠN HÀNG'!$N$6:$N$505,"&gt;0")&gt;0,"Có lấy VAT","Không lấy VAT")))</f>
        <v/>
      </c>
    </row>
    <row r="18" customFormat="false" ht="15" hidden="false" customHeight="false" outlineLevel="0" collapsed="false">
      <c r="A18" s="16" t="str">
        <f aca="false">IF($B18="","",13)</f>
        <v/>
      </c>
      <c r="B18" s="16" t="str">
        <f aca="false">IFERROR(INDEX('NHẬP ĐƠN HÀNG'!$C$6:$C$505,MATCH(13,'NHẬP ĐƠN HÀNG'!$AB$6:$AB$505,0)),"")</f>
        <v/>
      </c>
      <c r="C18" s="16" t="str">
        <f aca="false">IF($B18="","",IFERROR(IF(INDEX('NHẬP ĐƠN HÀNG'!$D$6:$D$505,MATCH($B18,'NHẬP ĐƠN HÀNG'!$C$6:$C$505,0))="","",INDEX('NHẬP ĐƠN HÀNG'!$D$6:$D$505,MATCH($B18,'NHẬP ĐƠN HÀNG'!$C$6:$C$505,0))),""))</f>
        <v/>
      </c>
      <c r="D18" s="16" t="str">
        <f aca="false">IF($B18="","",IFERROR(IF(INDEX('NHẬP ĐƠN HÀNG'!$E$6:$E$505,MATCH($B18,'NHẬP ĐƠN HÀNG'!$C$6:$C$505,0))="","",INDEX('NHẬP ĐƠN HÀNG'!$E$6:$E$505,MATCH($B18,'NHẬP ĐƠN HÀNG'!$C$6:$C$505,0))),""))</f>
        <v/>
      </c>
      <c r="E18" s="16" t="str">
        <f aca="false">IF($B18="","",IFERROR(IF(INDEX('NHẬP ĐƠN HÀNG'!$F$6:$F$505,MATCH($B18,'NHẬP ĐƠN HÀNG'!$C$6:$C$505,0))="","",INDEX('NHẬP ĐƠN HÀNG'!$F$6:$F$505,MATCH($B18,'NHẬP ĐƠN HÀNG'!$C$6:$C$505,0))),""))</f>
        <v/>
      </c>
      <c r="F18" s="16" t="str">
        <f aca="false">IF($B18="","",IFERROR(IF(INDEX('NHẬP ĐƠN HÀNG'!$G$6:$G$505,MATCH($B18,'NHẬP ĐƠN HÀNG'!$C$6:$C$505,0))="","",INDEX('NHẬP ĐƠN HÀNG'!$G$6:$G$505,MATCH($B18,'NHẬP ĐƠN HÀNG'!$C$6:$C$505,0))),""))</f>
        <v/>
      </c>
      <c r="G18" s="10" t="str">
        <f aca="false">IF($B18="","",COUNTIFS('NHẬP ĐƠN HÀNG'!$C$6:$C$505,$B18,'NHẬP ĐƠN HÀNG'!$L$6:$L$505,"&gt;0"))</f>
        <v/>
      </c>
      <c r="H18" s="10" t="str">
        <f aca="false">IF($B18="","",SUMIF('NHẬP ĐƠN HÀNG'!$C$6:$C$505,$B18,'NHẬP ĐƠN HÀNG'!$L$6:$L$505))</f>
        <v/>
      </c>
      <c r="I18" s="10" t="str">
        <f aca="false">IF($B18="","",SUMIF('NHẬP ĐƠN HÀNG'!$C$6:$C$505,$B18,'NHẬP ĐƠN HÀNG'!$P$6:$P$505))</f>
        <v/>
      </c>
      <c r="J18" s="10" t="str">
        <f aca="false">IF($B18="","",SUMIF('NHẬP ĐƠN HÀNG'!$C$6:$C$505,$B18,'NHẬP ĐƠN HÀNG'!$Q$6:$Q$505))</f>
        <v/>
      </c>
      <c r="K18" s="10" t="str">
        <f aca="false">IF($B18="","",SUMIF('NHẬP ĐƠN HÀNG'!$C$6:$C$505,$B18,'NHẬP ĐƠN HÀNG'!$R$6:$R$505))</f>
        <v/>
      </c>
      <c r="L18" s="10" t="str">
        <f aca="false">IF($B18="","",SUMIF('NHẬP ĐƠN HÀNG'!$C$6:$C$505,$B18,'NHẬP ĐƠN HÀNG'!$U$6:$U$505))</f>
        <v/>
      </c>
      <c r="M18" s="34" t="str">
        <f aca="false">IF($B18="","",IF(SUMPRODUCT(MAX(('NHẬP ĐƠN HÀNG'!$C$6:$C$505=$B18)*'NHẬP ĐƠN HÀNG'!$B$6:$B$505))=0,"",SUMPRODUCT(MAX(('NHẬP ĐƠN HÀNG'!$C$6:$C$505=$B18)*'NHẬP ĐƠN HÀNG'!$B$6:$B$505))))</f>
        <v/>
      </c>
      <c r="N18" s="16" t="str">
        <f aca="false">IF($B18="","",IF($G18=0,"Chưa có đơn",IF(COUNTIFS('NHẬP ĐƠN HÀNG'!$C$6:$C$505,$B18,'NHẬP ĐƠN HÀNG'!$N$6:$N$505,"&gt;0")&gt;0,"Có lấy VAT","Không lấy VAT")))</f>
        <v/>
      </c>
    </row>
    <row r="19" customFormat="false" ht="15" hidden="false" customHeight="false" outlineLevel="0" collapsed="false">
      <c r="A19" s="16" t="str">
        <f aca="false">IF($B19="","",14)</f>
        <v/>
      </c>
      <c r="B19" s="16" t="str">
        <f aca="false">IFERROR(INDEX('NHẬP ĐƠN HÀNG'!$C$6:$C$505,MATCH(14,'NHẬP ĐƠN HÀNG'!$AB$6:$AB$505,0)),"")</f>
        <v/>
      </c>
      <c r="C19" s="16" t="str">
        <f aca="false">IF($B19="","",IFERROR(IF(INDEX('NHẬP ĐƠN HÀNG'!$D$6:$D$505,MATCH($B19,'NHẬP ĐƠN HÀNG'!$C$6:$C$505,0))="","",INDEX('NHẬP ĐƠN HÀNG'!$D$6:$D$505,MATCH($B19,'NHẬP ĐƠN HÀNG'!$C$6:$C$505,0))),""))</f>
        <v/>
      </c>
      <c r="D19" s="16" t="str">
        <f aca="false">IF($B19="","",IFERROR(IF(INDEX('NHẬP ĐƠN HÀNG'!$E$6:$E$505,MATCH($B19,'NHẬP ĐƠN HÀNG'!$C$6:$C$505,0))="","",INDEX('NHẬP ĐƠN HÀNG'!$E$6:$E$505,MATCH($B19,'NHẬP ĐƠN HÀNG'!$C$6:$C$505,0))),""))</f>
        <v/>
      </c>
      <c r="E19" s="16" t="str">
        <f aca="false">IF($B19="","",IFERROR(IF(INDEX('NHẬP ĐƠN HÀNG'!$F$6:$F$505,MATCH($B19,'NHẬP ĐƠN HÀNG'!$C$6:$C$505,0))="","",INDEX('NHẬP ĐƠN HÀNG'!$F$6:$F$505,MATCH($B19,'NHẬP ĐƠN HÀNG'!$C$6:$C$505,0))),""))</f>
        <v/>
      </c>
      <c r="F19" s="16" t="str">
        <f aca="false">IF($B19="","",IFERROR(IF(INDEX('NHẬP ĐƠN HÀNG'!$G$6:$G$505,MATCH($B19,'NHẬP ĐƠN HÀNG'!$C$6:$C$505,0))="","",INDEX('NHẬP ĐƠN HÀNG'!$G$6:$G$505,MATCH($B19,'NHẬP ĐƠN HÀNG'!$C$6:$C$505,0))),""))</f>
        <v/>
      </c>
      <c r="G19" s="10" t="str">
        <f aca="false">IF($B19="","",COUNTIFS('NHẬP ĐƠN HÀNG'!$C$6:$C$505,$B19,'NHẬP ĐƠN HÀNG'!$L$6:$L$505,"&gt;0"))</f>
        <v/>
      </c>
      <c r="H19" s="10" t="str">
        <f aca="false">IF($B19="","",SUMIF('NHẬP ĐƠN HÀNG'!$C$6:$C$505,$B19,'NHẬP ĐƠN HÀNG'!$L$6:$L$505))</f>
        <v/>
      </c>
      <c r="I19" s="10" t="str">
        <f aca="false">IF($B19="","",SUMIF('NHẬP ĐƠN HÀNG'!$C$6:$C$505,$B19,'NHẬP ĐƠN HÀNG'!$P$6:$P$505))</f>
        <v/>
      </c>
      <c r="J19" s="10" t="str">
        <f aca="false">IF($B19="","",SUMIF('NHẬP ĐƠN HÀNG'!$C$6:$C$505,$B19,'NHẬP ĐƠN HÀNG'!$Q$6:$Q$505))</f>
        <v/>
      </c>
      <c r="K19" s="10" t="str">
        <f aca="false">IF($B19="","",SUMIF('NHẬP ĐƠN HÀNG'!$C$6:$C$505,$B19,'NHẬP ĐƠN HÀNG'!$R$6:$R$505))</f>
        <v/>
      </c>
      <c r="L19" s="10" t="str">
        <f aca="false">IF($B19="","",SUMIF('NHẬP ĐƠN HÀNG'!$C$6:$C$505,$B19,'NHẬP ĐƠN HÀNG'!$U$6:$U$505))</f>
        <v/>
      </c>
      <c r="M19" s="34" t="str">
        <f aca="false">IF($B19="","",IF(SUMPRODUCT(MAX(('NHẬP ĐƠN HÀNG'!$C$6:$C$505=$B19)*'NHẬP ĐƠN HÀNG'!$B$6:$B$505))=0,"",SUMPRODUCT(MAX(('NHẬP ĐƠN HÀNG'!$C$6:$C$505=$B19)*'NHẬP ĐƠN HÀNG'!$B$6:$B$505))))</f>
        <v/>
      </c>
      <c r="N19" s="16" t="str">
        <f aca="false">IF($B19="","",IF($G19=0,"Chưa có đơn",IF(COUNTIFS('NHẬP ĐƠN HÀNG'!$C$6:$C$505,$B19,'NHẬP ĐƠN HÀNG'!$N$6:$N$505,"&gt;0")&gt;0,"Có lấy VAT","Không lấy VAT")))</f>
        <v/>
      </c>
    </row>
    <row r="20" customFormat="false" ht="15" hidden="false" customHeight="false" outlineLevel="0" collapsed="false">
      <c r="A20" s="16" t="str">
        <f aca="false">IF($B20="","",15)</f>
        <v/>
      </c>
      <c r="B20" s="16" t="str">
        <f aca="false">IFERROR(INDEX('NHẬP ĐƠN HÀNG'!$C$6:$C$505,MATCH(15,'NHẬP ĐƠN HÀNG'!$AB$6:$AB$505,0)),"")</f>
        <v/>
      </c>
      <c r="C20" s="16" t="str">
        <f aca="false">IF($B20="","",IFERROR(IF(INDEX('NHẬP ĐƠN HÀNG'!$D$6:$D$505,MATCH($B20,'NHẬP ĐƠN HÀNG'!$C$6:$C$505,0))="","",INDEX('NHẬP ĐƠN HÀNG'!$D$6:$D$505,MATCH($B20,'NHẬP ĐƠN HÀNG'!$C$6:$C$505,0))),""))</f>
        <v/>
      </c>
      <c r="D20" s="16" t="str">
        <f aca="false">IF($B20="","",IFERROR(IF(INDEX('NHẬP ĐƠN HÀNG'!$E$6:$E$505,MATCH($B20,'NHẬP ĐƠN HÀNG'!$C$6:$C$505,0))="","",INDEX('NHẬP ĐƠN HÀNG'!$E$6:$E$505,MATCH($B20,'NHẬP ĐƠN HÀNG'!$C$6:$C$505,0))),""))</f>
        <v/>
      </c>
      <c r="E20" s="16" t="str">
        <f aca="false">IF($B20="","",IFERROR(IF(INDEX('NHẬP ĐƠN HÀNG'!$F$6:$F$505,MATCH($B20,'NHẬP ĐƠN HÀNG'!$C$6:$C$505,0))="","",INDEX('NHẬP ĐƠN HÀNG'!$F$6:$F$505,MATCH($B20,'NHẬP ĐƠN HÀNG'!$C$6:$C$505,0))),""))</f>
        <v/>
      </c>
      <c r="F20" s="16" t="str">
        <f aca="false">IF($B20="","",IFERROR(IF(INDEX('NHẬP ĐƠN HÀNG'!$G$6:$G$505,MATCH($B20,'NHẬP ĐƠN HÀNG'!$C$6:$C$505,0))="","",INDEX('NHẬP ĐƠN HÀNG'!$G$6:$G$505,MATCH($B20,'NHẬP ĐƠN HÀNG'!$C$6:$C$505,0))),""))</f>
        <v/>
      </c>
      <c r="G20" s="10" t="str">
        <f aca="false">IF($B20="","",COUNTIFS('NHẬP ĐƠN HÀNG'!$C$6:$C$505,$B20,'NHẬP ĐƠN HÀNG'!$L$6:$L$505,"&gt;0"))</f>
        <v/>
      </c>
      <c r="H20" s="10" t="str">
        <f aca="false">IF($B20="","",SUMIF('NHẬP ĐƠN HÀNG'!$C$6:$C$505,$B20,'NHẬP ĐƠN HÀNG'!$L$6:$L$505))</f>
        <v/>
      </c>
      <c r="I20" s="10" t="str">
        <f aca="false">IF($B20="","",SUMIF('NHẬP ĐƠN HÀNG'!$C$6:$C$505,$B20,'NHẬP ĐƠN HÀNG'!$P$6:$P$505))</f>
        <v/>
      </c>
      <c r="J20" s="10" t="str">
        <f aca="false">IF($B20="","",SUMIF('NHẬP ĐƠN HÀNG'!$C$6:$C$505,$B20,'NHẬP ĐƠN HÀNG'!$Q$6:$Q$505))</f>
        <v/>
      </c>
      <c r="K20" s="10" t="str">
        <f aca="false">IF($B20="","",SUMIF('NHẬP ĐƠN HÀNG'!$C$6:$C$505,$B20,'NHẬP ĐƠN HÀNG'!$R$6:$R$505))</f>
        <v/>
      </c>
      <c r="L20" s="10" t="str">
        <f aca="false">IF($B20="","",SUMIF('NHẬP ĐƠN HÀNG'!$C$6:$C$505,$B20,'NHẬP ĐƠN HÀNG'!$U$6:$U$505))</f>
        <v/>
      </c>
      <c r="M20" s="34" t="str">
        <f aca="false">IF($B20="","",IF(SUMPRODUCT(MAX(('NHẬP ĐƠN HÀNG'!$C$6:$C$505=$B20)*'NHẬP ĐƠN HÀNG'!$B$6:$B$505))=0,"",SUMPRODUCT(MAX(('NHẬP ĐƠN HÀNG'!$C$6:$C$505=$B20)*'NHẬP ĐƠN HÀNG'!$B$6:$B$505))))</f>
        <v/>
      </c>
      <c r="N20" s="16" t="str">
        <f aca="false">IF($B20="","",IF($G20=0,"Chưa có đơn",IF(COUNTIFS('NHẬP ĐƠN HÀNG'!$C$6:$C$505,$B20,'NHẬP ĐƠN HÀNG'!$N$6:$N$505,"&gt;0")&gt;0,"Có lấy VAT","Không lấy VAT")))</f>
        <v/>
      </c>
    </row>
    <row r="21" customFormat="false" ht="15" hidden="false" customHeight="false" outlineLevel="0" collapsed="false">
      <c r="A21" s="16" t="str">
        <f aca="false">IF($B21="","",16)</f>
        <v/>
      </c>
      <c r="B21" s="16" t="str">
        <f aca="false">IFERROR(INDEX('NHẬP ĐƠN HÀNG'!$C$6:$C$505,MATCH(16,'NHẬP ĐƠN HÀNG'!$AB$6:$AB$505,0)),"")</f>
        <v/>
      </c>
      <c r="C21" s="16" t="str">
        <f aca="false">IF($B21="","",IFERROR(IF(INDEX('NHẬP ĐƠN HÀNG'!$D$6:$D$505,MATCH($B21,'NHẬP ĐƠN HÀNG'!$C$6:$C$505,0))="","",INDEX('NHẬP ĐƠN HÀNG'!$D$6:$D$505,MATCH($B21,'NHẬP ĐƠN HÀNG'!$C$6:$C$505,0))),""))</f>
        <v/>
      </c>
      <c r="D21" s="16" t="str">
        <f aca="false">IF($B21="","",IFERROR(IF(INDEX('NHẬP ĐƠN HÀNG'!$E$6:$E$505,MATCH($B21,'NHẬP ĐƠN HÀNG'!$C$6:$C$505,0))="","",INDEX('NHẬP ĐƠN HÀNG'!$E$6:$E$505,MATCH($B21,'NHẬP ĐƠN HÀNG'!$C$6:$C$505,0))),""))</f>
        <v/>
      </c>
      <c r="E21" s="16" t="str">
        <f aca="false">IF($B21="","",IFERROR(IF(INDEX('NHẬP ĐƠN HÀNG'!$F$6:$F$505,MATCH($B21,'NHẬP ĐƠN HÀNG'!$C$6:$C$505,0))="","",INDEX('NHẬP ĐƠN HÀNG'!$F$6:$F$505,MATCH($B21,'NHẬP ĐƠN HÀNG'!$C$6:$C$505,0))),""))</f>
        <v/>
      </c>
      <c r="F21" s="16" t="str">
        <f aca="false">IF($B21="","",IFERROR(IF(INDEX('NHẬP ĐƠN HÀNG'!$G$6:$G$505,MATCH($B21,'NHẬP ĐƠN HÀNG'!$C$6:$C$505,0))="","",INDEX('NHẬP ĐƠN HÀNG'!$G$6:$G$505,MATCH($B21,'NHẬP ĐƠN HÀNG'!$C$6:$C$505,0))),""))</f>
        <v/>
      </c>
      <c r="G21" s="10" t="str">
        <f aca="false">IF($B21="","",COUNTIFS('NHẬP ĐƠN HÀNG'!$C$6:$C$505,$B21,'NHẬP ĐƠN HÀNG'!$L$6:$L$505,"&gt;0"))</f>
        <v/>
      </c>
      <c r="H21" s="10" t="str">
        <f aca="false">IF($B21="","",SUMIF('NHẬP ĐƠN HÀNG'!$C$6:$C$505,$B21,'NHẬP ĐƠN HÀNG'!$L$6:$L$505))</f>
        <v/>
      </c>
      <c r="I21" s="10" t="str">
        <f aca="false">IF($B21="","",SUMIF('NHẬP ĐƠN HÀNG'!$C$6:$C$505,$B21,'NHẬP ĐƠN HÀNG'!$P$6:$P$505))</f>
        <v/>
      </c>
      <c r="J21" s="10" t="str">
        <f aca="false">IF($B21="","",SUMIF('NHẬP ĐƠN HÀNG'!$C$6:$C$505,$B21,'NHẬP ĐƠN HÀNG'!$Q$6:$Q$505))</f>
        <v/>
      </c>
      <c r="K21" s="10" t="str">
        <f aca="false">IF($B21="","",SUMIF('NHẬP ĐƠN HÀNG'!$C$6:$C$505,$B21,'NHẬP ĐƠN HÀNG'!$R$6:$R$505))</f>
        <v/>
      </c>
      <c r="L21" s="10" t="str">
        <f aca="false">IF($B21="","",SUMIF('NHẬP ĐƠN HÀNG'!$C$6:$C$505,$B21,'NHẬP ĐƠN HÀNG'!$U$6:$U$505))</f>
        <v/>
      </c>
      <c r="M21" s="34" t="str">
        <f aca="false">IF($B21="","",IF(SUMPRODUCT(MAX(('NHẬP ĐƠN HÀNG'!$C$6:$C$505=$B21)*'NHẬP ĐƠN HÀNG'!$B$6:$B$505))=0,"",SUMPRODUCT(MAX(('NHẬP ĐƠN HÀNG'!$C$6:$C$505=$B21)*'NHẬP ĐƠN HÀNG'!$B$6:$B$505))))</f>
        <v/>
      </c>
      <c r="N21" s="16" t="str">
        <f aca="false">IF($B21="","",IF($G21=0,"Chưa có đơn",IF(COUNTIFS('NHẬP ĐƠN HÀNG'!$C$6:$C$505,$B21,'NHẬP ĐƠN HÀNG'!$N$6:$N$505,"&gt;0")&gt;0,"Có lấy VAT","Không lấy VAT")))</f>
        <v/>
      </c>
    </row>
    <row r="22" customFormat="false" ht="15" hidden="false" customHeight="false" outlineLevel="0" collapsed="false">
      <c r="A22" s="16" t="str">
        <f aca="false">IF($B22="","",17)</f>
        <v/>
      </c>
      <c r="B22" s="16" t="str">
        <f aca="false">IFERROR(INDEX('NHẬP ĐƠN HÀNG'!$C$6:$C$505,MATCH(17,'NHẬP ĐƠN HÀNG'!$AB$6:$AB$505,0)),"")</f>
        <v/>
      </c>
      <c r="C22" s="16" t="str">
        <f aca="false">IF($B22="","",IFERROR(IF(INDEX('NHẬP ĐƠN HÀNG'!$D$6:$D$505,MATCH($B22,'NHẬP ĐƠN HÀNG'!$C$6:$C$505,0))="","",INDEX('NHẬP ĐƠN HÀNG'!$D$6:$D$505,MATCH($B22,'NHẬP ĐƠN HÀNG'!$C$6:$C$505,0))),""))</f>
        <v/>
      </c>
      <c r="D22" s="16" t="str">
        <f aca="false">IF($B22="","",IFERROR(IF(INDEX('NHẬP ĐƠN HÀNG'!$E$6:$E$505,MATCH($B22,'NHẬP ĐƠN HÀNG'!$C$6:$C$505,0))="","",INDEX('NHẬP ĐƠN HÀNG'!$E$6:$E$505,MATCH($B22,'NHẬP ĐƠN HÀNG'!$C$6:$C$505,0))),""))</f>
        <v/>
      </c>
      <c r="E22" s="16" t="str">
        <f aca="false">IF($B22="","",IFERROR(IF(INDEX('NHẬP ĐƠN HÀNG'!$F$6:$F$505,MATCH($B22,'NHẬP ĐƠN HÀNG'!$C$6:$C$505,0))="","",INDEX('NHẬP ĐƠN HÀNG'!$F$6:$F$505,MATCH($B22,'NHẬP ĐƠN HÀNG'!$C$6:$C$505,0))),""))</f>
        <v/>
      </c>
      <c r="F22" s="16" t="str">
        <f aca="false">IF($B22="","",IFERROR(IF(INDEX('NHẬP ĐƠN HÀNG'!$G$6:$G$505,MATCH($B22,'NHẬP ĐƠN HÀNG'!$C$6:$C$505,0))="","",INDEX('NHẬP ĐƠN HÀNG'!$G$6:$G$505,MATCH($B22,'NHẬP ĐƠN HÀNG'!$C$6:$C$505,0))),""))</f>
        <v/>
      </c>
      <c r="G22" s="10" t="str">
        <f aca="false">IF($B22="","",COUNTIFS('NHẬP ĐƠN HÀNG'!$C$6:$C$505,$B22,'NHẬP ĐƠN HÀNG'!$L$6:$L$505,"&gt;0"))</f>
        <v/>
      </c>
      <c r="H22" s="10" t="str">
        <f aca="false">IF($B22="","",SUMIF('NHẬP ĐƠN HÀNG'!$C$6:$C$505,$B22,'NHẬP ĐƠN HÀNG'!$L$6:$L$505))</f>
        <v/>
      </c>
      <c r="I22" s="10" t="str">
        <f aca="false">IF($B22="","",SUMIF('NHẬP ĐƠN HÀNG'!$C$6:$C$505,$B22,'NHẬP ĐƠN HÀNG'!$P$6:$P$505))</f>
        <v/>
      </c>
      <c r="J22" s="10" t="str">
        <f aca="false">IF($B22="","",SUMIF('NHẬP ĐƠN HÀNG'!$C$6:$C$505,$B22,'NHẬP ĐƠN HÀNG'!$Q$6:$Q$505))</f>
        <v/>
      </c>
      <c r="K22" s="10" t="str">
        <f aca="false">IF($B22="","",SUMIF('NHẬP ĐƠN HÀNG'!$C$6:$C$505,$B22,'NHẬP ĐƠN HÀNG'!$R$6:$R$505))</f>
        <v/>
      </c>
      <c r="L22" s="10" t="str">
        <f aca="false">IF($B22="","",SUMIF('NHẬP ĐƠN HÀNG'!$C$6:$C$505,$B22,'NHẬP ĐƠN HÀNG'!$U$6:$U$505))</f>
        <v/>
      </c>
      <c r="M22" s="34" t="str">
        <f aca="false">IF($B22="","",IF(SUMPRODUCT(MAX(('NHẬP ĐƠN HÀNG'!$C$6:$C$505=$B22)*'NHẬP ĐƠN HÀNG'!$B$6:$B$505))=0,"",SUMPRODUCT(MAX(('NHẬP ĐƠN HÀNG'!$C$6:$C$505=$B22)*'NHẬP ĐƠN HÀNG'!$B$6:$B$505))))</f>
        <v/>
      </c>
      <c r="N22" s="16" t="str">
        <f aca="false">IF($B22="","",IF($G22=0,"Chưa có đơn",IF(COUNTIFS('NHẬP ĐƠN HÀNG'!$C$6:$C$505,$B22,'NHẬP ĐƠN HÀNG'!$N$6:$N$505,"&gt;0")&gt;0,"Có lấy VAT","Không lấy VAT")))</f>
        <v/>
      </c>
    </row>
    <row r="23" customFormat="false" ht="15" hidden="false" customHeight="false" outlineLevel="0" collapsed="false">
      <c r="A23" s="16" t="str">
        <f aca="false">IF($B23="","",18)</f>
        <v/>
      </c>
      <c r="B23" s="16" t="str">
        <f aca="false">IFERROR(INDEX('NHẬP ĐƠN HÀNG'!$C$6:$C$505,MATCH(18,'NHẬP ĐƠN HÀNG'!$AB$6:$AB$505,0)),"")</f>
        <v/>
      </c>
      <c r="C23" s="16" t="str">
        <f aca="false">IF($B23="","",IFERROR(IF(INDEX('NHẬP ĐƠN HÀNG'!$D$6:$D$505,MATCH($B23,'NHẬP ĐƠN HÀNG'!$C$6:$C$505,0))="","",INDEX('NHẬP ĐƠN HÀNG'!$D$6:$D$505,MATCH($B23,'NHẬP ĐƠN HÀNG'!$C$6:$C$505,0))),""))</f>
        <v/>
      </c>
      <c r="D23" s="16" t="str">
        <f aca="false">IF($B23="","",IFERROR(IF(INDEX('NHẬP ĐƠN HÀNG'!$E$6:$E$505,MATCH($B23,'NHẬP ĐƠN HÀNG'!$C$6:$C$505,0))="","",INDEX('NHẬP ĐƠN HÀNG'!$E$6:$E$505,MATCH($B23,'NHẬP ĐƠN HÀNG'!$C$6:$C$505,0))),""))</f>
        <v/>
      </c>
      <c r="E23" s="16" t="str">
        <f aca="false">IF($B23="","",IFERROR(IF(INDEX('NHẬP ĐƠN HÀNG'!$F$6:$F$505,MATCH($B23,'NHẬP ĐƠN HÀNG'!$C$6:$C$505,0))="","",INDEX('NHẬP ĐƠN HÀNG'!$F$6:$F$505,MATCH($B23,'NHẬP ĐƠN HÀNG'!$C$6:$C$505,0))),""))</f>
        <v/>
      </c>
      <c r="F23" s="16" t="str">
        <f aca="false">IF($B23="","",IFERROR(IF(INDEX('NHẬP ĐƠN HÀNG'!$G$6:$G$505,MATCH($B23,'NHẬP ĐƠN HÀNG'!$C$6:$C$505,0))="","",INDEX('NHẬP ĐƠN HÀNG'!$G$6:$G$505,MATCH($B23,'NHẬP ĐƠN HÀNG'!$C$6:$C$505,0))),""))</f>
        <v/>
      </c>
      <c r="G23" s="10" t="str">
        <f aca="false">IF($B23="","",COUNTIFS('NHẬP ĐƠN HÀNG'!$C$6:$C$505,$B23,'NHẬP ĐƠN HÀNG'!$L$6:$L$505,"&gt;0"))</f>
        <v/>
      </c>
      <c r="H23" s="10" t="str">
        <f aca="false">IF($B23="","",SUMIF('NHẬP ĐƠN HÀNG'!$C$6:$C$505,$B23,'NHẬP ĐƠN HÀNG'!$L$6:$L$505))</f>
        <v/>
      </c>
      <c r="I23" s="10" t="str">
        <f aca="false">IF($B23="","",SUMIF('NHẬP ĐƠN HÀNG'!$C$6:$C$505,$B23,'NHẬP ĐƠN HÀNG'!$P$6:$P$505))</f>
        <v/>
      </c>
      <c r="J23" s="10" t="str">
        <f aca="false">IF($B23="","",SUMIF('NHẬP ĐƠN HÀNG'!$C$6:$C$505,$B23,'NHẬP ĐƠN HÀNG'!$Q$6:$Q$505))</f>
        <v/>
      </c>
      <c r="K23" s="10" t="str">
        <f aca="false">IF($B23="","",SUMIF('NHẬP ĐƠN HÀNG'!$C$6:$C$505,$B23,'NHẬP ĐƠN HÀNG'!$R$6:$R$505))</f>
        <v/>
      </c>
      <c r="L23" s="10" t="str">
        <f aca="false">IF($B23="","",SUMIF('NHẬP ĐƠN HÀNG'!$C$6:$C$505,$B23,'NHẬP ĐƠN HÀNG'!$U$6:$U$505))</f>
        <v/>
      </c>
      <c r="M23" s="34" t="str">
        <f aca="false">IF($B23="","",IF(SUMPRODUCT(MAX(('NHẬP ĐƠN HÀNG'!$C$6:$C$505=$B23)*'NHẬP ĐƠN HÀNG'!$B$6:$B$505))=0,"",SUMPRODUCT(MAX(('NHẬP ĐƠN HÀNG'!$C$6:$C$505=$B23)*'NHẬP ĐƠN HÀNG'!$B$6:$B$505))))</f>
        <v/>
      </c>
      <c r="N23" s="16" t="str">
        <f aca="false">IF($B23="","",IF($G23=0,"Chưa có đơn",IF(COUNTIFS('NHẬP ĐƠN HÀNG'!$C$6:$C$505,$B23,'NHẬP ĐƠN HÀNG'!$N$6:$N$505,"&gt;0")&gt;0,"Có lấy VAT","Không lấy VAT")))</f>
        <v/>
      </c>
    </row>
    <row r="24" customFormat="false" ht="15" hidden="false" customHeight="false" outlineLevel="0" collapsed="false">
      <c r="A24" s="16" t="str">
        <f aca="false">IF($B24="","",19)</f>
        <v/>
      </c>
      <c r="B24" s="16" t="str">
        <f aca="false">IFERROR(INDEX('NHẬP ĐƠN HÀNG'!$C$6:$C$505,MATCH(19,'NHẬP ĐƠN HÀNG'!$AB$6:$AB$505,0)),"")</f>
        <v/>
      </c>
      <c r="C24" s="16" t="str">
        <f aca="false">IF($B24="","",IFERROR(IF(INDEX('NHẬP ĐƠN HÀNG'!$D$6:$D$505,MATCH($B24,'NHẬP ĐƠN HÀNG'!$C$6:$C$505,0))="","",INDEX('NHẬP ĐƠN HÀNG'!$D$6:$D$505,MATCH($B24,'NHẬP ĐƠN HÀNG'!$C$6:$C$505,0))),""))</f>
        <v/>
      </c>
      <c r="D24" s="16" t="str">
        <f aca="false">IF($B24="","",IFERROR(IF(INDEX('NHẬP ĐƠN HÀNG'!$E$6:$E$505,MATCH($B24,'NHẬP ĐƠN HÀNG'!$C$6:$C$505,0))="","",INDEX('NHẬP ĐƠN HÀNG'!$E$6:$E$505,MATCH($B24,'NHẬP ĐƠN HÀNG'!$C$6:$C$505,0))),""))</f>
        <v/>
      </c>
      <c r="E24" s="16" t="str">
        <f aca="false">IF($B24="","",IFERROR(IF(INDEX('NHẬP ĐƠN HÀNG'!$F$6:$F$505,MATCH($B24,'NHẬP ĐƠN HÀNG'!$C$6:$C$505,0))="","",INDEX('NHẬP ĐƠN HÀNG'!$F$6:$F$505,MATCH($B24,'NHẬP ĐƠN HÀNG'!$C$6:$C$505,0))),""))</f>
        <v/>
      </c>
      <c r="F24" s="16" t="str">
        <f aca="false">IF($B24="","",IFERROR(IF(INDEX('NHẬP ĐƠN HÀNG'!$G$6:$G$505,MATCH($B24,'NHẬP ĐƠN HÀNG'!$C$6:$C$505,0))="","",INDEX('NHẬP ĐƠN HÀNG'!$G$6:$G$505,MATCH($B24,'NHẬP ĐƠN HÀNG'!$C$6:$C$505,0))),""))</f>
        <v/>
      </c>
      <c r="G24" s="10" t="str">
        <f aca="false">IF($B24="","",COUNTIFS('NHẬP ĐƠN HÀNG'!$C$6:$C$505,$B24,'NHẬP ĐƠN HÀNG'!$L$6:$L$505,"&gt;0"))</f>
        <v/>
      </c>
      <c r="H24" s="10" t="str">
        <f aca="false">IF($B24="","",SUMIF('NHẬP ĐƠN HÀNG'!$C$6:$C$505,$B24,'NHẬP ĐƠN HÀNG'!$L$6:$L$505))</f>
        <v/>
      </c>
      <c r="I24" s="10" t="str">
        <f aca="false">IF($B24="","",SUMIF('NHẬP ĐƠN HÀNG'!$C$6:$C$505,$B24,'NHẬP ĐƠN HÀNG'!$P$6:$P$505))</f>
        <v/>
      </c>
      <c r="J24" s="10" t="str">
        <f aca="false">IF($B24="","",SUMIF('NHẬP ĐƠN HÀNG'!$C$6:$C$505,$B24,'NHẬP ĐƠN HÀNG'!$Q$6:$Q$505))</f>
        <v/>
      </c>
      <c r="K24" s="10" t="str">
        <f aca="false">IF($B24="","",SUMIF('NHẬP ĐƠN HÀNG'!$C$6:$C$505,$B24,'NHẬP ĐƠN HÀNG'!$R$6:$R$505))</f>
        <v/>
      </c>
      <c r="L24" s="10" t="str">
        <f aca="false">IF($B24="","",SUMIF('NHẬP ĐƠN HÀNG'!$C$6:$C$505,$B24,'NHẬP ĐƠN HÀNG'!$U$6:$U$505))</f>
        <v/>
      </c>
      <c r="M24" s="34" t="str">
        <f aca="false">IF($B24="","",IF(SUMPRODUCT(MAX(('NHẬP ĐƠN HÀNG'!$C$6:$C$505=$B24)*'NHẬP ĐƠN HÀNG'!$B$6:$B$505))=0,"",SUMPRODUCT(MAX(('NHẬP ĐƠN HÀNG'!$C$6:$C$505=$B24)*'NHẬP ĐƠN HÀNG'!$B$6:$B$505))))</f>
        <v/>
      </c>
      <c r="N24" s="16" t="str">
        <f aca="false">IF($B24="","",IF($G24=0,"Chưa có đơn",IF(COUNTIFS('NHẬP ĐƠN HÀNG'!$C$6:$C$505,$B24,'NHẬP ĐƠN HÀNG'!$N$6:$N$505,"&gt;0")&gt;0,"Có lấy VAT","Không lấy VAT")))</f>
        <v/>
      </c>
    </row>
    <row r="25" customFormat="false" ht="15" hidden="false" customHeight="false" outlineLevel="0" collapsed="false">
      <c r="A25" s="16" t="str">
        <f aca="false">IF($B25="","",20)</f>
        <v/>
      </c>
      <c r="B25" s="16" t="str">
        <f aca="false">IFERROR(INDEX('NHẬP ĐƠN HÀNG'!$C$6:$C$505,MATCH(20,'NHẬP ĐƠN HÀNG'!$AB$6:$AB$505,0)),"")</f>
        <v/>
      </c>
      <c r="C25" s="16" t="str">
        <f aca="false">IF($B25="","",IFERROR(IF(INDEX('NHẬP ĐƠN HÀNG'!$D$6:$D$505,MATCH($B25,'NHẬP ĐƠN HÀNG'!$C$6:$C$505,0))="","",INDEX('NHẬP ĐƠN HÀNG'!$D$6:$D$505,MATCH($B25,'NHẬP ĐƠN HÀNG'!$C$6:$C$505,0))),""))</f>
        <v/>
      </c>
      <c r="D25" s="16" t="str">
        <f aca="false">IF($B25="","",IFERROR(IF(INDEX('NHẬP ĐƠN HÀNG'!$E$6:$E$505,MATCH($B25,'NHẬP ĐƠN HÀNG'!$C$6:$C$505,0))="","",INDEX('NHẬP ĐƠN HÀNG'!$E$6:$E$505,MATCH($B25,'NHẬP ĐƠN HÀNG'!$C$6:$C$505,0))),""))</f>
        <v/>
      </c>
      <c r="E25" s="16" t="str">
        <f aca="false">IF($B25="","",IFERROR(IF(INDEX('NHẬP ĐƠN HÀNG'!$F$6:$F$505,MATCH($B25,'NHẬP ĐƠN HÀNG'!$C$6:$C$505,0))="","",INDEX('NHẬP ĐƠN HÀNG'!$F$6:$F$505,MATCH($B25,'NHẬP ĐƠN HÀNG'!$C$6:$C$505,0))),""))</f>
        <v/>
      </c>
      <c r="F25" s="16" t="str">
        <f aca="false">IF($B25="","",IFERROR(IF(INDEX('NHẬP ĐƠN HÀNG'!$G$6:$G$505,MATCH($B25,'NHẬP ĐƠN HÀNG'!$C$6:$C$505,0))="","",INDEX('NHẬP ĐƠN HÀNG'!$G$6:$G$505,MATCH($B25,'NHẬP ĐƠN HÀNG'!$C$6:$C$505,0))),""))</f>
        <v/>
      </c>
      <c r="G25" s="10" t="str">
        <f aca="false">IF($B25="","",COUNTIFS('NHẬP ĐƠN HÀNG'!$C$6:$C$505,$B25,'NHẬP ĐƠN HÀNG'!$L$6:$L$505,"&gt;0"))</f>
        <v/>
      </c>
      <c r="H25" s="10" t="str">
        <f aca="false">IF($B25="","",SUMIF('NHẬP ĐƠN HÀNG'!$C$6:$C$505,$B25,'NHẬP ĐƠN HÀNG'!$L$6:$L$505))</f>
        <v/>
      </c>
      <c r="I25" s="10" t="str">
        <f aca="false">IF($B25="","",SUMIF('NHẬP ĐƠN HÀNG'!$C$6:$C$505,$B25,'NHẬP ĐƠN HÀNG'!$P$6:$P$505))</f>
        <v/>
      </c>
      <c r="J25" s="10" t="str">
        <f aca="false">IF($B25="","",SUMIF('NHẬP ĐƠN HÀNG'!$C$6:$C$505,$B25,'NHẬP ĐƠN HÀNG'!$Q$6:$Q$505))</f>
        <v/>
      </c>
      <c r="K25" s="10" t="str">
        <f aca="false">IF($B25="","",SUMIF('NHẬP ĐƠN HÀNG'!$C$6:$C$505,$B25,'NHẬP ĐƠN HÀNG'!$R$6:$R$505))</f>
        <v/>
      </c>
      <c r="L25" s="10" t="str">
        <f aca="false">IF($B25="","",SUMIF('NHẬP ĐƠN HÀNG'!$C$6:$C$505,$B25,'NHẬP ĐƠN HÀNG'!$U$6:$U$505))</f>
        <v/>
      </c>
      <c r="M25" s="34" t="str">
        <f aca="false">IF($B25="","",IF(SUMPRODUCT(MAX(('NHẬP ĐƠN HÀNG'!$C$6:$C$505=$B25)*'NHẬP ĐƠN HÀNG'!$B$6:$B$505))=0,"",SUMPRODUCT(MAX(('NHẬP ĐƠN HÀNG'!$C$6:$C$505=$B25)*'NHẬP ĐƠN HÀNG'!$B$6:$B$505))))</f>
        <v/>
      </c>
      <c r="N25" s="16" t="str">
        <f aca="false">IF($B25="","",IF($G25=0,"Chưa có đơn",IF(COUNTIFS('NHẬP ĐƠN HÀNG'!$C$6:$C$505,$B25,'NHẬP ĐƠN HÀNG'!$N$6:$N$505,"&gt;0")&gt;0,"Có lấy VAT","Không lấy VAT")))</f>
        <v/>
      </c>
    </row>
    <row r="26" customFormat="false" ht="15" hidden="false" customHeight="false" outlineLevel="0" collapsed="false">
      <c r="A26" s="16" t="str">
        <f aca="false">IF($B26="","",21)</f>
        <v/>
      </c>
      <c r="B26" s="16" t="str">
        <f aca="false">IFERROR(INDEX('NHẬP ĐƠN HÀNG'!$C$6:$C$505,MATCH(21,'NHẬP ĐƠN HÀNG'!$AB$6:$AB$505,0)),"")</f>
        <v/>
      </c>
      <c r="C26" s="16" t="str">
        <f aca="false">IF($B26="","",IFERROR(IF(INDEX('NHẬP ĐƠN HÀNG'!$D$6:$D$505,MATCH($B26,'NHẬP ĐƠN HÀNG'!$C$6:$C$505,0))="","",INDEX('NHẬP ĐƠN HÀNG'!$D$6:$D$505,MATCH($B26,'NHẬP ĐƠN HÀNG'!$C$6:$C$505,0))),""))</f>
        <v/>
      </c>
      <c r="D26" s="16" t="str">
        <f aca="false">IF($B26="","",IFERROR(IF(INDEX('NHẬP ĐƠN HÀNG'!$E$6:$E$505,MATCH($B26,'NHẬP ĐƠN HÀNG'!$C$6:$C$505,0))="","",INDEX('NHẬP ĐƠN HÀNG'!$E$6:$E$505,MATCH($B26,'NHẬP ĐƠN HÀNG'!$C$6:$C$505,0))),""))</f>
        <v/>
      </c>
      <c r="E26" s="16" t="str">
        <f aca="false">IF($B26="","",IFERROR(IF(INDEX('NHẬP ĐƠN HÀNG'!$F$6:$F$505,MATCH($B26,'NHẬP ĐƠN HÀNG'!$C$6:$C$505,0))="","",INDEX('NHẬP ĐƠN HÀNG'!$F$6:$F$505,MATCH($B26,'NHẬP ĐƠN HÀNG'!$C$6:$C$505,0))),""))</f>
        <v/>
      </c>
      <c r="F26" s="16" t="str">
        <f aca="false">IF($B26="","",IFERROR(IF(INDEX('NHẬP ĐƠN HÀNG'!$G$6:$G$505,MATCH($B26,'NHẬP ĐƠN HÀNG'!$C$6:$C$505,0))="","",INDEX('NHẬP ĐƠN HÀNG'!$G$6:$G$505,MATCH($B26,'NHẬP ĐƠN HÀNG'!$C$6:$C$505,0))),""))</f>
        <v/>
      </c>
      <c r="G26" s="10" t="str">
        <f aca="false">IF($B26="","",COUNTIFS('NHẬP ĐƠN HÀNG'!$C$6:$C$505,$B26,'NHẬP ĐƠN HÀNG'!$L$6:$L$505,"&gt;0"))</f>
        <v/>
      </c>
      <c r="H26" s="10" t="str">
        <f aca="false">IF($B26="","",SUMIF('NHẬP ĐƠN HÀNG'!$C$6:$C$505,$B26,'NHẬP ĐƠN HÀNG'!$L$6:$L$505))</f>
        <v/>
      </c>
      <c r="I26" s="10" t="str">
        <f aca="false">IF($B26="","",SUMIF('NHẬP ĐƠN HÀNG'!$C$6:$C$505,$B26,'NHẬP ĐƠN HÀNG'!$P$6:$P$505))</f>
        <v/>
      </c>
      <c r="J26" s="10" t="str">
        <f aca="false">IF($B26="","",SUMIF('NHẬP ĐƠN HÀNG'!$C$6:$C$505,$B26,'NHẬP ĐƠN HÀNG'!$Q$6:$Q$505))</f>
        <v/>
      </c>
      <c r="K26" s="10" t="str">
        <f aca="false">IF($B26="","",SUMIF('NHẬP ĐƠN HÀNG'!$C$6:$C$505,$B26,'NHẬP ĐƠN HÀNG'!$R$6:$R$505))</f>
        <v/>
      </c>
      <c r="L26" s="10" t="str">
        <f aca="false">IF($B26="","",SUMIF('NHẬP ĐƠN HÀNG'!$C$6:$C$505,$B26,'NHẬP ĐƠN HÀNG'!$U$6:$U$505))</f>
        <v/>
      </c>
      <c r="M26" s="34" t="str">
        <f aca="false">IF($B26="","",IF(SUMPRODUCT(MAX(('NHẬP ĐƠN HÀNG'!$C$6:$C$505=$B26)*'NHẬP ĐƠN HÀNG'!$B$6:$B$505))=0,"",SUMPRODUCT(MAX(('NHẬP ĐƠN HÀNG'!$C$6:$C$505=$B26)*'NHẬP ĐƠN HÀNG'!$B$6:$B$505))))</f>
        <v/>
      </c>
      <c r="N26" s="16" t="str">
        <f aca="false">IF($B26="","",IF($G26=0,"Chưa có đơn",IF(COUNTIFS('NHẬP ĐƠN HÀNG'!$C$6:$C$505,$B26,'NHẬP ĐƠN HÀNG'!$N$6:$N$505,"&gt;0")&gt;0,"Có lấy VAT","Không lấy VAT")))</f>
        <v/>
      </c>
    </row>
    <row r="27" customFormat="false" ht="15" hidden="false" customHeight="false" outlineLevel="0" collapsed="false">
      <c r="A27" s="16" t="str">
        <f aca="false">IF($B27="","",22)</f>
        <v/>
      </c>
      <c r="B27" s="16" t="str">
        <f aca="false">IFERROR(INDEX('NHẬP ĐƠN HÀNG'!$C$6:$C$505,MATCH(22,'NHẬP ĐƠN HÀNG'!$AB$6:$AB$505,0)),"")</f>
        <v/>
      </c>
      <c r="C27" s="16" t="str">
        <f aca="false">IF($B27="","",IFERROR(IF(INDEX('NHẬP ĐƠN HÀNG'!$D$6:$D$505,MATCH($B27,'NHẬP ĐƠN HÀNG'!$C$6:$C$505,0))="","",INDEX('NHẬP ĐƠN HÀNG'!$D$6:$D$505,MATCH($B27,'NHẬP ĐƠN HÀNG'!$C$6:$C$505,0))),""))</f>
        <v/>
      </c>
      <c r="D27" s="16" t="str">
        <f aca="false">IF($B27="","",IFERROR(IF(INDEX('NHẬP ĐƠN HÀNG'!$E$6:$E$505,MATCH($B27,'NHẬP ĐƠN HÀNG'!$C$6:$C$505,0))="","",INDEX('NHẬP ĐƠN HÀNG'!$E$6:$E$505,MATCH($B27,'NHẬP ĐƠN HÀNG'!$C$6:$C$505,0))),""))</f>
        <v/>
      </c>
      <c r="E27" s="16" t="str">
        <f aca="false">IF($B27="","",IFERROR(IF(INDEX('NHẬP ĐƠN HÀNG'!$F$6:$F$505,MATCH($B27,'NHẬP ĐƠN HÀNG'!$C$6:$C$505,0))="","",INDEX('NHẬP ĐƠN HÀNG'!$F$6:$F$505,MATCH($B27,'NHẬP ĐƠN HÀNG'!$C$6:$C$505,0))),""))</f>
        <v/>
      </c>
      <c r="F27" s="16" t="str">
        <f aca="false">IF($B27="","",IFERROR(IF(INDEX('NHẬP ĐƠN HÀNG'!$G$6:$G$505,MATCH($B27,'NHẬP ĐƠN HÀNG'!$C$6:$C$505,0))="","",INDEX('NHẬP ĐƠN HÀNG'!$G$6:$G$505,MATCH($B27,'NHẬP ĐƠN HÀNG'!$C$6:$C$505,0))),""))</f>
        <v/>
      </c>
      <c r="G27" s="10" t="str">
        <f aca="false">IF($B27="","",COUNTIFS('NHẬP ĐƠN HÀNG'!$C$6:$C$505,$B27,'NHẬP ĐƠN HÀNG'!$L$6:$L$505,"&gt;0"))</f>
        <v/>
      </c>
      <c r="H27" s="10" t="str">
        <f aca="false">IF($B27="","",SUMIF('NHẬP ĐƠN HÀNG'!$C$6:$C$505,$B27,'NHẬP ĐƠN HÀNG'!$L$6:$L$505))</f>
        <v/>
      </c>
      <c r="I27" s="10" t="str">
        <f aca="false">IF($B27="","",SUMIF('NHẬP ĐƠN HÀNG'!$C$6:$C$505,$B27,'NHẬP ĐƠN HÀNG'!$P$6:$P$505))</f>
        <v/>
      </c>
      <c r="J27" s="10" t="str">
        <f aca="false">IF($B27="","",SUMIF('NHẬP ĐƠN HÀNG'!$C$6:$C$505,$B27,'NHẬP ĐƠN HÀNG'!$Q$6:$Q$505))</f>
        <v/>
      </c>
      <c r="K27" s="10" t="str">
        <f aca="false">IF($B27="","",SUMIF('NHẬP ĐƠN HÀNG'!$C$6:$C$505,$B27,'NHẬP ĐƠN HÀNG'!$R$6:$R$505))</f>
        <v/>
      </c>
      <c r="L27" s="10" t="str">
        <f aca="false">IF($B27="","",SUMIF('NHẬP ĐƠN HÀNG'!$C$6:$C$505,$B27,'NHẬP ĐƠN HÀNG'!$U$6:$U$505))</f>
        <v/>
      </c>
      <c r="M27" s="34" t="str">
        <f aca="false">IF($B27="","",IF(SUMPRODUCT(MAX(('NHẬP ĐƠN HÀNG'!$C$6:$C$505=$B27)*'NHẬP ĐƠN HÀNG'!$B$6:$B$505))=0,"",SUMPRODUCT(MAX(('NHẬP ĐƠN HÀNG'!$C$6:$C$505=$B27)*'NHẬP ĐƠN HÀNG'!$B$6:$B$505))))</f>
        <v/>
      </c>
      <c r="N27" s="16" t="str">
        <f aca="false">IF($B27="","",IF($G27=0,"Chưa có đơn",IF(COUNTIFS('NHẬP ĐƠN HÀNG'!$C$6:$C$505,$B27,'NHẬP ĐƠN HÀNG'!$N$6:$N$505,"&gt;0")&gt;0,"Có lấy VAT","Không lấy VAT")))</f>
        <v/>
      </c>
    </row>
    <row r="28" customFormat="false" ht="15" hidden="false" customHeight="false" outlineLevel="0" collapsed="false">
      <c r="A28" s="16" t="str">
        <f aca="false">IF($B28="","",23)</f>
        <v/>
      </c>
      <c r="B28" s="16" t="str">
        <f aca="false">IFERROR(INDEX('NHẬP ĐƠN HÀNG'!$C$6:$C$505,MATCH(23,'NHẬP ĐƠN HÀNG'!$AB$6:$AB$505,0)),"")</f>
        <v/>
      </c>
      <c r="C28" s="16" t="str">
        <f aca="false">IF($B28="","",IFERROR(IF(INDEX('NHẬP ĐƠN HÀNG'!$D$6:$D$505,MATCH($B28,'NHẬP ĐƠN HÀNG'!$C$6:$C$505,0))="","",INDEX('NHẬP ĐƠN HÀNG'!$D$6:$D$505,MATCH($B28,'NHẬP ĐƠN HÀNG'!$C$6:$C$505,0))),""))</f>
        <v/>
      </c>
      <c r="D28" s="16" t="str">
        <f aca="false">IF($B28="","",IFERROR(IF(INDEX('NHẬP ĐƠN HÀNG'!$E$6:$E$505,MATCH($B28,'NHẬP ĐƠN HÀNG'!$C$6:$C$505,0))="","",INDEX('NHẬP ĐƠN HÀNG'!$E$6:$E$505,MATCH($B28,'NHẬP ĐƠN HÀNG'!$C$6:$C$505,0))),""))</f>
        <v/>
      </c>
      <c r="E28" s="16" t="str">
        <f aca="false">IF($B28="","",IFERROR(IF(INDEX('NHẬP ĐƠN HÀNG'!$F$6:$F$505,MATCH($B28,'NHẬP ĐƠN HÀNG'!$C$6:$C$505,0))="","",INDEX('NHẬP ĐƠN HÀNG'!$F$6:$F$505,MATCH($B28,'NHẬP ĐƠN HÀNG'!$C$6:$C$505,0))),""))</f>
        <v/>
      </c>
      <c r="F28" s="16" t="str">
        <f aca="false">IF($B28="","",IFERROR(IF(INDEX('NHẬP ĐƠN HÀNG'!$G$6:$G$505,MATCH($B28,'NHẬP ĐƠN HÀNG'!$C$6:$C$505,0))="","",INDEX('NHẬP ĐƠN HÀNG'!$G$6:$G$505,MATCH($B28,'NHẬP ĐƠN HÀNG'!$C$6:$C$505,0))),""))</f>
        <v/>
      </c>
      <c r="G28" s="10" t="str">
        <f aca="false">IF($B28="","",COUNTIFS('NHẬP ĐƠN HÀNG'!$C$6:$C$505,$B28,'NHẬP ĐƠN HÀNG'!$L$6:$L$505,"&gt;0"))</f>
        <v/>
      </c>
      <c r="H28" s="10" t="str">
        <f aca="false">IF($B28="","",SUMIF('NHẬP ĐƠN HÀNG'!$C$6:$C$505,$B28,'NHẬP ĐƠN HÀNG'!$L$6:$L$505))</f>
        <v/>
      </c>
      <c r="I28" s="10" t="str">
        <f aca="false">IF($B28="","",SUMIF('NHẬP ĐƠN HÀNG'!$C$6:$C$505,$B28,'NHẬP ĐƠN HÀNG'!$P$6:$P$505))</f>
        <v/>
      </c>
      <c r="J28" s="10" t="str">
        <f aca="false">IF($B28="","",SUMIF('NHẬP ĐƠN HÀNG'!$C$6:$C$505,$B28,'NHẬP ĐƠN HÀNG'!$Q$6:$Q$505))</f>
        <v/>
      </c>
      <c r="K28" s="10" t="str">
        <f aca="false">IF($B28="","",SUMIF('NHẬP ĐƠN HÀNG'!$C$6:$C$505,$B28,'NHẬP ĐƠN HÀNG'!$R$6:$R$505))</f>
        <v/>
      </c>
      <c r="L28" s="10" t="str">
        <f aca="false">IF($B28="","",SUMIF('NHẬP ĐƠN HÀNG'!$C$6:$C$505,$B28,'NHẬP ĐƠN HÀNG'!$U$6:$U$505))</f>
        <v/>
      </c>
      <c r="M28" s="34" t="str">
        <f aca="false">IF($B28="","",IF(SUMPRODUCT(MAX(('NHẬP ĐƠN HÀNG'!$C$6:$C$505=$B28)*'NHẬP ĐƠN HÀNG'!$B$6:$B$505))=0,"",SUMPRODUCT(MAX(('NHẬP ĐƠN HÀNG'!$C$6:$C$505=$B28)*'NHẬP ĐƠN HÀNG'!$B$6:$B$505))))</f>
        <v/>
      </c>
      <c r="N28" s="16" t="str">
        <f aca="false">IF($B28="","",IF($G28=0,"Chưa có đơn",IF(COUNTIFS('NHẬP ĐƠN HÀNG'!$C$6:$C$505,$B28,'NHẬP ĐƠN HÀNG'!$N$6:$N$505,"&gt;0")&gt;0,"Có lấy VAT","Không lấy VAT")))</f>
        <v/>
      </c>
    </row>
    <row r="29" customFormat="false" ht="15" hidden="false" customHeight="false" outlineLevel="0" collapsed="false">
      <c r="A29" s="16" t="str">
        <f aca="false">IF($B29="","",24)</f>
        <v/>
      </c>
      <c r="B29" s="16" t="str">
        <f aca="false">IFERROR(INDEX('NHẬP ĐƠN HÀNG'!$C$6:$C$505,MATCH(24,'NHẬP ĐƠN HÀNG'!$AB$6:$AB$505,0)),"")</f>
        <v/>
      </c>
      <c r="C29" s="16" t="str">
        <f aca="false">IF($B29="","",IFERROR(IF(INDEX('NHẬP ĐƠN HÀNG'!$D$6:$D$505,MATCH($B29,'NHẬP ĐƠN HÀNG'!$C$6:$C$505,0))="","",INDEX('NHẬP ĐƠN HÀNG'!$D$6:$D$505,MATCH($B29,'NHẬP ĐƠN HÀNG'!$C$6:$C$505,0))),""))</f>
        <v/>
      </c>
      <c r="D29" s="16" t="str">
        <f aca="false">IF($B29="","",IFERROR(IF(INDEX('NHẬP ĐƠN HÀNG'!$E$6:$E$505,MATCH($B29,'NHẬP ĐƠN HÀNG'!$C$6:$C$505,0))="","",INDEX('NHẬP ĐƠN HÀNG'!$E$6:$E$505,MATCH($B29,'NHẬP ĐƠN HÀNG'!$C$6:$C$505,0))),""))</f>
        <v/>
      </c>
      <c r="E29" s="16" t="str">
        <f aca="false">IF($B29="","",IFERROR(IF(INDEX('NHẬP ĐƠN HÀNG'!$F$6:$F$505,MATCH($B29,'NHẬP ĐƠN HÀNG'!$C$6:$C$505,0))="","",INDEX('NHẬP ĐƠN HÀNG'!$F$6:$F$505,MATCH($B29,'NHẬP ĐƠN HÀNG'!$C$6:$C$505,0))),""))</f>
        <v/>
      </c>
      <c r="F29" s="16" t="str">
        <f aca="false">IF($B29="","",IFERROR(IF(INDEX('NHẬP ĐƠN HÀNG'!$G$6:$G$505,MATCH($B29,'NHẬP ĐƠN HÀNG'!$C$6:$C$505,0))="","",INDEX('NHẬP ĐƠN HÀNG'!$G$6:$G$505,MATCH($B29,'NHẬP ĐƠN HÀNG'!$C$6:$C$505,0))),""))</f>
        <v/>
      </c>
      <c r="G29" s="10" t="str">
        <f aca="false">IF($B29="","",COUNTIFS('NHẬP ĐƠN HÀNG'!$C$6:$C$505,$B29,'NHẬP ĐƠN HÀNG'!$L$6:$L$505,"&gt;0"))</f>
        <v/>
      </c>
      <c r="H29" s="10" t="str">
        <f aca="false">IF($B29="","",SUMIF('NHẬP ĐƠN HÀNG'!$C$6:$C$505,$B29,'NHẬP ĐƠN HÀNG'!$L$6:$L$505))</f>
        <v/>
      </c>
      <c r="I29" s="10" t="str">
        <f aca="false">IF($B29="","",SUMIF('NHẬP ĐƠN HÀNG'!$C$6:$C$505,$B29,'NHẬP ĐƠN HÀNG'!$P$6:$P$505))</f>
        <v/>
      </c>
      <c r="J29" s="10" t="str">
        <f aca="false">IF($B29="","",SUMIF('NHẬP ĐƠN HÀNG'!$C$6:$C$505,$B29,'NHẬP ĐƠN HÀNG'!$Q$6:$Q$505))</f>
        <v/>
      </c>
      <c r="K29" s="10" t="str">
        <f aca="false">IF($B29="","",SUMIF('NHẬP ĐƠN HÀNG'!$C$6:$C$505,$B29,'NHẬP ĐƠN HÀNG'!$R$6:$R$505))</f>
        <v/>
      </c>
      <c r="L29" s="10" t="str">
        <f aca="false">IF($B29="","",SUMIF('NHẬP ĐƠN HÀNG'!$C$6:$C$505,$B29,'NHẬP ĐƠN HÀNG'!$U$6:$U$505))</f>
        <v/>
      </c>
      <c r="M29" s="34" t="str">
        <f aca="false">IF($B29="","",IF(SUMPRODUCT(MAX(('NHẬP ĐƠN HÀNG'!$C$6:$C$505=$B29)*'NHẬP ĐƠN HÀNG'!$B$6:$B$505))=0,"",SUMPRODUCT(MAX(('NHẬP ĐƠN HÀNG'!$C$6:$C$505=$B29)*'NHẬP ĐƠN HÀNG'!$B$6:$B$505))))</f>
        <v/>
      </c>
      <c r="N29" s="16" t="str">
        <f aca="false">IF($B29="","",IF($G29=0,"Chưa có đơn",IF(COUNTIFS('NHẬP ĐƠN HÀNG'!$C$6:$C$505,$B29,'NHẬP ĐƠN HÀNG'!$N$6:$N$505,"&gt;0")&gt;0,"Có lấy VAT","Không lấy VAT")))</f>
        <v/>
      </c>
    </row>
    <row r="30" customFormat="false" ht="15" hidden="false" customHeight="false" outlineLevel="0" collapsed="false">
      <c r="A30" s="16" t="str">
        <f aca="false">IF($B30="","",25)</f>
        <v/>
      </c>
      <c r="B30" s="16" t="str">
        <f aca="false">IFERROR(INDEX('NHẬP ĐƠN HÀNG'!$C$6:$C$505,MATCH(25,'NHẬP ĐƠN HÀNG'!$AB$6:$AB$505,0)),"")</f>
        <v/>
      </c>
      <c r="C30" s="16" t="str">
        <f aca="false">IF($B30="","",IFERROR(IF(INDEX('NHẬP ĐƠN HÀNG'!$D$6:$D$505,MATCH($B30,'NHẬP ĐƠN HÀNG'!$C$6:$C$505,0))="","",INDEX('NHẬP ĐƠN HÀNG'!$D$6:$D$505,MATCH($B30,'NHẬP ĐƠN HÀNG'!$C$6:$C$505,0))),""))</f>
        <v/>
      </c>
      <c r="D30" s="16" t="str">
        <f aca="false">IF($B30="","",IFERROR(IF(INDEX('NHẬP ĐƠN HÀNG'!$E$6:$E$505,MATCH($B30,'NHẬP ĐƠN HÀNG'!$C$6:$C$505,0))="","",INDEX('NHẬP ĐƠN HÀNG'!$E$6:$E$505,MATCH($B30,'NHẬP ĐƠN HÀNG'!$C$6:$C$505,0))),""))</f>
        <v/>
      </c>
      <c r="E30" s="16" t="str">
        <f aca="false">IF($B30="","",IFERROR(IF(INDEX('NHẬP ĐƠN HÀNG'!$F$6:$F$505,MATCH($B30,'NHẬP ĐƠN HÀNG'!$C$6:$C$505,0))="","",INDEX('NHẬP ĐƠN HÀNG'!$F$6:$F$505,MATCH($B30,'NHẬP ĐƠN HÀNG'!$C$6:$C$505,0))),""))</f>
        <v/>
      </c>
      <c r="F30" s="16" t="str">
        <f aca="false">IF($B30="","",IFERROR(IF(INDEX('NHẬP ĐƠN HÀNG'!$G$6:$G$505,MATCH($B30,'NHẬP ĐƠN HÀNG'!$C$6:$C$505,0))="","",INDEX('NHẬP ĐƠN HÀNG'!$G$6:$G$505,MATCH($B30,'NHẬP ĐƠN HÀNG'!$C$6:$C$505,0))),""))</f>
        <v/>
      </c>
      <c r="G30" s="10" t="str">
        <f aca="false">IF($B30="","",COUNTIFS('NHẬP ĐƠN HÀNG'!$C$6:$C$505,$B30,'NHẬP ĐƠN HÀNG'!$L$6:$L$505,"&gt;0"))</f>
        <v/>
      </c>
      <c r="H30" s="10" t="str">
        <f aca="false">IF($B30="","",SUMIF('NHẬP ĐƠN HÀNG'!$C$6:$C$505,$B30,'NHẬP ĐƠN HÀNG'!$L$6:$L$505))</f>
        <v/>
      </c>
      <c r="I30" s="10" t="str">
        <f aca="false">IF($B30="","",SUMIF('NHẬP ĐƠN HÀNG'!$C$6:$C$505,$B30,'NHẬP ĐƠN HÀNG'!$P$6:$P$505))</f>
        <v/>
      </c>
      <c r="J30" s="10" t="str">
        <f aca="false">IF($B30="","",SUMIF('NHẬP ĐƠN HÀNG'!$C$6:$C$505,$B30,'NHẬP ĐƠN HÀNG'!$Q$6:$Q$505))</f>
        <v/>
      </c>
      <c r="K30" s="10" t="str">
        <f aca="false">IF($B30="","",SUMIF('NHẬP ĐƠN HÀNG'!$C$6:$C$505,$B30,'NHẬP ĐƠN HÀNG'!$R$6:$R$505))</f>
        <v/>
      </c>
      <c r="L30" s="10" t="str">
        <f aca="false">IF($B30="","",SUMIF('NHẬP ĐƠN HÀNG'!$C$6:$C$505,$B30,'NHẬP ĐƠN HÀNG'!$U$6:$U$505))</f>
        <v/>
      </c>
      <c r="M30" s="34" t="str">
        <f aca="false">IF($B30="","",IF(SUMPRODUCT(MAX(('NHẬP ĐƠN HÀNG'!$C$6:$C$505=$B30)*'NHẬP ĐƠN HÀNG'!$B$6:$B$505))=0,"",SUMPRODUCT(MAX(('NHẬP ĐƠN HÀNG'!$C$6:$C$505=$B30)*'NHẬP ĐƠN HÀNG'!$B$6:$B$505))))</f>
        <v/>
      </c>
      <c r="N30" s="16" t="str">
        <f aca="false">IF($B30="","",IF($G30=0,"Chưa có đơn",IF(COUNTIFS('NHẬP ĐƠN HÀNG'!$C$6:$C$505,$B30,'NHẬP ĐƠN HÀNG'!$N$6:$N$505,"&gt;0")&gt;0,"Có lấy VAT","Không lấy VAT")))</f>
        <v/>
      </c>
    </row>
    <row r="31" customFormat="false" ht="15" hidden="false" customHeight="false" outlineLevel="0" collapsed="false">
      <c r="A31" s="16" t="str">
        <f aca="false">IF($B31="","",26)</f>
        <v/>
      </c>
      <c r="B31" s="16" t="str">
        <f aca="false">IFERROR(INDEX('NHẬP ĐƠN HÀNG'!$C$6:$C$505,MATCH(26,'NHẬP ĐƠN HÀNG'!$AB$6:$AB$505,0)),"")</f>
        <v/>
      </c>
      <c r="C31" s="16" t="str">
        <f aca="false">IF($B31="","",IFERROR(IF(INDEX('NHẬP ĐƠN HÀNG'!$D$6:$D$505,MATCH($B31,'NHẬP ĐƠN HÀNG'!$C$6:$C$505,0))="","",INDEX('NHẬP ĐƠN HÀNG'!$D$6:$D$505,MATCH($B31,'NHẬP ĐƠN HÀNG'!$C$6:$C$505,0))),""))</f>
        <v/>
      </c>
      <c r="D31" s="16" t="str">
        <f aca="false">IF($B31="","",IFERROR(IF(INDEX('NHẬP ĐƠN HÀNG'!$E$6:$E$505,MATCH($B31,'NHẬP ĐƠN HÀNG'!$C$6:$C$505,0))="","",INDEX('NHẬP ĐƠN HÀNG'!$E$6:$E$505,MATCH($B31,'NHẬP ĐƠN HÀNG'!$C$6:$C$505,0))),""))</f>
        <v/>
      </c>
      <c r="E31" s="16" t="str">
        <f aca="false">IF($B31="","",IFERROR(IF(INDEX('NHẬP ĐƠN HÀNG'!$F$6:$F$505,MATCH($B31,'NHẬP ĐƠN HÀNG'!$C$6:$C$505,0))="","",INDEX('NHẬP ĐƠN HÀNG'!$F$6:$F$505,MATCH($B31,'NHẬP ĐƠN HÀNG'!$C$6:$C$505,0))),""))</f>
        <v/>
      </c>
      <c r="F31" s="16" t="str">
        <f aca="false">IF($B31="","",IFERROR(IF(INDEX('NHẬP ĐƠN HÀNG'!$G$6:$G$505,MATCH($B31,'NHẬP ĐƠN HÀNG'!$C$6:$C$505,0))="","",INDEX('NHẬP ĐƠN HÀNG'!$G$6:$G$505,MATCH($B31,'NHẬP ĐƠN HÀNG'!$C$6:$C$505,0))),""))</f>
        <v/>
      </c>
      <c r="G31" s="10" t="str">
        <f aca="false">IF($B31="","",COUNTIFS('NHẬP ĐƠN HÀNG'!$C$6:$C$505,$B31,'NHẬP ĐƠN HÀNG'!$L$6:$L$505,"&gt;0"))</f>
        <v/>
      </c>
      <c r="H31" s="10" t="str">
        <f aca="false">IF($B31="","",SUMIF('NHẬP ĐƠN HÀNG'!$C$6:$C$505,$B31,'NHẬP ĐƠN HÀNG'!$L$6:$L$505))</f>
        <v/>
      </c>
      <c r="I31" s="10" t="str">
        <f aca="false">IF($B31="","",SUMIF('NHẬP ĐƠN HÀNG'!$C$6:$C$505,$B31,'NHẬP ĐƠN HÀNG'!$P$6:$P$505))</f>
        <v/>
      </c>
      <c r="J31" s="10" t="str">
        <f aca="false">IF($B31="","",SUMIF('NHẬP ĐƠN HÀNG'!$C$6:$C$505,$B31,'NHẬP ĐƠN HÀNG'!$Q$6:$Q$505))</f>
        <v/>
      </c>
      <c r="K31" s="10" t="str">
        <f aca="false">IF($B31="","",SUMIF('NHẬP ĐƠN HÀNG'!$C$6:$C$505,$B31,'NHẬP ĐƠN HÀNG'!$R$6:$R$505))</f>
        <v/>
      </c>
      <c r="L31" s="10" t="str">
        <f aca="false">IF($B31="","",SUMIF('NHẬP ĐƠN HÀNG'!$C$6:$C$505,$B31,'NHẬP ĐƠN HÀNG'!$U$6:$U$505))</f>
        <v/>
      </c>
      <c r="M31" s="34" t="str">
        <f aca="false">IF($B31="","",IF(SUMPRODUCT(MAX(('NHẬP ĐƠN HÀNG'!$C$6:$C$505=$B31)*'NHẬP ĐƠN HÀNG'!$B$6:$B$505))=0,"",SUMPRODUCT(MAX(('NHẬP ĐƠN HÀNG'!$C$6:$C$505=$B31)*'NHẬP ĐƠN HÀNG'!$B$6:$B$505))))</f>
        <v/>
      </c>
      <c r="N31" s="16" t="str">
        <f aca="false">IF($B31="","",IF($G31=0,"Chưa có đơn",IF(COUNTIFS('NHẬP ĐƠN HÀNG'!$C$6:$C$505,$B31,'NHẬP ĐƠN HÀNG'!$N$6:$N$505,"&gt;0")&gt;0,"Có lấy VAT","Không lấy VAT")))</f>
        <v/>
      </c>
    </row>
    <row r="32" customFormat="false" ht="15" hidden="false" customHeight="false" outlineLevel="0" collapsed="false">
      <c r="A32" s="16" t="str">
        <f aca="false">IF($B32="","",27)</f>
        <v/>
      </c>
      <c r="B32" s="16" t="str">
        <f aca="false">IFERROR(INDEX('NHẬP ĐƠN HÀNG'!$C$6:$C$505,MATCH(27,'NHẬP ĐƠN HÀNG'!$AB$6:$AB$505,0)),"")</f>
        <v/>
      </c>
      <c r="C32" s="16" t="str">
        <f aca="false">IF($B32="","",IFERROR(IF(INDEX('NHẬP ĐƠN HÀNG'!$D$6:$D$505,MATCH($B32,'NHẬP ĐƠN HÀNG'!$C$6:$C$505,0))="","",INDEX('NHẬP ĐƠN HÀNG'!$D$6:$D$505,MATCH($B32,'NHẬP ĐƠN HÀNG'!$C$6:$C$505,0))),""))</f>
        <v/>
      </c>
      <c r="D32" s="16" t="str">
        <f aca="false">IF($B32="","",IFERROR(IF(INDEX('NHẬP ĐƠN HÀNG'!$E$6:$E$505,MATCH($B32,'NHẬP ĐƠN HÀNG'!$C$6:$C$505,0))="","",INDEX('NHẬP ĐƠN HÀNG'!$E$6:$E$505,MATCH($B32,'NHẬP ĐƠN HÀNG'!$C$6:$C$505,0))),""))</f>
        <v/>
      </c>
      <c r="E32" s="16" t="str">
        <f aca="false">IF($B32="","",IFERROR(IF(INDEX('NHẬP ĐƠN HÀNG'!$F$6:$F$505,MATCH($B32,'NHẬP ĐƠN HÀNG'!$C$6:$C$505,0))="","",INDEX('NHẬP ĐƠN HÀNG'!$F$6:$F$505,MATCH($B32,'NHẬP ĐƠN HÀNG'!$C$6:$C$505,0))),""))</f>
        <v/>
      </c>
      <c r="F32" s="16" t="str">
        <f aca="false">IF($B32="","",IFERROR(IF(INDEX('NHẬP ĐƠN HÀNG'!$G$6:$G$505,MATCH($B32,'NHẬP ĐƠN HÀNG'!$C$6:$C$505,0))="","",INDEX('NHẬP ĐƠN HÀNG'!$G$6:$G$505,MATCH($B32,'NHẬP ĐƠN HÀNG'!$C$6:$C$505,0))),""))</f>
        <v/>
      </c>
      <c r="G32" s="10" t="str">
        <f aca="false">IF($B32="","",COUNTIFS('NHẬP ĐƠN HÀNG'!$C$6:$C$505,$B32,'NHẬP ĐƠN HÀNG'!$L$6:$L$505,"&gt;0"))</f>
        <v/>
      </c>
      <c r="H32" s="10" t="str">
        <f aca="false">IF($B32="","",SUMIF('NHẬP ĐƠN HÀNG'!$C$6:$C$505,$B32,'NHẬP ĐƠN HÀNG'!$L$6:$L$505))</f>
        <v/>
      </c>
      <c r="I32" s="10" t="str">
        <f aca="false">IF($B32="","",SUMIF('NHẬP ĐƠN HÀNG'!$C$6:$C$505,$B32,'NHẬP ĐƠN HÀNG'!$P$6:$P$505))</f>
        <v/>
      </c>
      <c r="J32" s="10" t="str">
        <f aca="false">IF($B32="","",SUMIF('NHẬP ĐƠN HÀNG'!$C$6:$C$505,$B32,'NHẬP ĐƠN HÀNG'!$Q$6:$Q$505))</f>
        <v/>
      </c>
      <c r="K32" s="10" t="str">
        <f aca="false">IF($B32="","",SUMIF('NHẬP ĐƠN HÀNG'!$C$6:$C$505,$B32,'NHẬP ĐƠN HÀNG'!$R$6:$R$505))</f>
        <v/>
      </c>
      <c r="L32" s="10" t="str">
        <f aca="false">IF($B32="","",SUMIF('NHẬP ĐƠN HÀNG'!$C$6:$C$505,$B32,'NHẬP ĐƠN HÀNG'!$U$6:$U$505))</f>
        <v/>
      </c>
      <c r="M32" s="34" t="str">
        <f aca="false">IF($B32="","",IF(SUMPRODUCT(MAX(('NHẬP ĐƠN HÀNG'!$C$6:$C$505=$B32)*'NHẬP ĐƠN HÀNG'!$B$6:$B$505))=0,"",SUMPRODUCT(MAX(('NHẬP ĐƠN HÀNG'!$C$6:$C$505=$B32)*'NHẬP ĐƠN HÀNG'!$B$6:$B$505))))</f>
        <v/>
      </c>
      <c r="N32" s="16" t="str">
        <f aca="false">IF($B32="","",IF($G32=0,"Chưa có đơn",IF(COUNTIFS('NHẬP ĐƠN HÀNG'!$C$6:$C$505,$B32,'NHẬP ĐƠN HÀNG'!$N$6:$N$505,"&gt;0")&gt;0,"Có lấy VAT","Không lấy VAT")))</f>
        <v/>
      </c>
    </row>
    <row r="33" customFormat="false" ht="15" hidden="false" customHeight="false" outlineLevel="0" collapsed="false">
      <c r="A33" s="16" t="str">
        <f aca="false">IF($B33="","",28)</f>
        <v/>
      </c>
      <c r="B33" s="16" t="str">
        <f aca="false">IFERROR(INDEX('NHẬP ĐƠN HÀNG'!$C$6:$C$505,MATCH(28,'NHẬP ĐƠN HÀNG'!$AB$6:$AB$505,0)),"")</f>
        <v/>
      </c>
      <c r="C33" s="16" t="str">
        <f aca="false">IF($B33="","",IFERROR(IF(INDEX('NHẬP ĐƠN HÀNG'!$D$6:$D$505,MATCH($B33,'NHẬP ĐƠN HÀNG'!$C$6:$C$505,0))="","",INDEX('NHẬP ĐƠN HÀNG'!$D$6:$D$505,MATCH($B33,'NHẬP ĐƠN HÀNG'!$C$6:$C$505,0))),""))</f>
        <v/>
      </c>
      <c r="D33" s="16" t="str">
        <f aca="false">IF($B33="","",IFERROR(IF(INDEX('NHẬP ĐƠN HÀNG'!$E$6:$E$505,MATCH($B33,'NHẬP ĐƠN HÀNG'!$C$6:$C$505,0))="","",INDEX('NHẬP ĐƠN HÀNG'!$E$6:$E$505,MATCH($B33,'NHẬP ĐƠN HÀNG'!$C$6:$C$505,0))),""))</f>
        <v/>
      </c>
      <c r="E33" s="16" t="str">
        <f aca="false">IF($B33="","",IFERROR(IF(INDEX('NHẬP ĐƠN HÀNG'!$F$6:$F$505,MATCH($B33,'NHẬP ĐƠN HÀNG'!$C$6:$C$505,0))="","",INDEX('NHẬP ĐƠN HÀNG'!$F$6:$F$505,MATCH($B33,'NHẬP ĐƠN HÀNG'!$C$6:$C$505,0))),""))</f>
        <v/>
      </c>
      <c r="F33" s="16" t="str">
        <f aca="false">IF($B33="","",IFERROR(IF(INDEX('NHẬP ĐƠN HÀNG'!$G$6:$G$505,MATCH($B33,'NHẬP ĐƠN HÀNG'!$C$6:$C$505,0))="","",INDEX('NHẬP ĐƠN HÀNG'!$G$6:$G$505,MATCH($B33,'NHẬP ĐƠN HÀNG'!$C$6:$C$505,0))),""))</f>
        <v/>
      </c>
      <c r="G33" s="10" t="str">
        <f aca="false">IF($B33="","",COUNTIFS('NHẬP ĐƠN HÀNG'!$C$6:$C$505,$B33,'NHẬP ĐƠN HÀNG'!$L$6:$L$505,"&gt;0"))</f>
        <v/>
      </c>
      <c r="H33" s="10" t="str">
        <f aca="false">IF($B33="","",SUMIF('NHẬP ĐƠN HÀNG'!$C$6:$C$505,$B33,'NHẬP ĐƠN HÀNG'!$L$6:$L$505))</f>
        <v/>
      </c>
      <c r="I33" s="10" t="str">
        <f aca="false">IF($B33="","",SUMIF('NHẬP ĐƠN HÀNG'!$C$6:$C$505,$B33,'NHẬP ĐƠN HÀNG'!$P$6:$P$505))</f>
        <v/>
      </c>
      <c r="J33" s="10" t="str">
        <f aca="false">IF($B33="","",SUMIF('NHẬP ĐƠN HÀNG'!$C$6:$C$505,$B33,'NHẬP ĐƠN HÀNG'!$Q$6:$Q$505))</f>
        <v/>
      </c>
      <c r="K33" s="10" t="str">
        <f aca="false">IF($B33="","",SUMIF('NHẬP ĐƠN HÀNG'!$C$6:$C$505,$B33,'NHẬP ĐƠN HÀNG'!$R$6:$R$505))</f>
        <v/>
      </c>
      <c r="L33" s="10" t="str">
        <f aca="false">IF($B33="","",SUMIF('NHẬP ĐƠN HÀNG'!$C$6:$C$505,$B33,'NHẬP ĐƠN HÀNG'!$U$6:$U$505))</f>
        <v/>
      </c>
      <c r="M33" s="34" t="str">
        <f aca="false">IF($B33="","",IF(SUMPRODUCT(MAX(('NHẬP ĐƠN HÀNG'!$C$6:$C$505=$B33)*'NHẬP ĐƠN HÀNG'!$B$6:$B$505))=0,"",SUMPRODUCT(MAX(('NHẬP ĐƠN HÀNG'!$C$6:$C$505=$B33)*'NHẬP ĐƠN HÀNG'!$B$6:$B$505))))</f>
        <v/>
      </c>
      <c r="N33" s="16" t="str">
        <f aca="false">IF($B33="","",IF($G33=0,"Chưa có đơn",IF(COUNTIFS('NHẬP ĐƠN HÀNG'!$C$6:$C$505,$B33,'NHẬP ĐƠN HÀNG'!$N$6:$N$505,"&gt;0")&gt;0,"Có lấy VAT","Không lấy VAT")))</f>
        <v/>
      </c>
    </row>
    <row r="34" customFormat="false" ht="15" hidden="false" customHeight="false" outlineLevel="0" collapsed="false">
      <c r="A34" s="16" t="str">
        <f aca="false">IF($B34="","",29)</f>
        <v/>
      </c>
      <c r="B34" s="16" t="str">
        <f aca="false">IFERROR(INDEX('NHẬP ĐƠN HÀNG'!$C$6:$C$505,MATCH(29,'NHẬP ĐƠN HÀNG'!$AB$6:$AB$505,0)),"")</f>
        <v/>
      </c>
      <c r="C34" s="16" t="str">
        <f aca="false">IF($B34="","",IFERROR(IF(INDEX('NHẬP ĐƠN HÀNG'!$D$6:$D$505,MATCH($B34,'NHẬP ĐƠN HÀNG'!$C$6:$C$505,0))="","",INDEX('NHẬP ĐƠN HÀNG'!$D$6:$D$505,MATCH($B34,'NHẬP ĐƠN HÀNG'!$C$6:$C$505,0))),""))</f>
        <v/>
      </c>
      <c r="D34" s="16" t="str">
        <f aca="false">IF($B34="","",IFERROR(IF(INDEX('NHẬP ĐƠN HÀNG'!$E$6:$E$505,MATCH($B34,'NHẬP ĐƠN HÀNG'!$C$6:$C$505,0))="","",INDEX('NHẬP ĐƠN HÀNG'!$E$6:$E$505,MATCH($B34,'NHẬP ĐƠN HÀNG'!$C$6:$C$505,0))),""))</f>
        <v/>
      </c>
      <c r="E34" s="16" t="str">
        <f aca="false">IF($B34="","",IFERROR(IF(INDEX('NHẬP ĐƠN HÀNG'!$F$6:$F$505,MATCH($B34,'NHẬP ĐƠN HÀNG'!$C$6:$C$505,0))="","",INDEX('NHẬP ĐƠN HÀNG'!$F$6:$F$505,MATCH($B34,'NHẬP ĐƠN HÀNG'!$C$6:$C$505,0))),""))</f>
        <v/>
      </c>
      <c r="F34" s="16" t="str">
        <f aca="false">IF($B34="","",IFERROR(IF(INDEX('NHẬP ĐƠN HÀNG'!$G$6:$G$505,MATCH($B34,'NHẬP ĐƠN HÀNG'!$C$6:$C$505,0))="","",INDEX('NHẬP ĐƠN HÀNG'!$G$6:$G$505,MATCH($B34,'NHẬP ĐƠN HÀNG'!$C$6:$C$505,0))),""))</f>
        <v/>
      </c>
      <c r="G34" s="10" t="str">
        <f aca="false">IF($B34="","",COUNTIFS('NHẬP ĐƠN HÀNG'!$C$6:$C$505,$B34,'NHẬP ĐƠN HÀNG'!$L$6:$L$505,"&gt;0"))</f>
        <v/>
      </c>
      <c r="H34" s="10" t="str">
        <f aca="false">IF($B34="","",SUMIF('NHẬP ĐƠN HÀNG'!$C$6:$C$505,$B34,'NHẬP ĐƠN HÀNG'!$L$6:$L$505))</f>
        <v/>
      </c>
      <c r="I34" s="10" t="str">
        <f aca="false">IF($B34="","",SUMIF('NHẬP ĐƠN HÀNG'!$C$6:$C$505,$B34,'NHẬP ĐƠN HÀNG'!$P$6:$P$505))</f>
        <v/>
      </c>
      <c r="J34" s="10" t="str">
        <f aca="false">IF($B34="","",SUMIF('NHẬP ĐƠN HÀNG'!$C$6:$C$505,$B34,'NHẬP ĐƠN HÀNG'!$Q$6:$Q$505))</f>
        <v/>
      </c>
      <c r="K34" s="10" t="str">
        <f aca="false">IF($B34="","",SUMIF('NHẬP ĐƠN HÀNG'!$C$6:$C$505,$B34,'NHẬP ĐƠN HÀNG'!$R$6:$R$505))</f>
        <v/>
      </c>
      <c r="L34" s="10" t="str">
        <f aca="false">IF($B34="","",SUMIF('NHẬP ĐƠN HÀNG'!$C$6:$C$505,$B34,'NHẬP ĐƠN HÀNG'!$U$6:$U$505))</f>
        <v/>
      </c>
      <c r="M34" s="34" t="str">
        <f aca="false">IF($B34="","",IF(SUMPRODUCT(MAX(('NHẬP ĐƠN HÀNG'!$C$6:$C$505=$B34)*'NHẬP ĐƠN HÀNG'!$B$6:$B$505))=0,"",SUMPRODUCT(MAX(('NHẬP ĐƠN HÀNG'!$C$6:$C$505=$B34)*'NHẬP ĐƠN HÀNG'!$B$6:$B$505))))</f>
        <v/>
      </c>
      <c r="N34" s="16" t="str">
        <f aca="false">IF($B34="","",IF($G34=0,"Chưa có đơn",IF(COUNTIFS('NHẬP ĐƠN HÀNG'!$C$6:$C$505,$B34,'NHẬP ĐƠN HÀNG'!$N$6:$N$505,"&gt;0")&gt;0,"Có lấy VAT","Không lấy VAT")))</f>
        <v/>
      </c>
    </row>
    <row r="35" customFormat="false" ht="15" hidden="false" customHeight="false" outlineLevel="0" collapsed="false">
      <c r="A35" s="16" t="str">
        <f aca="false">IF($B35="","",30)</f>
        <v/>
      </c>
      <c r="B35" s="16" t="str">
        <f aca="false">IFERROR(INDEX('NHẬP ĐƠN HÀNG'!$C$6:$C$505,MATCH(30,'NHẬP ĐƠN HÀNG'!$AB$6:$AB$505,0)),"")</f>
        <v/>
      </c>
      <c r="C35" s="16" t="str">
        <f aca="false">IF($B35="","",IFERROR(IF(INDEX('NHẬP ĐƠN HÀNG'!$D$6:$D$505,MATCH($B35,'NHẬP ĐƠN HÀNG'!$C$6:$C$505,0))="","",INDEX('NHẬP ĐƠN HÀNG'!$D$6:$D$505,MATCH($B35,'NHẬP ĐƠN HÀNG'!$C$6:$C$505,0))),""))</f>
        <v/>
      </c>
      <c r="D35" s="16" t="str">
        <f aca="false">IF($B35="","",IFERROR(IF(INDEX('NHẬP ĐƠN HÀNG'!$E$6:$E$505,MATCH($B35,'NHẬP ĐƠN HÀNG'!$C$6:$C$505,0))="","",INDEX('NHẬP ĐƠN HÀNG'!$E$6:$E$505,MATCH($B35,'NHẬP ĐƠN HÀNG'!$C$6:$C$505,0))),""))</f>
        <v/>
      </c>
      <c r="E35" s="16" t="str">
        <f aca="false">IF($B35="","",IFERROR(IF(INDEX('NHẬP ĐƠN HÀNG'!$F$6:$F$505,MATCH($B35,'NHẬP ĐƠN HÀNG'!$C$6:$C$505,0))="","",INDEX('NHẬP ĐƠN HÀNG'!$F$6:$F$505,MATCH($B35,'NHẬP ĐƠN HÀNG'!$C$6:$C$505,0))),""))</f>
        <v/>
      </c>
      <c r="F35" s="16" t="str">
        <f aca="false">IF($B35="","",IFERROR(IF(INDEX('NHẬP ĐƠN HÀNG'!$G$6:$G$505,MATCH($B35,'NHẬP ĐƠN HÀNG'!$C$6:$C$505,0))="","",INDEX('NHẬP ĐƠN HÀNG'!$G$6:$G$505,MATCH($B35,'NHẬP ĐƠN HÀNG'!$C$6:$C$505,0))),""))</f>
        <v/>
      </c>
      <c r="G35" s="10" t="str">
        <f aca="false">IF($B35="","",COUNTIFS('NHẬP ĐƠN HÀNG'!$C$6:$C$505,$B35,'NHẬP ĐƠN HÀNG'!$L$6:$L$505,"&gt;0"))</f>
        <v/>
      </c>
      <c r="H35" s="10" t="str">
        <f aca="false">IF($B35="","",SUMIF('NHẬP ĐƠN HÀNG'!$C$6:$C$505,$B35,'NHẬP ĐƠN HÀNG'!$L$6:$L$505))</f>
        <v/>
      </c>
      <c r="I35" s="10" t="str">
        <f aca="false">IF($B35="","",SUMIF('NHẬP ĐƠN HÀNG'!$C$6:$C$505,$B35,'NHẬP ĐƠN HÀNG'!$P$6:$P$505))</f>
        <v/>
      </c>
      <c r="J35" s="10" t="str">
        <f aca="false">IF($B35="","",SUMIF('NHẬP ĐƠN HÀNG'!$C$6:$C$505,$B35,'NHẬP ĐƠN HÀNG'!$Q$6:$Q$505))</f>
        <v/>
      </c>
      <c r="K35" s="10" t="str">
        <f aca="false">IF($B35="","",SUMIF('NHẬP ĐƠN HÀNG'!$C$6:$C$505,$B35,'NHẬP ĐƠN HÀNG'!$R$6:$R$505))</f>
        <v/>
      </c>
      <c r="L35" s="10" t="str">
        <f aca="false">IF($B35="","",SUMIF('NHẬP ĐƠN HÀNG'!$C$6:$C$505,$B35,'NHẬP ĐƠN HÀNG'!$U$6:$U$505))</f>
        <v/>
      </c>
      <c r="M35" s="34" t="str">
        <f aca="false">IF($B35="","",IF(SUMPRODUCT(MAX(('NHẬP ĐƠN HÀNG'!$C$6:$C$505=$B35)*'NHẬP ĐƠN HÀNG'!$B$6:$B$505))=0,"",SUMPRODUCT(MAX(('NHẬP ĐƠN HÀNG'!$C$6:$C$505=$B35)*'NHẬP ĐƠN HÀNG'!$B$6:$B$505))))</f>
        <v/>
      </c>
      <c r="N35" s="16" t="str">
        <f aca="false">IF($B35="","",IF($G35=0,"Chưa có đơn",IF(COUNTIFS('NHẬP ĐƠN HÀNG'!$C$6:$C$505,$B35,'NHẬP ĐƠN HÀNG'!$N$6:$N$505,"&gt;0")&gt;0,"Có lấy VAT","Không lấy VAT")))</f>
        <v/>
      </c>
    </row>
    <row r="36" customFormat="false" ht="15" hidden="false" customHeight="false" outlineLevel="0" collapsed="false">
      <c r="A36" s="16" t="str">
        <f aca="false">IF($B36="","",31)</f>
        <v/>
      </c>
      <c r="B36" s="16" t="str">
        <f aca="false">IFERROR(INDEX('NHẬP ĐƠN HÀNG'!$C$6:$C$505,MATCH(31,'NHẬP ĐƠN HÀNG'!$AB$6:$AB$505,0)),"")</f>
        <v/>
      </c>
      <c r="C36" s="16" t="str">
        <f aca="false">IF($B36="","",IFERROR(IF(INDEX('NHẬP ĐƠN HÀNG'!$D$6:$D$505,MATCH($B36,'NHẬP ĐƠN HÀNG'!$C$6:$C$505,0))="","",INDEX('NHẬP ĐƠN HÀNG'!$D$6:$D$505,MATCH($B36,'NHẬP ĐƠN HÀNG'!$C$6:$C$505,0))),""))</f>
        <v/>
      </c>
      <c r="D36" s="16" t="str">
        <f aca="false">IF($B36="","",IFERROR(IF(INDEX('NHẬP ĐƠN HÀNG'!$E$6:$E$505,MATCH($B36,'NHẬP ĐƠN HÀNG'!$C$6:$C$505,0))="","",INDEX('NHẬP ĐƠN HÀNG'!$E$6:$E$505,MATCH($B36,'NHẬP ĐƠN HÀNG'!$C$6:$C$505,0))),""))</f>
        <v/>
      </c>
      <c r="E36" s="16" t="str">
        <f aca="false">IF($B36="","",IFERROR(IF(INDEX('NHẬP ĐƠN HÀNG'!$F$6:$F$505,MATCH($B36,'NHẬP ĐƠN HÀNG'!$C$6:$C$505,0))="","",INDEX('NHẬP ĐƠN HÀNG'!$F$6:$F$505,MATCH($B36,'NHẬP ĐƠN HÀNG'!$C$6:$C$505,0))),""))</f>
        <v/>
      </c>
      <c r="F36" s="16" t="str">
        <f aca="false">IF($B36="","",IFERROR(IF(INDEX('NHẬP ĐƠN HÀNG'!$G$6:$G$505,MATCH($B36,'NHẬP ĐƠN HÀNG'!$C$6:$C$505,0))="","",INDEX('NHẬP ĐƠN HÀNG'!$G$6:$G$505,MATCH($B36,'NHẬP ĐƠN HÀNG'!$C$6:$C$505,0))),""))</f>
        <v/>
      </c>
      <c r="G36" s="10" t="str">
        <f aca="false">IF($B36="","",COUNTIFS('NHẬP ĐƠN HÀNG'!$C$6:$C$505,$B36,'NHẬP ĐƠN HÀNG'!$L$6:$L$505,"&gt;0"))</f>
        <v/>
      </c>
      <c r="H36" s="10" t="str">
        <f aca="false">IF($B36="","",SUMIF('NHẬP ĐƠN HÀNG'!$C$6:$C$505,$B36,'NHẬP ĐƠN HÀNG'!$L$6:$L$505))</f>
        <v/>
      </c>
      <c r="I36" s="10" t="str">
        <f aca="false">IF($B36="","",SUMIF('NHẬP ĐƠN HÀNG'!$C$6:$C$505,$B36,'NHẬP ĐƠN HÀNG'!$P$6:$P$505))</f>
        <v/>
      </c>
      <c r="J36" s="10" t="str">
        <f aca="false">IF($B36="","",SUMIF('NHẬP ĐƠN HÀNG'!$C$6:$C$505,$B36,'NHẬP ĐƠN HÀNG'!$Q$6:$Q$505))</f>
        <v/>
      </c>
      <c r="K36" s="10" t="str">
        <f aca="false">IF($B36="","",SUMIF('NHẬP ĐƠN HÀNG'!$C$6:$C$505,$B36,'NHẬP ĐƠN HÀNG'!$R$6:$R$505))</f>
        <v/>
      </c>
      <c r="L36" s="10" t="str">
        <f aca="false">IF($B36="","",SUMIF('NHẬP ĐƠN HÀNG'!$C$6:$C$505,$B36,'NHẬP ĐƠN HÀNG'!$U$6:$U$505))</f>
        <v/>
      </c>
      <c r="M36" s="34" t="str">
        <f aca="false">IF($B36="","",IF(SUMPRODUCT(MAX(('NHẬP ĐƠN HÀNG'!$C$6:$C$505=$B36)*'NHẬP ĐƠN HÀNG'!$B$6:$B$505))=0,"",SUMPRODUCT(MAX(('NHẬP ĐƠN HÀNG'!$C$6:$C$505=$B36)*'NHẬP ĐƠN HÀNG'!$B$6:$B$505))))</f>
        <v/>
      </c>
      <c r="N36" s="16" t="str">
        <f aca="false">IF($B36="","",IF($G36=0,"Chưa có đơn",IF(COUNTIFS('NHẬP ĐƠN HÀNG'!$C$6:$C$505,$B36,'NHẬP ĐƠN HÀNG'!$N$6:$N$505,"&gt;0")&gt;0,"Có lấy VAT","Không lấy VAT")))</f>
        <v/>
      </c>
    </row>
    <row r="37" customFormat="false" ht="15" hidden="false" customHeight="false" outlineLevel="0" collapsed="false">
      <c r="A37" s="16" t="str">
        <f aca="false">IF($B37="","",32)</f>
        <v/>
      </c>
      <c r="B37" s="16" t="str">
        <f aca="false">IFERROR(INDEX('NHẬP ĐƠN HÀNG'!$C$6:$C$505,MATCH(32,'NHẬP ĐƠN HÀNG'!$AB$6:$AB$505,0)),"")</f>
        <v/>
      </c>
      <c r="C37" s="16" t="str">
        <f aca="false">IF($B37="","",IFERROR(IF(INDEX('NHẬP ĐƠN HÀNG'!$D$6:$D$505,MATCH($B37,'NHẬP ĐƠN HÀNG'!$C$6:$C$505,0))="","",INDEX('NHẬP ĐƠN HÀNG'!$D$6:$D$505,MATCH($B37,'NHẬP ĐƠN HÀNG'!$C$6:$C$505,0))),""))</f>
        <v/>
      </c>
      <c r="D37" s="16" t="str">
        <f aca="false">IF($B37="","",IFERROR(IF(INDEX('NHẬP ĐƠN HÀNG'!$E$6:$E$505,MATCH($B37,'NHẬP ĐƠN HÀNG'!$C$6:$C$505,0))="","",INDEX('NHẬP ĐƠN HÀNG'!$E$6:$E$505,MATCH($B37,'NHẬP ĐƠN HÀNG'!$C$6:$C$505,0))),""))</f>
        <v/>
      </c>
      <c r="E37" s="16" t="str">
        <f aca="false">IF($B37="","",IFERROR(IF(INDEX('NHẬP ĐƠN HÀNG'!$F$6:$F$505,MATCH($B37,'NHẬP ĐƠN HÀNG'!$C$6:$C$505,0))="","",INDEX('NHẬP ĐƠN HÀNG'!$F$6:$F$505,MATCH($B37,'NHẬP ĐƠN HÀNG'!$C$6:$C$505,0))),""))</f>
        <v/>
      </c>
      <c r="F37" s="16" t="str">
        <f aca="false">IF($B37="","",IFERROR(IF(INDEX('NHẬP ĐƠN HÀNG'!$G$6:$G$505,MATCH($B37,'NHẬP ĐƠN HÀNG'!$C$6:$C$505,0))="","",INDEX('NHẬP ĐƠN HÀNG'!$G$6:$G$505,MATCH($B37,'NHẬP ĐƠN HÀNG'!$C$6:$C$505,0))),""))</f>
        <v/>
      </c>
      <c r="G37" s="10" t="str">
        <f aca="false">IF($B37="","",COUNTIFS('NHẬP ĐƠN HÀNG'!$C$6:$C$505,$B37,'NHẬP ĐƠN HÀNG'!$L$6:$L$505,"&gt;0"))</f>
        <v/>
      </c>
      <c r="H37" s="10" t="str">
        <f aca="false">IF($B37="","",SUMIF('NHẬP ĐƠN HÀNG'!$C$6:$C$505,$B37,'NHẬP ĐƠN HÀNG'!$L$6:$L$505))</f>
        <v/>
      </c>
      <c r="I37" s="10" t="str">
        <f aca="false">IF($B37="","",SUMIF('NHẬP ĐƠN HÀNG'!$C$6:$C$505,$B37,'NHẬP ĐƠN HÀNG'!$P$6:$P$505))</f>
        <v/>
      </c>
      <c r="J37" s="10" t="str">
        <f aca="false">IF($B37="","",SUMIF('NHẬP ĐƠN HÀNG'!$C$6:$C$505,$B37,'NHẬP ĐƠN HÀNG'!$Q$6:$Q$505))</f>
        <v/>
      </c>
      <c r="K37" s="10" t="str">
        <f aca="false">IF($B37="","",SUMIF('NHẬP ĐƠN HÀNG'!$C$6:$C$505,$B37,'NHẬP ĐƠN HÀNG'!$R$6:$R$505))</f>
        <v/>
      </c>
      <c r="L37" s="10" t="str">
        <f aca="false">IF($B37="","",SUMIF('NHẬP ĐƠN HÀNG'!$C$6:$C$505,$B37,'NHẬP ĐƠN HÀNG'!$U$6:$U$505))</f>
        <v/>
      </c>
      <c r="M37" s="34" t="str">
        <f aca="false">IF($B37="","",IF(SUMPRODUCT(MAX(('NHẬP ĐƠN HÀNG'!$C$6:$C$505=$B37)*'NHẬP ĐƠN HÀNG'!$B$6:$B$505))=0,"",SUMPRODUCT(MAX(('NHẬP ĐƠN HÀNG'!$C$6:$C$505=$B37)*'NHẬP ĐƠN HÀNG'!$B$6:$B$505))))</f>
        <v/>
      </c>
      <c r="N37" s="16" t="str">
        <f aca="false">IF($B37="","",IF($G37=0,"Chưa có đơn",IF(COUNTIFS('NHẬP ĐƠN HÀNG'!$C$6:$C$505,$B37,'NHẬP ĐƠN HÀNG'!$N$6:$N$505,"&gt;0")&gt;0,"Có lấy VAT","Không lấy VAT")))</f>
        <v/>
      </c>
    </row>
    <row r="38" customFormat="false" ht="15" hidden="false" customHeight="false" outlineLevel="0" collapsed="false">
      <c r="A38" s="16" t="str">
        <f aca="false">IF($B38="","",33)</f>
        <v/>
      </c>
      <c r="B38" s="16" t="str">
        <f aca="false">IFERROR(INDEX('NHẬP ĐƠN HÀNG'!$C$6:$C$505,MATCH(33,'NHẬP ĐƠN HÀNG'!$AB$6:$AB$505,0)),"")</f>
        <v/>
      </c>
      <c r="C38" s="16" t="str">
        <f aca="false">IF($B38="","",IFERROR(IF(INDEX('NHẬP ĐƠN HÀNG'!$D$6:$D$505,MATCH($B38,'NHẬP ĐƠN HÀNG'!$C$6:$C$505,0))="","",INDEX('NHẬP ĐƠN HÀNG'!$D$6:$D$505,MATCH($B38,'NHẬP ĐƠN HÀNG'!$C$6:$C$505,0))),""))</f>
        <v/>
      </c>
      <c r="D38" s="16" t="str">
        <f aca="false">IF($B38="","",IFERROR(IF(INDEX('NHẬP ĐƠN HÀNG'!$E$6:$E$505,MATCH($B38,'NHẬP ĐƠN HÀNG'!$C$6:$C$505,0))="","",INDEX('NHẬP ĐƠN HÀNG'!$E$6:$E$505,MATCH($B38,'NHẬP ĐƠN HÀNG'!$C$6:$C$505,0))),""))</f>
        <v/>
      </c>
      <c r="E38" s="16" t="str">
        <f aca="false">IF($B38="","",IFERROR(IF(INDEX('NHẬP ĐƠN HÀNG'!$F$6:$F$505,MATCH($B38,'NHẬP ĐƠN HÀNG'!$C$6:$C$505,0))="","",INDEX('NHẬP ĐƠN HÀNG'!$F$6:$F$505,MATCH($B38,'NHẬP ĐƠN HÀNG'!$C$6:$C$505,0))),""))</f>
        <v/>
      </c>
      <c r="F38" s="16" t="str">
        <f aca="false">IF($B38="","",IFERROR(IF(INDEX('NHẬP ĐƠN HÀNG'!$G$6:$G$505,MATCH($B38,'NHẬP ĐƠN HÀNG'!$C$6:$C$505,0))="","",INDEX('NHẬP ĐƠN HÀNG'!$G$6:$G$505,MATCH($B38,'NHẬP ĐƠN HÀNG'!$C$6:$C$505,0))),""))</f>
        <v/>
      </c>
      <c r="G38" s="10" t="str">
        <f aca="false">IF($B38="","",COUNTIFS('NHẬP ĐƠN HÀNG'!$C$6:$C$505,$B38,'NHẬP ĐƠN HÀNG'!$L$6:$L$505,"&gt;0"))</f>
        <v/>
      </c>
      <c r="H38" s="10" t="str">
        <f aca="false">IF($B38="","",SUMIF('NHẬP ĐƠN HÀNG'!$C$6:$C$505,$B38,'NHẬP ĐƠN HÀNG'!$L$6:$L$505))</f>
        <v/>
      </c>
      <c r="I38" s="10" t="str">
        <f aca="false">IF($B38="","",SUMIF('NHẬP ĐƠN HÀNG'!$C$6:$C$505,$B38,'NHẬP ĐƠN HÀNG'!$P$6:$P$505))</f>
        <v/>
      </c>
      <c r="J38" s="10" t="str">
        <f aca="false">IF($B38="","",SUMIF('NHẬP ĐƠN HÀNG'!$C$6:$C$505,$B38,'NHẬP ĐƠN HÀNG'!$Q$6:$Q$505))</f>
        <v/>
      </c>
      <c r="K38" s="10" t="str">
        <f aca="false">IF($B38="","",SUMIF('NHẬP ĐƠN HÀNG'!$C$6:$C$505,$B38,'NHẬP ĐƠN HÀNG'!$R$6:$R$505))</f>
        <v/>
      </c>
      <c r="L38" s="10" t="str">
        <f aca="false">IF($B38="","",SUMIF('NHẬP ĐƠN HÀNG'!$C$6:$C$505,$B38,'NHẬP ĐƠN HÀNG'!$U$6:$U$505))</f>
        <v/>
      </c>
      <c r="M38" s="34" t="str">
        <f aca="false">IF($B38="","",IF(SUMPRODUCT(MAX(('NHẬP ĐƠN HÀNG'!$C$6:$C$505=$B38)*'NHẬP ĐƠN HÀNG'!$B$6:$B$505))=0,"",SUMPRODUCT(MAX(('NHẬP ĐƠN HÀNG'!$C$6:$C$505=$B38)*'NHẬP ĐƠN HÀNG'!$B$6:$B$505))))</f>
        <v/>
      </c>
      <c r="N38" s="16" t="str">
        <f aca="false">IF($B38="","",IF($G38=0,"Chưa có đơn",IF(COUNTIFS('NHẬP ĐƠN HÀNG'!$C$6:$C$505,$B38,'NHẬP ĐƠN HÀNG'!$N$6:$N$505,"&gt;0")&gt;0,"Có lấy VAT","Không lấy VAT")))</f>
        <v/>
      </c>
    </row>
    <row r="39" customFormat="false" ht="15" hidden="false" customHeight="false" outlineLevel="0" collapsed="false">
      <c r="A39" s="16" t="str">
        <f aca="false">IF($B39="","",34)</f>
        <v/>
      </c>
      <c r="B39" s="16" t="str">
        <f aca="false">IFERROR(INDEX('NHẬP ĐƠN HÀNG'!$C$6:$C$505,MATCH(34,'NHẬP ĐƠN HÀNG'!$AB$6:$AB$505,0)),"")</f>
        <v/>
      </c>
      <c r="C39" s="16" t="str">
        <f aca="false">IF($B39="","",IFERROR(IF(INDEX('NHẬP ĐƠN HÀNG'!$D$6:$D$505,MATCH($B39,'NHẬP ĐƠN HÀNG'!$C$6:$C$505,0))="","",INDEX('NHẬP ĐƠN HÀNG'!$D$6:$D$505,MATCH($B39,'NHẬP ĐƠN HÀNG'!$C$6:$C$505,0))),""))</f>
        <v/>
      </c>
      <c r="D39" s="16" t="str">
        <f aca="false">IF($B39="","",IFERROR(IF(INDEX('NHẬP ĐƠN HÀNG'!$E$6:$E$505,MATCH($B39,'NHẬP ĐƠN HÀNG'!$C$6:$C$505,0))="","",INDEX('NHẬP ĐƠN HÀNG'!$E$6:$E$505,MATCH($B39,'NHẬP ĐƠN HÀNG'!$C$6:$C$505,0))),""))</f>
        <v/>
      </c>
      <c r="E39" s="16" t="str">
        <f aca="false">IF($B39="","",IFERROR(IF(INDEX('NHẬP ĐƠN HÀNG'!$F$6:$F$505,MATCH($B39,'NHẬP ĐƠN HÀNG'!$C$6:$C$505,0))="","",INDEX('NHẬP ĐƠN HÀNG'!$F$6:$F$505,MATCH($B39,'NHẬP ĐƠN HÀNG'!$C$6:$C$505,0))),""))</f>
        <v/>
      </c>
      <c r="F39" s="16" t="str">
        <f aca="false">IF($B39="","",IFERROR(IF(INDEX('NHẬP ĐƠN HÀNG'!$G$6:$G$505,MATCH($B39,'NHẬP ĐƠN HÀNG'!$C$6:$C$505,0))="","",INDEX('NHẬP ĐƠN HÀNG'!$G$6:$G$505,MATCH($B39,'NHẬP ĐƠN HÀNG'!$C$6:$C$505,0))),""))</f>
        <v/>
      </c>
      <c r="G39" s="10" t="str">
        <f aca="false">IF($B39="","",COUNTIFS('NHẬP ĐƠN HÀNG'!$C$6:$C$505,$B39,'NHẬP ĐƠN HÀNG'!$L$6:$L$505,"&gt;0"))</f>
        <v/>
      </c>
      <c r="H39" s="10" t="str">
        <f aca="false">IF($B39="","",SUMIF('NHẬP ĐƠN HÀNG'!$C$6:$C$505,$B39,'NHẬP ĐƠN HÀNG'!$L$6:$L$505))</f>
        <v/>
      </c>
      <c r="I39" s="10" t="str">
        <f aca="false">IF($B39="","",SUMIF('NHẬP ĐƠN HÀNG'!$C$6:$C$505,$B39,'NHẬP ĐƠN HÀNG'!$P$6:$P$505))</f>
        <v/>
      </c>
      <c r="J39" s="10" t="str">
        <f aca="false">IF($B39="","",SUMIF('NHẬP ĐƠN HÀNG'!$C$6:$C$505,$B39,'NHẬP ĐƠN HÀNG'!$Q$6:$Q$505))</f>
        <v/>
      </c>
      <c r="K39" s="10" t="str">
        <f aca="false">IF($B39="","",SUMIF('NHẬP ĐƠN HÀNG'!$C$6:$C$505,$B39,'NHẬP ĐƠN HÀNG'!$R$6:$R$505))</f>
        <v/>
      </c>
      <c r="L39" s="10" t="str">
        <f aca="false">IF($B39="","",SUMIF('NHẬP ĐƠN HÀNG'!$C$6:$C$505,$B39,'NHẬP ĐƠN HÀNG'!$U$6:$U$505))</f>
        <v/>
      </c>
      <c r="M39" s="34" t="str">
        <f aca="false">IF($B39="","",IF(SUMPRODUCT(MAX(('NHẬP ĐƠN HÀNG'!$C$6:$C$505=$B39)*'NHẬP ĐƠN HÀNG'!$B$6:$B$505))=0,"",SUMPRODUCT(MAX(('NHẬP ĐƠN HÀNG'!$C$6:$C$505=$B39)*'NHẬP ĐƠN HÀNG'!$B$6:$B$505))))</f>
        <v/>
      </c>
      <c r="N39" s="16" t="str">
        <f aca="false">IF($B39="","",IF($G39=0,"Chưa có đơn",IF(COUNTIFS('NHẬP ĐƠN HÀNG'!$C$6:$C$505,$B39,'NHẬP ĐƠN HÀNG'!$N$6:$N$505,"&gt;0")&gt;0,"Có lấy VAT","Không lấy VAT")))</f>
        <v/>
      </c>
    </row>
    <row r="40" customFormat="false" ht="15" hidden="false" customHeight="false" outlineLevel="0" collapsed="false">
      <c r="A40" s="16" t="str">
        <f aca="false">IF($B40="","",35)</f>
        <v/>
      </c>
      <c r="B40" s="16" t="str">
        <f aca="false">IFERROR(INDEX('NHẬP ĐƠN HÀNG'!$C$6:$C$505,MATCH(35,'NHẬP ĐƠN HÀNG'!$AB$6:$AB$505,0)),"")</f>
        <v/>
      </c>
      <c r="C40" s="16" t="str">
        <f aca="false">IF($B40="","",IFERROR(IF(INDEX('NHẬP ĐƠN HÀNG'!$D$6:$D$505,MATCH($B40,'NHẬP ĐƠN HÀNG'!$C$6:$C$505,0))="","",INDEX('NHẬP ĐƠN HÀNG'!$D$6:$D$505,MATCH($B40,'NHẬP ĐƠN HÀNG'!$C$6:$C$505,0))),""))</f>
        <v/>
      </c>
      <c r="D40" s="16" t="str">
        <f aca="false">IF($B40="","",IFERROR(IF(INDEX('NHẬP ĐƠN HÀNG'!$E$6:$E$505,MATCH($B40,'NHẬP ĐƠN HÀNG'!$C$6:$C$505,0))="","",INDEX('NHẬP ĐƠN HÀNG'!$E$6:$E$505,MATCH($B40,'NHẬP ĐƠN HÀNG'!$C$6:$C$505,0))),""))</f>
        <v/>
      </c>
      <c r="E40" s="16" t="str">
        <f aca="false">IF($B40="","",IFERROR(IF(INDEX('NHẬP ĐƠN HÀNG'!$F$6:$F$505,MATCH($B40,'NHẬP ĐƠN HÀNG'!$C$6:$C$505,0))="","",INDEX('NHẬP ĐƠN HÀNG'!$F$6:$F$505,MATCH($B40,'NHẬP ĐƠN HÀNG'!$C$6:$C$505,0))),""))</f>
        <v/>
      </c>
      <c r="F40" s="16" t="str">
        <f aca="false">IF($B40="","",IFERROR(IF(INDEX('NHẬP ĐƠN HÀNG'!$G$6:$G$505,MATCH($B40,'NHẬP ĐƠN HÀNG'!$C$6:$C$505,0))="","",INDEX('NHẬP ĐƠN HÀNG'!$G$6:$G$505,MATCH($B40,'NHẬP ĐƠN HÀNG'!$C$6:$C$505,0))),""))</f>
        <v/>
      </c>
      <c r="G40" s="10" t="str">
        <f aca="false">IF($B40="","",COUNTIFS('NHẬP ĐƠN HÀNG'!$C$6:$C$505,$B40,'NHẬP ĐƠN HÀNG'!$L$6:$L$505,"&gt;0"))</f>
        <v/>
      </c>
      <c r="H40" s="10" t="str">
        <f aca="false">IF($B40="","",SUMIF('NHẬP ĐƠN HÀNG'!$C$6:$C$505,$B40,'NHẬP ĐƠN HÀNG'!$L$6:$L$505))</f>
        <v/>
      </c>
      <c r="I40" s="10" t="str">
        <f aca="false">IF($B40="","",SUMIF('NHẬP ĐƠN HÀNG'!$C$6:$C$505,$B40,'NHẬP ĐƠN HÀNG'!$P$6:$P$505))</f>
        <v/>
      </c>
      <c r="J40" s="10" t="str">
        <f aca="false">IF($B40="","",SUMIF('NHẬP ĐƠN HÀNG'!$C$6:$C$505,$B40,'NHẬP ĐƠN HÀNG'!$Q$6:$Q$505))</f>
        <v/>
      </c>
      <c r="K40" s="10" t="str">
        <f aca="false">IF($B40="","",SUMIF('NHẬP ĐƠN HÀNG'!$C$6:$C$505,$B40,'NHẬP ĐƠN HÀNG'!$R$6:$R$505))</f>
        <v/>
      </c>
      <c r="L40" s="10" t="str">
        <f aca="false">IF($B40="","",SUMIF('NHẬP ĐƠN HÀNG'!$C$6:$C$505,$B40,'NHẬP ĐƠN HÀNG'!$U$6:$U$505))</f>
        <v/>
      </c>
      <c r="M40" s="34" t="str">
        <f aca="false">IF($B40="","",IF(SUMPRODUCT(MAX(('NHẬP ĐƠN HÀNG'!$C$6:$C$505=$B40)*'NHẬP ĐƠN HÀNG'!$B$6:$B$505))=0,"",SUMPRODUCT(MAX(('NHẬP ĐƠN HÀNG'!$C$6:$C$505=$B40)*'NHẬP ĐƠN HÀNG'!$B$6:$B$505))))</f>
        <v/>
      </c>
      <c r="N40" s="16" t="str">
        <f aca="false">IF($B40="","",IF($G40=0,"Chưa có đơn",IF(COUNTIFS('NHẬP ĐƠN HÀNG'!$C$6:$C$505,$B40,'NHẬP ĐƠN HÀNG'!$N$6:$N$505,"&gt;0")&gt;0,"Có lấy VAT","Không lấy VAT")))</f>
        <v/>
      </c>
    </row>
    <row r="41" customFormat="false" ht="15" hidden="false" customHeight="false" outlineLevel="0" collapsed="false">
      <c r="A41" s="16" t="str">
        <f aca="false">IF($B41="","",36)</f>
        <v/>
      </c>
      <c r="B41" s="16" t="str">
        <f aca="false">IFERROR(INDEX('NHẬP ĐƠN HÀNG'!$C$6:$C$505,MATCH(36,'NHẬP ĐƠN HÀNG'!$AB$6:$AB$505,0)),"")</f>
        <v/>
      </c>
      <c r="C41" s="16" t="str">
        <f aca="false">IF($B41="","",IFERROR(IF(INDEX('NHẬP ĐƠN HÀNG'!$D$6:$D$505,MATCH($B41,'NHẬP ĐƠN HÀNG'!$C$6:$C$505,0))="","",INDEX('NHẬP ĐƠN HÀNG'!$D$6:$D$505,MATCH($B41,'NHẬP ĐƠN HÀNG'!$C$6:$C$505,0))),""))</f>
        <v/>
      </c>
      <c r="D41" s="16" t="str">
        <f aca="false">IF($B41="","",IFERROR(IF(INDEX('NHẬP ĐƠN HÀNG'!$E$6:$E$505,MATCH($B41,'NHẬP ĐƠN HÀNG'!$C$6:$C$505,0))="","",INDEX('NHẬP ĐƠN HÀNG'!$E$6:$E$505,MATCH($B41,'NHẬP ĐƠN HÀNG'!$C$6:$C$505,0))),""))</f>
        <v/>
      </c>
      <c r="E41" s="16" t="str">
        <f aca="false">IF($B41="","",IFERROR(IF(INDEX('NHẬP ĐƠN HÀNG'!$F$6:$F$505,MATCH($B41,'NHẬP ĐƠN HÀNG'!$C$6:$C$505,0))="","",INDEX('NHẬP ĐƠN HÀNG'!$F$6:$F$505,MATCH($B41,'NHẬP ĐƠN HÀNG'!$C$6:$C$505,0))),""))</f>
        <v/>
      </c>
      <c r="F41" s="16" t="str">
        <f aca="false">IF($B41="","",IFERROR(IF(INDEX('NHẬP ĐƠN HÀNG'!$G$6:$G$505,MATCH($B41,'NHẬP ĐƠN HÀNG'!$C$6:$C$505,0))="","",INDEX('NHẬP ĐƠN HÀNG'!$G$6:$G$505,MATCH($B41,'NHẬP ĐƠN HÀNG'!$C$6:$C$505,0))),""))</f>
        <v/>
      </c>
      <c r="G41" s="10" t="str">
        <f aca="false">IF($B41="","",COUNTIFS('NHẬP ĐƠN HÀNG'!$C$6:$C$505,$B41,'NHẬP ĐƠN HÀNG'!$L$6:$L$505,"&gt;0"))</f>
        <v/>
      </c>
      <c r="H41" s="10" t="str">
        <f aca="false">IF($B41="","",SUMIF('NHẬP ĐƠN HÀNG'!$C$6:$C$505,$B41,'NHẬP ĐƠN HÀNG'!$L$6:$L$505))</f>
        <v/>
      </c>
      <c r="I41" s="10" t="str">
        <f aca="false">IF($B41="","",SUMIF('NHẬP ĐƠN HÀNG'!$C$6:$C$505,$B41,'NHẬP ĐƠN HÀNG'!$P$6:$P$505))</f>
        <v/>
      </c>
      <c r="J41" s="10" t="str">
        <f aca="false">IF($B41="","",SUMIF('NHẬP ĐƠN HÀNG'!$C$6:$C$505,$B41,'NHẬP ĐƠN HÀNG'!$Q$6:$Q$505))</f>
        <v/>
      </c>
      <c r="K41" s="10" t="str">
        <f aca="false">IF($B41="","",SUMIF('NHẬP ĐƠN HÀNG'!$C$6:$C$505,$B41,'NHẬP ĐƠN HÀNG'!$R$6:$R$505))</f>
        <v/>
      </c>
      <c r="L41" s="10" t="str">
        <f aca="false">IF($B41="","",SUMIF('NHẬP ĐƠN HÀNG'!$C$6:$C$505,$B41,'NHẬP ĐƠN HÀNG'!$U$6:$U$505))</f>
        <v/>
      </c>
      <c r="M41" s="34" t="str">
        <f aca="false">IF($B41="","",IF(SUMPRODUCT(MAX(('NHẬP ĐƠN HÀNG'!$C$6:$C$505=$B41)*'NHẬP ĐƠN HÀNG'!$B$6:$B$505))=0,"",SUMPRODUCT(MAX(('NHẬP ĐƠN HÀNG'!$C$6:$C$505=$B41)*'NHẬP ĐƠN HÀNG'!$B$6:$B$505))))</f>
        <v/>
      </c>
      <c r="N41" s="16" t="str">
        <f aca="false">IF($B41="","",IF($G41=0,"Chưa có đơn",IF(COUNTIFS('NHẬP ĐƠN HÀNG'!$C$6:$C$505,$B41,'NHẬP ĐƠN HÀNG'!$N$6:$N$505,"&gt;0")&gt;0,"Có lấy VAT","Không lấy VAT")))</f>
        <v/>
      </c>
    </row>
    <row r="42" customFormat="false" ht="15" hidden="false" customHeight="false" outlineLevel="0" collapsed="false">
      <c r="A42" s="16" t="str">
        <f aca="false">IF($B42="","",37)</f>
        <v/>
      </c>
      <c r="B42" s="16" t="str">
        <f aca="false">IFERROR(INDEX('NHẬP ĐƠN HÀNG'!$C$6:$C$505,MATCH(37,'NHẬP ĐƠN HÀNG'!$AB$6:$AB$505,0)),"")</f>
        <v/>
      </c>
      <c r="C42" s="16" t="str">
        <f aca="false">IF($B42="","",IFERROR(IF(INDEX('NHẬP ĐƠN HÀNG'!$D$6:$D$505,MATCH($B42,'NHẬP ĐƠN HÀNG'!$C$6:$C$505,0))="","",INDEX('NHẬP ĐƠN HÀNG'!$D$6:$D$505,MATCH($B42,'NHẬP ĐƠN HÀNG'!$C$6:$C$505,0))),""))</f>
        <v/>
      </c>
      <c r="D42" s="16" t="str">
        <f aca="false">IF($B42="","",IFERROR(IF(INDEX('NHẬP ĐƠN HÀNG'!$E$6:$E$505,MATCH($B42,'NHẬP ĐƠN HÀNG'!$C$6:$C$505,0))="","",INDEX('NHẬP ĐƠN HÀNG'!$E$6:$E$505,MATCH($B42,'NHẬP ĐƠN HÀNG'!$C$6:$C$505,0))),""))</f>
        <v/>
      </c>
      <c r="E42" s="16" t="str">
        <f aca="false">IF($B42="","",IFERROR(IF(INDEX('NHẬP ĐƠN HÀNG'!$F$6:$F$505,MATCH($B42,'NHẬP ĐƠN HÀNG'!$C$6:$C$505,0))="","",INDEX('NHẬP ĐƠN HÀNG'!$F$6:$F$505,MATCH($B42,'NHẬP ĐƠN HÀNG'!$C$6:$C$505,0))),""))</f>
        <v/>
      </c>
      <c r="F42" s="16" t="str">
        <f aca="false">IF($B42="","",IFERROR(IF(INDEX('NHẬP ĐƠN HÀNG'!$G$6:$G$505,MATCH($B42,'NHẬP ĐƠN HÀNG'!$C$6:$C$505,0))="","",INDEX('NHẬP ĐƠN HÀNG'!$G$6:$G$505,MATCH($B42,'NHẬP ĐƠN HÀNG'!$C$6:$C$505,0))),""))</f>
        <v/>
      </c>
      <c r="G42" s="10" t="str">
        <f aca="false">IF($B42="","",COUNTIFS('NHẬP ĐƠN HÀNG'!$C$6:$C$505,$B42,'NHẬP ĐƠN HÀNG'!$L$6:$L$505,"&gt;0"))</f>
        <v/>
      </c>
      <c r="H42" s="10" t="str">
        <f aca="false">IF($B42="","",SUMIF('NHẬP ĐƠN HÀNG'!$C$6:$C$505,$B42,'NHẬP ĐƠN HÀNG'!$L$6:$L$505))</f>
        <v/>
      </c>
      <c r="I42" s="10" t="str">
        <f aca="false">IF($B42="","",SUMIF('NHẬP ĐƠN HÀNG'!$C$6:$C$505,$B42,'NHẬP ĐƠN HÀNG'!$P$6:$P$505))</f>
        <v/>
      </c>
      <c r="J42" s="10" t="str">
        <f aca="false">IF($B42="","",SUMIF('NHẬP ĐƠN HÀNG'!$C$6:$C$505,$B42,'NHẬP ĐƠN HÀNG'!$Q$6:$Q$505))</f>
        <v/>
      </c>
      <c r="K42" s="10" t="str">
        <f aca="false">IF($B42="","",SUMIF('NHẬP ĐƠN HÀNG'!$C$6:$C$505,$B42,'NHẬP ĐƠN HÀNG'!$R$6:$R$505))</f>
        <v/>
      </c>
      <c r="L42" s="10" t="str">
        <f aca="false">IF($B42="","",SUMIF('NHẬP ĐƠN HÀNG'!$C$6:$C$505,$B42,'NHẬP ĐƠN HÀNG'!$U$6:$U$505))</f>
        <v/>
      </c>
      <c r="M42" s="34" t="str">
        <f aca="false">IF($B42="","",IF(SUMPRODUCT(MAX(('NHẬP ĐƠN HÀNG'!$C$6:$C$505=$B42)*'NHẬP ĐƠN HÀNG'!$B$6:$B$505))=0,"",SUMPRODUCT(MAX(('NHẬP ĐƠN HÀNG'!$C$6:$C$505=$B42)*'NHẬP ĐƠN HÀNG'!$B$6:$B$505))))</f>
        <v/>
      </c>
      <c r="N42" s="16" t="str">
        <f aca="false">IF($B42="","",IF($G42=0,"Chưa có đơn",IF(COUNTIFS('NHẬP ĐƠN HÀNG'!$C$6:$C$505,$B42,'NHẬP ĐƠN HÀNG'!$N$6:$N$505,"&gt;0")&gt;0,"Có lấy VAT","Không lấy VAT")))</f>
        <v/>
      </c>
    </row>
    <row r="43" customFormat="false" ht="15" hidden="false" customHeight="false" outlineLevel="0" collapsed="false">
      <c r="A43" s="16" t="str">
        <f aca="false">IF($B43="","",38)</f>
        <v/>
      </c>
      <c r="B43" s="16" t="str">
        <f aca="false">IFERROR(INDEX('NHẬP ĐƠN HÀNG'!$C$6:$C$505,MATCH(38,'NHẬP ĐƠN HÀNG'!$AB$6:$AB$505,0)),"")</f>
        <v/>
      </c>
      <c r="C43" s="16" t="str">
        <f aca="false">IF($B43="","",IFERROR(IF(INDEX('NHẬP ĐƠN HÀNG'!$D$6:$D$505,MATCH($B43,'NHẬP ĐƠN HÀNG'!$C$6:$C$505,0))="","",INDEX('NHẬP ĐƠN HÀNG'!$D$6:$D$505,MATCH($B43,'NHẬP ĐƠN HÀNG'!$C$6:$C$505,0))),""))</f>
        <v/>
      </c>
      <c r="D43" s="16" t="str">
        <f aca="false">IF($B43="","",IFERROR(IF(INDEX('NHẬP ĐƠN HÀNG'!$E$6:$E$505,MATCH($B43,'NHẬP ĐƠN HÀNG'!$C$6:$C$505,0))="","",INDEX('NHẬP ĐƠN HÀNG'!$E$6:$E$505,MATCH($B43,'NHẬP ĐƠN HÀNG'!$C$6:$C$505,0))),""))</f>
        <v/>
      </c>
      <c r="E43" s="16" t="str">
        <f aca="false">IF($B43="","",IFERROR(IF(INDEX('NHẬP ĐƠN HÀNG'!$F$6:$F$505,MATCH($B43,'NHẬP ĐƠN HÀNG'!$C$6:$C$505,0))="","",INDEX('NHẬP ĐƠN HÀNG'!$F$6:$F$505,MATCH($B43,'NHẬP ĐƠN HÀNG'!$C$6:$C$505,0))),""))</f>
        <v/>
      </c>
      <c r="F43" s="16" t="str">
        <f aca="false">IF($B43="","",IFERROR(IF(INDEX('NHẬP ĐƠN HÀNG'!$G$6:$G$505,MATCH($B43,'NHẬP ĐƠN HÀNG'!$C$6:$C$505,0))="","",INDEX('NHẬP ĐƠN HÀNG'!$G$6:$G$505,MATCH($B43,'NHẬP ĐƠN HÀNG'!$C$6:$C$505,0))),""))</f>
        <v/>
      </c>
      <c r="G43" s="10" t="str">
        <f aca="false">IF($B43="","",COUNTIFS('NHẬP ĐƠN HÀNG'!$C$6:$C$505,$B43,'NHẬP ĐƠN HÀNG'!$L$6:$L$505,"&gt;0"))</f>
        <v/>
      </c>
      <c r="H43" s="10" t="str">
        <f aca="false">IF($B43="","",SUMIF('NHẬP ĐƠN HÀNG'!$C$6:$C$505,$B43,'NHẬP ĐƠN HÀNG'!$L$6:$L$505))</f>
        <v/>
      </c>
      <c r="I43" s="10" t="str">
        <f aca="false">IF($B43="","",SUMIF('NHẬP ĐƠN HÀNG'!$C$6:$C$505,$B43,'NHẬP ĐƠN HÀNG'!$P$6:$P$505))</f>
        <v/>
      </c>
      <c r="J43" s="10" t="str">
        <f aca="false">IF($B43="","",SUMIF('NHẬP ĐƠN HÀNG'!$C$6:$C$505,$B43,'NHẬP ĐƠN HÀNG'!$Q$6:$Q$505))</f>
        <v/>
      </c>
      <c r="K43" s="10" t="str">
        <f aca="false">IF($B43="","",SUMIF('NHẬP ĐƠN HÀNG'!$C$6:$C$505,$B43,'NHẬP ĐƠN HÀNG'!$R$6:$R$505))</f>
        <v/>
      </c>
      <c r="L43" s="10" t="str">
        <f aca="false">IF($B43="","",SUMIF('NHẬP ĐƠN HÀNG'!$C$6:$C$505,$B43,'NHẬP ĐƠN HÀNG'!$U$6:$U$505))</f>
        <v/>
      </c>
      <c r="M43" s="34" t="str">
        <f aca="false">IF($B43="","",IF(SUMPRODUCT(MAX(('NHẬP ĐƠN HÀNG'!$C$6:$C$505=$B43)*'NHẬP ĐƠN HÀNG'!$B$6:$B$505))=0,"",SUMPRODUCT(MAX(('NHẬP ĐƠN HÀNG'!$C$6:$C$505=$B43)*'NHẬP ĐƠN HÀNG'!$B$6:$B$505))))</f>
        <v/>
      </c>
      <c r="N43" s="16" t="str">
        <f aca="false">IF($B43="","",IF($G43=0,"Chưa có đơn",IF(COUNTIFS('NHẬP ĐƠN HÀNG'!$C$6:$C$505,$B43,'NHẬP ĐƠN HÀNG'!$N$6:$N$505,"&gt;0")&gt;0,"Có lấy VAT","Không lấy VAT")))</f>
        <v/>
      </c>
    </row>
    <row r="44" customFormat="false" ht="15" hidden="false" customHeight="false" outlineLevel="0" collapsed="false">
      <c r="A44" s="16" t="str">
        <f aca="false">IF($B44="","",39)</f>
        <v/>
      </c>
      <c r="B44" s="16" t="str">
        <f aca="false">IFERROR(INDEX('NHẬP ĐƠN HÀNG'!$C$6:$C$505,MATCH(39,'NHẬP ĐƠN HÀNG'!$AB$6:$AB$505,0)),"")</f>
        <v/>
      </c>
      <c r="C44" s="16" t="str">
        <f aca="false">IF($B44="","",IFERROR(IF(INDEX('NHẬP ĐƠN HÀNG'!$D$6:$D$505,MATCH($B44,'NHẬP ĐƠN HÀNG'!$C$6:$C$505,0))="","",INDEX('NHẬP ĐƠN HÀNG'!$D$6:$D$505,MATCH($B44,'NHẬP ĐƠN HÀNG'!$C$6:$C$505,0))),""))</f>
        <v/>
      </c>
      <c r="D44" s="16" t="str">
        <f aca="false">IF($B44="","",IFERROR(IF(INDEX('NHẬP ĐƠN HÀNG'!$E$6:$E$505,MATCH($B44,'NHẬP ĐƠN HÀNG'!$C$6:$C$505,0))="","",INDEX('NHẬP ĐƠN HÀNG'!$E$6:$E$505,MATCH($B44,'NHẬP ĐƠN HÀNG'!$C$6:$C$505,0))),""))</f>
        <v/>
      </c>
      <c r="E44" s="16" t="str">
        <f aca="false">IF($B44="","",IFERROR(IF(INDEX('NHẬP ĐƠN HÀNG'!$F$6:$F$505,MATCH($B44,'NHẬP ĐƠN HÀNG'!$C$6:$C$505,0))="","",INDEX('NHẬP ĐƠN HÀNG'!$F$6:$F$505,MATCH($B44,'NHẬP ĐƠN HÀNG'!$C$6:$C$505,0))),""))</f>
        <v/>
      </c>
      <c r="F44" s="16" t="str">
        <f aca="false">IF($B44="","",IFERROR(IF(INDEX('NHẬP ĐƠN HÀNG'!$G$6:$G$505,MATCH($B44,'NHẬP ĐƠN HÀNG'!$C$6:$C$505,0))="","",INDEX('NHẬP ĐƠN HÀNG'!$G$6:$G$505,MATCH($B44,'NHẬP ĐƠN HÀNG'!$C$6:$C$505,0))),""))</f>
        <v/>
      </c>
      <c r="G44" s="10" t="str">
        <f aca="false">IF($B44="","",COUNTIFS('NHẬP ĐƠN HÀNG'!$C$6:$C$505,$B44,'NHẬP ĐƠN HÀNG'!$L$6:$L$505,"&gt;0"))</f>
        <v/>
      </c>
      <c r="H44" s="10" t="str">
        <f aca="false">IF($B44="","",SUMIF('NHẬP ĐƠN HÀNG'!$C$6:$C$505,$B44,'NHẬP ĐƠN HÀNG'!$L$6:$L$505))</f>
        <v/>
      </c>
      <c r="I44" s="10" t="str">
        <f aca="false">IF($B44="","",SUMIF('NHẬP ĐƠN HÀNG'!$C$6:$C$505,$B44,'NHẬP ĐƠN HÀNG'!$P$6:$P$505))</f>
        <v/>
      </c>
      <c r="J44" s="10" t="str">
        <f aca="false">IF($B44="","",SUMIF('NHẬP ĐƠN HÀNG'!$C$6:$C$505,$B44,'NHẬP ĐƠN HÀNG'!$Q$6:$Q$505))</f>
        <v/>
      </c>
      <c r="K44" s="10" t="str">
        <f aca="false">IF($B44="","",SUMIF('NHẬP ĐƠN HÀNG'!$C$6:$C$505,$B44,'NHẬP ĐƠN HÀNG'!$R$6:$R$505))</f>
        <v/>
      </c>
      <c r="L44" s="10" t="str">
        <f aca="false">IF($B44="","",SUMIF('NHẬP ĐƠN HÀNG'!$C$6:$C$505,$B44,'NHẬP ĐƠN HÀNG'!$U$6:$U$505))</f>
        <v/>
      </c>
      <c r="M44" s="34" t="str">
        <f aca="false">IF($B44="","",IF(SUMPRODUCT(MAX(('NHẬP ĐƠN HÀNG'!$C$6:$C$505=$B44)*'NHẬP ĐƠN HÀNG'!$B$6:$B$505))=0,"",SUMPRODUCT(MAX(('NHẬP ĐƠN HÀNG'!$C$6:$C$505=$B44)*'NHẬP ĐƠN HÀNG'!$B$6:$B$505))))</f>
        <v/>
      </c>
      <c r="N44" s="16" t="str">
        <f aca="false">IF($B44="","",IF($G44=0,"Chưa có đơn",IF(COUNTIFS('NHẬP ĐƠN HÀNG'!$C$6:$C$505,$B44,'NHẬP ĐƠN HÀNG'!$N$6:$N$505,"&gt;0")&gt;0,"Có lấy VAT","Không lấy VAT")))</f>
        <v/>
      </c>
    </row>
    <row r="45" customFormat="false" ht="15" hidden="false" customHeight="false" outlineLevel="0" collapsed="false">
      <c r="A45" s="16" t="str">
        <f aca="false">IF($B45="","",40)</f>
        <v/>
      </c>
      <c r="B45" s="16" t="str">
        <f aca="false">IFERROR(INDEX('NHẬP ĐƠN HÀNG'!$C$6:$C$505,MATCH(40,'NHẬP ĐƠN HÀNG'!$AB$6:$AB$505,0)),"")</f>
        <v/>
      </c>
      <c r="C45" s="16" t="str">
        <f aca="false">IF($B45="","",IFERROR(IF(INDEX('NHẬP ĐƠN HÀNG'!$D$6:$D$505,MATCH($B45,'NHẬP ĐƠN HÀNG'!$C$6:$C$505,0))="","",INDEX('NHẬP ĐƠN HÀNG'!$D$6:$D$505,MATCH($B45,'NHẬP ĐƠN HÀNG'!$C$6:$C$505,0))),""))</f>
        <v/>
      </c>
      <c r="D45" s="16" t="str">
        <f aca="false">IF($B45="","",IFERROR(IF(INDEX('NHẬP ĐƠN HÀNG'!$E$6:$E$505,MATCH($B45,'NHẬP ĐƠN HÀNG'!$C$6:$C$505,0))="","",INDEX('NHẬP ĐƠN HÀNG'!$E$6:$E$505,MATCH($B45,'NHẬP ĐƠN HÀNG'!$C$6:$C$505,0))),""))</f>
        <v/>
      </c>
      <c r="E45" s="16" t="str">
        <f aca="false">IF($B45="","",IFERROR(IF(INDEX('NHẬP ĐƠN HÀNG'!$F$6:$F$505,MATCH($B45,'NHẬP ĐƠN HÀNG'!$C$6:$C$505,0))="","",INDEX('NHẬP ĐƠN HÀNG'!$F$6:$F$505,MATCH($B45,'NHẬP ĐƠN HÀNG'!$C$6:$C$505,0))),""))</f>
        <v/>
      </c>
      <c r="F45" s="16" t="str">
        <f aca="false">IF($B45="","",IFERROR(IF(INDEX('NHẬP ĐƠN HÀNG'!$G$6:$G$505,MATCH($B45,'NHẬP ĐƠN HÀNG'!$C$6:$C$505,0))="","",INDEX('NHẬP ĐƠN HÀNG'!$G$6:$G$505,MATCH($B45,'NHẬP ĐƠN HÀNG'!$C$6:$C$505,0))),""))</f>
        <v/>
      </c>
      <c r="G45" s="10" t="str">
        <f aca="false">IF($B45="","",COUNTIFS('NHẬP ĐƠN HÀNG'!$C$6:$C$505,$B45,'NHẬP ĐƠN HÀNG'!$L$6:$L$505,"&gt;0"))</f>
        <v/>
      </c>
      <c r="H45" s="10" t="str">
        <f aca="false">IF($B45="","",SUMIF('NHẬP ĐƠN HÀNG'!$C$6:$C$505,$B45,'NHẬP ĐƠN HÀNG'!$L$6:$L$505))</f>
        <v/>
      </c>
      <c r="I45" s="10" t="str">
        <f aca="false">IF($B45="","",SUMIF('NHẬP ĐƠN HÀNG'!$C$6:$C$505,$B45,'NHẬP ĐƠN HÀNG'!$P$6:$P$505))</f>
        <v/>
      </c>
      <c r="J45" s="10" t="str">
        <f aca="false">IF($B45="","",SUMIF('NHẬP ĐƠN HÀNG'!$C$6:$C$505,$B45,'NHẬP ĐƠN HÀNG'!$Q$6:$Q$505))</f>
        <v/>
      </c>
      <c r="K45" s="10" t="str">
        <f aca="false">IF($B45="","",SUMIF('NHẬP ĐƠN HÀNG'!$C$6:$C$505,$B45,'NHẬP ĐƠN HÀNG'!$R$6:$R$505))</f>
        <v/>
      </c>
      <c r="L45" s="10" t="str">
        <f aca="false">IF($B45="","",SUMIF('NHẬP ĐƠN HÀNG'!$C$6:$C$505,$B45,'NHẬP ĐƠN HÀNG'!$U$6:$U$505))</f>
        <v/>
      </c>
      <c r="M45" s="34" t="str">
        <f aca="false">IF($B45="","",IF(SUMPRODUCT(MAX(('NHẬP ĐƠN HÀNG'!$C$6:$C$505=$B45)*'NHẬP ĐƠN HÀNG'!$B$6:$B$505))=0,"",SUMPRODUCT(MAX(('NHẬP ĐƠN HÀNG'!$C$6:$C$505=$B45)*'NHẬP ĐƠN HÀNG'!$B$6:$B$505))))</f>
        <v/>
      </c>
      <c r="N45" s="16" t="str">
        <f aca="false">IF($B45="","",IF($G45=0,"Chưa có đơn",IF(COUNTIFS('NHẬP ĐƠN HÀNG'!$C$6:$C$505,$B45,'NHẬP ĐƠN HÀNG'!$N$6:$N$505,"&gt;0")&gt;0,"Có lấy VAT","Không lấy VAT")))</f>
        <v/>
      </c>
    </row>
    <row r="46" customFormat="false" ht="15" hidden="false" customHeight="false" outlineLevel="0" collapsed="false">
      <c r="A46" s="16" t="str">
        <f aca="false">IF($B46="","",41)</f>
        <v/>
      </c>
      <c r="B46" s="16" t="str">
        <f aca="false">IFERROR(INDEX('NHẬP ĐƠN HÀNG'!$C$6:$C$505,MATCH(41,'NHẬP ĐƠN HÀNG'!$AB$6:$AB$505,0)),"")</f>
        <v/>
      </c>
      <c r="C46" s="16" t="str">
        <f aca="false">IF($B46="","",IFERROR(IF(INDEX('NHẬP ĐƠN HÀNG'!$D$6:$D$505,MATCH($B46,'NHẬP ĐƠN HÀNG'!$C$6:$C$505,0))="","",INDEX('NHẬP ĐƠN HÀNG'!$D$6:$D$505,MATCH($B46,'NHẬP ĐƠN HÀNG'!$C$6:$C$505,0))),""))</f>
        <v/>
      </c>
      <c r="D46" s="16" t="str">
        <f aca="false">IF($B46="","",IFERROR(IF(INDEX('NHẬP ĐƠN HÀNG'!$E$6:$E$505,MATCH($B46,'NHẬP ĐƠN HÀNG'!$C$6:$C$505,0))="","",INDEX('NHẬP ĐƠN HÀNG'!$E$6:$E$505,MATCH($B46,'NHẬP ĐƠN HÀNG'!$C$6:$C$505,0))),""))</f>
        <v/>
      </c>
      <c r="E46" s="16" t="str">
        <f aca="false">IF($B46="","",IFERROR(IF(INDEX('NHẬP ĐƠN HÀNG'!$F$6:$F$505,MATCH($B46,'NHẬP ĐƠN HÀNG'!$C$6:$C$505,0))="","",INDEX('NHẬP ĐƠN HÀNG'!$F$6:$F$505,MATCH($B46,'NHẬP ĐƠN HÀNG'!$C$6:$C$505,0))),""))</f>
        <v/>
      </c>
      <c r="F46" s="16" t="str">
        <f aca="false">IF($B46="","",IFERROR(IF(INDEX('NHẬP ĐƠN HÀNG'!$G$6:$G$505,MATCH($B46,'NHẬP ĐƠN HÀNG'!$C$6:$C$505,0))="","",INDEX('NHẬP ĐƠN HÀNG'!$G$6:$G$505,MATCH($B46,'NHẬP ĐƠN HÀNG'!$C$6:$C$505,0))),""))</f>
        <v/>
      </c>
      <c r="G46" s="10" t="str">
        <f aca="false">IF($B46="","",COUNTIFS('NHẬP ĐƠN HÀNG'!$C$6:$C$505,$B46,'NHẬP ĐƠN HÀNG'!$L$6:$L$505,"&gt;0"))</f>
        <v/>
      </c>
      <c r="H46" s="10" t="str">
        <f aca="false">IF($B46="","",SUMIF('NHẬP ĐƠN HÀNG'!$C$6:$C$505,$B46,'NHẬP ĐƠN HÀNG'!$L$6:$L$505))</f>
        <v/>
      </c>
      <c r="I46" s="10" t="str">
        <f aca="false">IF($B46="","",SUMIF('NHẬP ĐƠN HÀNG'!$C$6:$C$505,$B46,'NHẬP ĐƠN HÀNG'!$P$6:$P$505))</f>
        <v/>
      </c>
      <c r="J46" s="10" t="str">
        <f aca="false">IF($B46="","",SUMIF('NHẬP ĐƠN HÀNG'!$C$6:$C$505,$B46,'NHẬP ĐƠN HÀNG'!$Q$6:$Q$505))</f>
        <v/>
      </c>
      <c r="K46" s="10" t="str">
        <f aca="false">IF($B46="","",SUMIF('NHẬP ĐƠN HÀNG'!$C$6:$C$505,$B46,'NHẬP ĐƠN HÀNG'!$R$6:$R$505))</f>
        <v/>
      </c>
      <c r="L46" s="10" t="str">
        <f aca="false">IF($B46="","",SUMIF('NHẬP ĐƠN HÀNG'!$C$6:$C$505,$B46,'NHẬP ĐƠN HÀNG'!$U$6:$U$505))</f>
        <v/>
      </c>
      <c r="M46" s="34" t="str">
        <f aca="false">IF($B46="","",IF(SUMPRODUCT(MAX(('NHẬP ĐƠN HÀNG'!$C$6:$C$505=$B46)*'NHẬP ĐƠN HÀNG'!$B$6:$B$505))=0,"",SUMPRODUCT(MAX(('NHẬP ĐƠN HÀNG'!$C$6:$C$505=$B46)*'NHẬP ĐƠN HÀNG'!$B$6:$B$505))))</f>
        <v/>
      </c>
      <c r="N46" s="16" t="str">
        <f aca="false">IF($B46="","",IF($G46=0,"Chưa có đơn",IF(COUNTIFS('NHẬP ĐƠN HÀNG'!$C$6:$C$505,$B46,'NHẬP ĐƠN HÀNG'!$N$6:$N$505,"&gt;0")&gt;0,"Có lấy VAT","Không lấy VAT")))</f>
        <v/>
      </c>
    </row>
    <row r="47" customFormat="false" ht="15" hidden="false" customHeight="false" outlineLevel="0" collapsed="false">
      <c r="A47" s="16" t="str">
        <f aca="false">IF($B47="","",42)</f>
        <v/>
      </c>
      <c r="B47" s="16" t="str">
        <f aca="false">IFERROR(INDEX('NHẬP ĐƠN HÀNG'!$C$6:$C$505,MATCH(42,'NHẬP ĐƠN HÀNG'!$AB$6:$AB$505,0)),"")</f>
        <v/>
      </c>
      <c r="C47" s="16" t="str">
        <f aca="false">IF($B47="","",IFERROR(IF(INDEX('NHẬP ĐƠN HÀNG'!$D$6:$D$505,MATCH($B47,'NHẬP ĐƠN HÀNG'!$C$6:$C$505,0))="","",INDEX('NHẬP ĐƠN HÀNG'!$D$6:$D$505,MATCH($B47,'NHẬP ĐƠN HÀNG'!$C$6:$C$505,0))),""))</f>
        <v/>
      </c>
      <c r="D47" s="16" t="str">
        <f aca="false">IF($B47="","",IFERROR(IF(INDEX('NHẬP ĐƠN HÀNG'!$E$6:$E$505,MATCH($B47,'NHẬP ĐƠN HÀNG'!$C$6:$C$505,0))="","",INDEX('NHẬP ĐƠN HÀNG'!$E$6:$E$505,MATCH($B47,'NHẬP ĐƠN HÀNG'!$C$6:$C$505,0))),""))</f>
        <v/>
      </c>
      <c r="E47" s="16" t="str">
        <f aca="false">IF($B47="","",IFERROR(IF(INDEX('NHẬP ĐƠN HÀNG'!$F$6:$F$505,MATCH($B47,'NHẬP ĐƠN HÀNG'!$C$6:$C$505,0))="","",INDEX('NHẬP ĐƠN HÀNG'!$F$6:$F$505,MATCH($B47,'NHẬP ĐƠN HÀNG'!$C$6:$C$505,0))),""))</f>
        <v/>
      </c>
      <c r="F47" s="16" t="str">
        <f aca="false">IF($B47="","",IFERROR(IF(INDEX('NHẬP ĐƠN HÀNG'!$G$6:$G$505,MATCH($B47,'NHẬP ĐƠN HÀNG'!$C$6:$C$505,0))="","",INDEX('NHẬP ĐƠN HÀNG'!$G$6:$G$505,MATCH($B47,'NHẬP ĐƠN HÀNG'!$C$6:$C$505,0))),""))</f>
        <v/>
      </c>
      <c r="G47" s="10" t="str">
        <f aca="false">IF($B47="","",COUNTIFS('NHẬP ĐƠN HÀNG'!$C$6:$C$505,$B47,'NHẬP ĐƠN HÀNG'!$L$6:$L$505,"&gt;0"))</f>
        <v/>
      </c>
      <c r="H47" s="10" t="str">
        <f aca="false">IF($B47="","",SUMIF('NHẬP ĐƠN HÀNG'!$C$6:$C$505,$B47,'NHẬP ĐƠN HÀNG'!$L$6:$L$505))</f>
        <v/>
      </c>
      <c r="I47" s="10" t="str">
        <f aca="false">IF($B47="","",SUMIF('NHẬP ĐƠN HÀNG'!$C$6:$C$505,$B47,'NHẬP ĐƠN HÀNG'!$P$6:$P$505))</f>
        <v/>
      </c>
      <c r="J47" s="10" t="str">
        <f aca="false">IF($B47="","",SUMIF('NHẬP ĐƠN HÀNG'!$C$6:$C$505,$B47,'NHẬP ĐƠN HÀNG'!$Q$6:$Q$505))</f>
        <v/>
      </c>
      <c r="K47" s="10" t="str">
        <f aca="false">IF($B47="","",SUMIF('NHẬP ĐƠN HÀNG'!$C$6:$C$505,$B47,'NHẬP ĐƠN HÀNG'!$R$6:$R$505))</f>
        <v/>
      </c>
      <c r="L47" s="10" t="str">
        <f aca="false">IF($B47="","",SUMIF('NHẬP ĐƠN HÀNG'!$C$6:$C$505,$B47,'NHẬP ĐƠN HÀNG'!$U$6:$U$505))</f>
        <v/>
      </c>
      <c r="M47" s="34" t="str">
        <f aca="false">IF($B47="","",IF(SUMPRODUCT(MAX(('NHẬP ĐƠN HÀNG'!$C$6:$C$505=$B47)*'NHẬP ĐƠN HÀNG'!$B$6:$B$505))=0,"",SUMPRODUCT(MAX(('NHẬP ĐƠN HÀNG'!$C$6:$C$505=$B47)*'NHẬP ĐƠN HÀNG'!$B$6:$B$505))))</f>
        <v/>
      </c>
      <c r="N47" s="16" t="str">
        <f aca="false">IF($B47="","",IF($G47=0,"Chưa có đơn",IF(COUNTIFS('NHẬP ĐƠN HÀNG'!$C$6:$C$505,$B47,'NHẬP ĐƠN HÀNG'!$N$6:$N$505,"&gt;0")&gt;0,"Có lấy VAT","Không lấy VAT")))</f>
        <v/>
      </c>
    </row>
    <row r="48" customFormat="false" ht="15" hidden="false" customHeight="false" outlineLevel="0" collapsed="false">
      <c r="A48" s="16" t="str">
        <f aca="false">IF($B48="","",43)</f>
        <v/>
      </c>
      <c r="B48" s="16" t="str">
        <f aca="false">IFERROR(INDEX('NHẬP ĐƠN HÀNG'!$C$6:$C$505,MATCH(43,'NHẬP ĐƠN HÀNG'!$AB$6:$AB$505,0)),"")</f>
        <v/>
      </c>
      <c r="C48" s="16" t="str">
        <f aca="false">IF($B48="","",IFERROR(IF(INDEX('NHẬP ĐƠN HÀNG'!$D$6:$D$505,MATCH($B48,'NHẬP ĐƠN HÀNG'!$C$6:$C$505,0))="","",INDEX('NHẬP ĐƠN HÀNG'!$D$6:$D$505,MATCH($B48,'NHẬP ĐƠN HÀNG'!$C$6:$C$505,0))),""))</f>
        <v/>
      </c>
      <c r="D48" s="16" t="str">
        <f aca="false">IF($B48="","",IFERROR(IF(INDEX('NHẬP ĐƠN HÀNG'!$E$6:$E$505,MATCH($B48,'NHẬP ĐƠN HÀNG'!$C$6:$C$505,0))="","",INDEX('NHẬP ĐƠN HÀNG'!$E$6:$E$505,MATCH($B48,'NHẬP ĐƠN HÀNG'!$C$6:$C$505,0))),""))</f>
        <v/>
      </c>
      <c r="E48" s="16" t="str">
        <f aca="false">IF($B48="","",IFERROR(IF(INDEX('NHẬP ĐƠN HÀNG'!$F$6:$F$505,MATCH($B48,'NHẬP ĐƠN HÀNG'!$C$6:$C$505,0))="","",INDEX('NHẬP ĐƠN HÀNG'!$F$6:$F$505,MATCH($B48,'NHẬP ĐƠN HÀNG'!$C$6:$C$505,0))),""))</f>
        <v/>
      </c>
      <c r="F48" s="16" t="str">
        <f aca="false">IF($B48="","",IFERROR(IF(INDEX('NHẬP ĐƠN HÀNG'!$G$6:$G$505,MATCH($B48,'NHẬP ĐƠN HÀNG'!$C$6:$C$505,0))="","",INDEX('NHẬP ĐƠN HÀNG'!$G$6:$G$505,MATCH($B48,'NHẬP ĐƠN HÀNG'!$C$6:$C$505,0))),""))</f>
        <v/>
      </c>
      <c r="G48" s="10" t="str">
        <f aca="false">IF($B48="","",COUNTIFS('NHẬP ĐƠN HÀNG'!$C$6:$C$505,$B48,'NHẬP ĐƠN HÀNG'!$L$6:$L$505,"&gt;0"))</f>
        <v/>
      </c>
      <c r="H48" s="10" t="str">
        <f aca="false">IF($B48="","",SUMIF('NHẬP ĐƠN HÀNG'!$C$6:$C$505,$B48,'NHẬP ĐƠN HÀNG'!$L$6:$L$505))</f>
        <v/>
      </c>
      <c r="I48" s="10" t="str">
        <f aca="false">IF($B48="","",SUMIF('NHẬP ĐƠN HÀNG'!$C$6:$C$505,$B48,'NHẬP ĐƠN HÀNG'!$P$6:$P$505))</f>
        <v/>
      </c>
      <c r="J48" s="10" t="str">
        <f aca="false">IF($B48="","",SUMIF('NHẬP ĐƠN HÀNG'!$C$6:$C$505,$B48,'NHẬP ĐƠN HÀNG'!$Q$6:$Q$505))</f>
        <v/>
      </c>
      <c r="K48" s="10" t="str">
        <f aca="false">IF($B48="","",SUMIF('NHẬP ĐƠN HÀNG'!$C$6:$C$505,$B48,'NHẬP ĐƠN HÀNG'!$R$6:$R$505))</f>
        <v/>
      </c>
      <c r="L48" s="10" t="str">
        <f aca="false">IF($B48="","",SUMIF('NHẬP ĐƠN HÀNG'!$C$6:$C$505,$B48,'NHẬP ĐƠN HÀNG'!$U$6:$U$505))</f>
        <v/>
      </c>
      <c r="M48" s="34" t="str">
        <f aca="false">IF($B48="","",IF(SUMPRODUCT(MAX(('NHẬP ĐƠN HÀNG'!$C$6:$C$505=$B48)*'NHẬP ĐƠN HÀNG'!$B$6:$B$505))=0,"",SUMPRODUCT(MAX(('NHẬP ĐƠN HÀNG'!$C$6:$C$505=$B48)*'NHẬP ĐƠN HÀNG'!$B$6:$B$505))))</f>
        <v/>
      </c>
      <c r="N48" s="16" t="str">
        <f aca="false">IF($B48="","",IF($G48=0,"Chưa có đơn",IF(COUNTIFS('NHẬP ĐƠN HÀNG'!$C$6:$C$505,$B48,'NHẬP ĐƠN HÀNG'!$N$6:$N$505,"&gt;0")&gt;0,"Có lấy VAT","Không lấy VAT")))</f>
        <v/>
      </c>
    </row>
    <row r="49" customFormat="false" ht="15" hidden="false" customHeight="false" outlineLevel="0" collapsed="false">
      <c r="A49" s="16" t="str">
        <f aca="false">IF($B49="","",44)</f>
        <v/>
      </c>
      <c r="B49" s="16" t="str">
        <f aca="false">IFERROR(INDEX('NHẬP ĐƠN HÀNG'!$C$6:$C$505,MATCH(44,'NHẬP ĐƠN HÀNG'!$AB$6:$AB$505,0)),"")</f>
        <v/>
      </c>
      <c r="C49" s="16" t="str">
        <f aca="false">IF($B49="","",IFERROR(IF(INDEX('NHẬP ĐƠN HÀNG'!$D$6:$D$505,MATCH($B49,'NHẬP ĐƠN HÀNG'!$C$6:$C$505,0))="","",INDEX('NHẬP ĐƠN HÀNG'!$D$6:$D$505,MATCH($B49,'NHẬP ĐƠN HÀNG'!$C$6:$C$505,0))),""))</f>
        <v/>
      </c>
      <c r="D49" s="16" t="str">
        <f aca="false">IF($B49="","",IFERROR(IF(INDEX('NHẬP ĐƠN HÀNG'!$E$6:$E$505,MATCH($B49,'NHẬP ĐƠN HÀNG'!$C$6:$C$505,0))="","",INDEX('NHẬP ĐƠN HÀNG'!$E$6:$E$505,MATCH($B49,'NHẬP ĐƠN HÀNG'!$C$6:$C$505,0))),""))</f>
        <v/>
      </c>
      <c r="E49" s="16" t="str">
        <f aca="false">IF($B49="","",IFERROR(IF(INDEX('NHẬP ĐƠN HÀNG'!$F$6:$F$505,MATCH($B49,'NHẬP ĐƠN HÀNG'!$C$6:$C$505,0))="","",INDEX('NHẬP ĐƠN HÀNG'!$F$6:$F$505,MATCH($B49,'NHẬP ĐƠN HÀNG'!$C$6:$C$505,0))),""))</f>
        <v/>
      </c>
      <c r="F49" s="16" t="str">
        <f aca="false">IF($B49="","",IFERROR(IF(INDEX('NHẬP ĐƠN HÀNG'!$G$6:$G$505,MATCH($B49,'NHẬP ĐƠN HÀNG'!$C$6:$C$505,0))="","",INDEX('NHẬP ĐƠN HÀNG'!$G$6:$G$505,MATCH($B49,'NHẬP ĐƠN HÀNG'!$C$6:$C$505,0))),""))</f>
        <v/>
      </c>
      <c r="G49" s="10" t="str">
        <f aca="false">IF($B49="","",COUNTIFS('NHẬP ĐƠN HÀNG'!$C$6:$C$505,$B49,'NHẬP ĐƠN HÀNG'!$L$6:$L$505,"&gt;0"))</f>
        <v/>
      </c>
      <c r="H49" s="10" t="str">
        <f aca="false">IF($B49="","",SUMIF('NHẬP ĐƠN HÀNG'!$C$6:$C$505,$B49,'NHẬP ĐƠN HÀNG'!$L$6:$L$505))</f>
        <v/>
      </c>
      <c r="I49" s="10" t="str">
        <f aca="false">IF($B49="","",SUMIF('NHẬP ĐƠN HÀNG'!$C$6:$C$505,$B49,'NHẬP ĐƠN HÀNG'!$P$6:$P$505))</f>
        <v/>
      </c>
      <c r="J49" s="10" t="str">
        <f aca="false">IF($B49="","",SUMIF('NHẬP ĐƠN HÀNG'!$C$6:$C$505,$B49,'NHẬP ĐƠN HÀNG'!$Q$6:$Q$505))</f>
        <v/>
      </c>
      <c r="K49" s="10" t="str">
        <f aca="false">IF($B49="","",SUMIF('NHẬP ĐƠN HÀNG'!$C$6:$C$505,$B49,'NHẬP ĐƠN HÀNG'!$R$6:$R$505))</f>
        <v/>
      </c>
      <c r="L49" s="10" t="str">
        <f aca="false">IF($B49="","",SUMIF('NHẬP ĐƠN HÀNG'!$C$6:$C$505,$B49,'NHẬP ĐƠN HÀNG'!$U$6:$U$505))</f>
        <v/>
      </c>
      <c r="M49" s="34" t="str">
        <f aca="false">IF($B49="","",IF(SUMPRODUCT(MAX(('NHẬP ĐƠN HÀNG'!$C$6:$C$505=$B49)*'NHẬP ĐƠN HÀNG'!$B$6:$B$505))=0,"",SUMPRODUCT(MAX(('NHẬP ĐƠN HÀNG'!$C$6:$C$505=$B49)*'NHẬP ĐƠN HÀNG'!$B$6:$B$505))))</f>
        <v/>
      </c>
      <c r="N49" s="16" t="str">
        <f aca="false">IF($B49="","",IF($G49=0,"Chưa có đơn",IF(COUNTIFS('NHẬP ĐƠN HÀNG'!$C$6:$C$505,$B49,'NHẬP ĐƠN HÀNG'!$N$6:$N$505,"&gt;0")&gt;0,"Có lấy VAT","Không lấy VAT")))</f>
        <v/>
      </c>
    </row>
    <row r="50" customFormat="false" ht="15" hidden="false" customHeight="false" outlineLevel="0" collapsed="false">
      <c r="A50" s="16" t="str">
        <f aca="false">IF($B50="","",45)</f>
        <v/>
      </c>
      <c r="B50" s="16" t="str">
        <f aca="false">IFERROR(INDEX('NHẬP ĐƠN HÀNG'!$C$6:$C$505,MATCH(45,'NHẬP ĐƠN HÀNG'!$AB$6:$AB$505,0)),"")</f>
        <v/>
      </c>
      <c r="C50" s="16" t="str">
        <f aca="false">IF($B50="","",IFERROR(IF(INDEX('NHẬP ĐƠN HÀNG'!$D$6:$D$505,MATCH($B50,'NHẬP ĐƠN HÀNG'!$C$6:$C$505,0))="","",INDEX('NHẬP ĐƠN HÀNG'!$D$6:$D$505,MATCH($B50,'NHẬP ĐƠN HÀNG'!$C$6:$C$505,0))),""))</f>
        <v/>
      </c>
      <c r="D50" s="16" t="str">
        <f aca="false">IF($B50="","",IFERROR(IF(INDEX('NHẬP ĐƠN HÀNG'!$E$6:$E$505,MATCH($B50,'NHẬP ĐƠN HÀNG'!$C$6:$C$505,0))="","",INDEX('NHẬP ĐƠN HÀNG'!$E$6:$E$505,MATCH($B50,'NHẬP ĐƠN HÀNG'!$C$6:$C$505,0))),""))</f>
        <v/>
      </c>
      <c r="E50" s="16" t="str">
        <f aca="false">IF($B50="","",IFERROR(IF(INDEX('NHẬP ĐƠN HÀNG'!$F$6:$F$505,MATCH($B50,'NHẬP ĐƠN HÀNG'!$C$6:$C$505,0))="","",INDEX('NHẬP ĐƠN HÀNG'!$F$6:$F$505,MATCH($B50,'NHẬP ĐƠN HÀNG'!$C$6:$C$505,0))),""))</f>
        <v/>
      </c>
      <c r="F50" s="16" t="str">
        <f aca="false">IF($B50="","",IFERROR(IF(INDEX('NHẬP ĐƠN HÀNG'!$G$6:$G$505,MATCH($B50,'NHẬP ĐƠN HÀNG'!$C$6:$C$505,0))="","",INDEX('NHẬP ĐƠN HÀNG'!$G$6:$G$505,MATCH($B50,'NHẬP ĐƠN HÀNG'!$C$6:$C$505,0))),""))</f>
        <v/>
      </c>
      <c r="G50" s="10" t="str">
        <f aca="false">IF($B50="","",COUNTIFS('NHẬP ĐƠN HÀNG'!$C$6:$C$505,$B50,'NHẬP ĐƠN HÀNG'!$L$6:$L$505,"&gt;0"))</f>
        <v/>
      </c>
      <c r="H50" s="10" t="str">
        <f aca="false">IF($B50="","",SUMIF('NHẬP ĐƠN HÀNG'!$C$6:$C$505,$B50,'NHẬP ĐƠN HÀNG'!$L$6:$L$505))</f>
        <v/>
      </c>
      <c r="I50" s="10" t="str">
        <f aca="false">IF($B50="","",SUMIF('NHẬP ĐƠN HÀNG'!$C$6:$C$505,$B50,'NHẬP ĐƠN HÀNG'!$P$6:$P$505))</f>
        <v/>
      </c>
      <c r="J50" s="10" t="str">
        <f aca="false">IF($B50="","",SUMIF('NHẬP ĐƠN HÀNG'!$C$6:$C$505,$B50,'NHẬP ĐƠN HÀNG'!$Q$6:$Q$505))</f>
        <v/>
      </c>
      <c r="K50" s="10" t="str">
        <f aca="false">IF($B50="","",SUMIF('NHẬP ĐƠN HÀNG'!$C$6:$C$505,$B50,'NHẬP ĐƠN HÀNG'!$R$6:$R$505))</f>
        <v/>
      </c>
      <c r="L50" s="10" t="str">
        <f aca="false">IF($B50="","",SUMIF('NHẬP ĐƠN HÀNG'!$C$6:$C$505,$B50,'NHẬP ĐƠN HÀNG'!$U$6:$U$505))</f>
        <v/>
      </c>
      <c r="M50" s="34" t="str">
        <f aca="false">IF($B50="","",IF(SUMPRODUCT(MAX(('NHẬP ĐƠN HÀNG'!$C$6:$C$505=$B50)*'NHẬP ĐƠN HÀNG'!$B$6:$B$505))=0,"",SUMPRODUCT(MAX(('NHẬP ĐƠN HÀNG'!$C$6:$C$505=$B50)*'NHẬP ĐƠN HÀNG'!$B$6:$B$505))))</f>
        <v/>
      </c>
      <c r="N50" s="16" t="str">
        <f aca="false">IF($B50="","",IF($G50=0,"Chưa có đơn",IF(COUNTIFS('NHẬP ĐƠN HÀNG'!$C$6:$C$505,$B50,'NHẬP ĐƠN HÀNG'!$N$6:$N$505,"&gt;0")&gt;0,"Có lấy VAT","Không lấy VAT")))</f>
        <v/>
      </c>
    </row>
    <row r="51" customFormat="false" ht="15" hidden="false" customHeight="false" outlineLevel="0" collapsed="false">
      <c r="A51" s="16" t="str">
        <f aca="false">IF($B51="","",46)</f>
        <v/>
      </c>
      <c r="B51" s="16" t="str">
        <f aca="false">IFERROR(INDEX('NHẬP ĐƠN HÀNG'!$C$6:$C$505,MATCH(46,'NHẬP ĐƠN HÀNG'!$AB$6:$AB$505,0)),"")</f>
        <v/>
      </c>
      <c r="C51" s="16" t="str">
        <f aca="false">IF($B51="","",IFERROR(IF(INDEX('NHẬP ĐƠN HÀNG'!$D$6:$D$505,MATCH($B51,'NHẬP ĐƠN HÀNG'!$C$6:$C$505,0))="","",INDEX('NHẬP ĐƠN HÀNG'!$D$6:$D$505,MATCH($B51,'NHẬP ĐƠN HÀNG'!$C$6:$C$505,0))),""))</f>
        <v/>
      </c>
      <c r="D51" s="16" t="str">
        <f aca="false">IF($B51="","",IFERROR(IF(INDEX('NHẬP ĐƠN HÀNG'!$E$6:$E$505,MATCH($B51,'NHẬP ĐƠN HÀNG'!$C$6:$C$505,0))="","",INDEX('NHẬP ĐƠN HÀNG'!$E$6:$E$505,MATCH($B51,'NHẬP ĐƠN HÀNG'!$C$6:$C$505,0))),""))</f>
        <v/>
      </c>
      <c r="E51" s="16" t="str">
        <f aca="false">IF($B51="","",IFERROR(IF(INDEX('NHẬP ĐƠN HÀNG'!$F$6:$F$505,MATCH($B51,'NHẬP ĐƠN HÀNG'!$C$6:$C$505,0))="","",INDEX('NHẬP ĐƠN HÀNG'!$F$6:$F$505,MATCH($B51,'NHẬP ĐƠN HÀNG'!$C$6:$C$505,0))),""))</f>
        <v/>
      </c>
      <c r="F51" s="16" t="str">
        <f aca="false">IF($B51="","",IFERROR(IF(INDEX('NHẬP ĐƠN HÀNG'!$G$6:$G$505,MATCH($B51,'NHẬP ĐƠN HÀNG'!$C$6:$C$505,0))="","",INDEX('NHẬP ĐƠN HÀNG'!$G$6:$G$505,MATCH($B51,'NHẬP ĐƠN HÀNG'!$C$6:$C$505,0))),""))</f>
        <v/>
      </c>
      <c r="G51" s="10" t="str">
        <f aca="false">IF($B51="","",COUNTIFS('NHẬP ĐƠN HÀNG'!$C$6:$C$505,$B51,'NHẬP ĐƠN HÀNG'!$L$6:$L$505,"&gt;0"))</f>
        <v/>
      </c>
      <c r="H51" s="10" t="str">
        <f aca="false">IF($B51="","",SUMIF('NHẬP ĐƠN HÀNG'!$C$6:$C$505,$B51,'NHẬP ĐƠN HÀNG'!$L$6:$L$505))</f>
        <v/>
      </c>
      <c r="I51" s="10" t="str">
        <f aca="false">IF($B51="","",SUMIF('NHẬP ĐƠN HÀNG'!$C$6:$C$505,$B51,'NHẬP ĐƠN HÀNG'!$P$6:$P$505))</f>
        <v/>
      </c>
      <c r="J51" s="10" t="str">
        <f aca="false">IF($B51="","",SUMIF('NHẬP ĐƠN HÀNG'!$C$6:$C$505,$B51,'NHẬP ĐƠN HÀNG'!$Q$6:$Q$505))</f>
        <v/>
      </c>
      <c r="K51" s="10" t="str">
        <f aca="false">IF($B51="","",SUMIF('NHẬP ĐƠN HÀNG'!$C$6:$C$505,$B51,'NHẬP ĐƠN HÀNG'!$R$6:$R$505))</f>
        <v/>
      </c>
      <c r="L51" s="10" t="str">
        <f aca="false">IF($B51="","",SUMIF('NHẬP ĐƠN HÀNG'!$C$6:$C$505,$B51,'NHẬP ĐƠN HÀNG'!$U$6:$U$505))</f>
        <v/>
      </c>
      <c r="M51" s="34" t="str">
        <f aca="false">IF($B51="","",IF(SUMPRODUCT(MAX(('NHẬP ĐƠN HÀNG'!$C$6:$C$505=$B51)*'NHẬP ĐƠN HÀNG'!$B$6:$B$505))=0,"",SUMPRODUCT(MAX(('NHẬP ĐƠN HÀNG'!$C$6:$C$505=$B51)*'NHẬP ĐƠN HÀNG'!$B$6:$B$505))))</f>
        <v/>
      </c>
      <c r="N51" s="16" t="str">
        <f aca="false">IF($B51="","",IF($G51=0,"Chưa có đơn",IF(COUNTIFS('NHẬP ĐƠN HÀNG'!$C$6:$C$505,$B51,'NHẬP ĐƠN HÀNG'!$N$6:$N$505,"&gt;0")&gt;0,"Có lấy VAT","Không lấy VAT")))</f>
        <v/>
      </c>
    </row>
    <row r="52" customFormat="false" ht="15" hidden="false" customHeight="false" outlineLevel="0" collapsed="false">
      <c r="A52" s="16" t="str">
        <f aca="false">IF($B52="","",47)</f>
        <v/>
      </c>
      <c r="B52" s="16" t="str">
        <f aca="false">IFERROR(INDEX('NHẬP ĐƠN HÀNG'!$C$6:$C$505,MATCH(47,'NHẬP ĐƠN HÀNG'!$AB$6:$AB$505,0)),"")</f>
        <v/>
      </c>
      <c r="C52" s="16" t="str">
        <f aca="false">IF($B52="","",IFERROR(IF(INDEX('NHẬP ĐƠN HÀNG'!$D$6:$D$505,MATCH($B52,'NHẬP ĐƠN HÀNG'!$C$6:$C$505,0))="","",INDEX('NHẬP ĐƠN HÀNG'!$D$6:$D$505,MATCH($B52,'NHẬP ĐƠN HÀNG'!$C$6:$C$505,0))),""))</f>
        <v/>
      </c>
      <c r="D52" s="16" t="str">
        <f aca="false">IF($B52="","",IFERROR(IF(INDEX('NHẬP ĐƠN HÀNG'!$E$6:$E$505,MATCH($B52,'NHẬP ĐƠN HÀNG'!$C$6:$C$505,0))="","",INDEX('NHẬP ĐƠN HÀNG'!$E$6:$E$505,MATCH($B52,'NHẬP ĐƠN HÀNG'!$C$6:$C$505,0))),""))</f>
        <v/>
      </c>
      <c r="E52" s="16" t="str">
        <f aca="false">IF($B52="","",IFERROR(IF(INDEX('NHẬP ĐƠN HÀNG'!$F$6:$F$505,MATCH($B52,'NHẬP ĐƠN HÀNG'!$C$6:$C$505,0))="","",INDEX('NHẬP ĐƠN HÀNG'!$F$6:$F$505,MATCH($B52,'NHẬP ĐƠN HÀNG'!$C$6:$C$505,0))),""))</f>
        <v/>
      </c>
      <c r="F52" s="16" t="str">
        <f aca="false">IF($B52="","",IFERROR(IF(INDEX('NHẬP ĐƠN HÀNG'!$G$6:$G$505,MATCH($B52,'NHẬP ĐƠN HÀNG'!$C$6:$C$505,0))="","",INDEX('NHẬP ĐƠN HÀNG'!$G$6:$G$505,MATCH($B52,'NHẬP ĐƠN HÀNG'!$C$6:$C$505,0))),""))</f>
        <v/>
      </c>
      <c r="G52" s="10" t="str">
        <f aca="false">IF($B52="","",COUNTIFS('NHẬP ĐƠN HÀNG'!$C$6:$C$505,$B52,'NHẬP ĐƠN HÀNG'!$L$6:$L$505,"&gt;0"))</f>
        <v/>
      </c>
      <c r="H52" s="10" t="str">
        <f aca="false">IF($B52="","",SUMIF('NHẬP ĐƠN HÀNG'!$C$6:$C$505,$B52,'NHẬP ĐƠN HÀNG'!$L$6:$L$505))</f>
        <v/>
      </c>
      <c r="I52" s="10" t="str">
        <f aca="false">IF($B52="","",SUMIF('NHẬP ĐƠN HÀNG'!$C$6:$C$505,$B52,'NHẬP ĐƠN HÀNG'!$P$6:$P$505))</f>
        <v/>
      </c>
      <c r="J52" s="10" t="str">
        <f aca="false">IF($B52="","",SUMIF('NHẬP ĐƠN HÀNG'!$C$6:$C$505,$B52,'NHẬP ĐƠN HÀNG'!$Q$6:$Q$505))</f>
        <v/>
      </c>
      <c r="K52" s="10" t="str">
        <f aca="false">IF($B52="","",SUMIF('NHẬP ĐƠN HÀNG'!$C$6:$C$505,$B52,'NHẬP ĐƠN HÀNG'!$R$6:$R$505))</f>
        <v/>
      </c>
      <c r="L52" s="10" t="str">
        <f aca="false">IF($B52="","",SUMIF('NHẬP ĐƠN HÀNG'!$C$6:$C$505,$B52,'NHẬP ĐƠN HÀNG'!$U$6:$U$505))</f>
        <v/>
      </c>
      <c r="M52" s="34" t="str">
        <f aca="false">IF($B52="","",IF(SUMPRODUCT(MAX(('NHẬP ĐƠN HÀNG'!$C$6:$C$505=$B52)*'NHẬP ĐƠN HÀNG'!$B$6:$B$505))=0,"",SUMPRODUCT(MAX(('NHẬP ĐƠN HÀNG'!$C$6:$C$505=$B52)*'NHẬP ĐƠN HÀNG'!$B$6:$B$505))))</f>
        <v/>
      </c>
      <c r="N52" s="16" t="str">
        <f aca="false">IF($B52="","",IF($G52=0,"Chưa có đơn",IF(COUNTIFS('NHẬP ĐƠN HÀNG'!$C$6:$C$505,$B52,'NHẬP ĐƠN HÀNG'!$N$6:$N$505,"&gt;0")&gt;0,"Có lấy VAT","Không lấy VAT")))</f>
        <v/>
      </c>
    </row>
    <row r="53" customFormat="false" ht="15" hidden="false" customHeight="false" outlineLevel="0" collapsed="false">
      <c r="A53" s="16" t="str">
        <f aca="false">IF($B53="","",48)</f>
        <v/>
      </c>
      <c r="B53" s="16" t="str">
        <f aca="false">IFERROR(INDEX('NHẬP ĐƠN HÀNG'!$C$6:$C$505,MATCH(48,'NHẬP ĐƠN HÀNG'!$AB$6:$AB$505,0)),"")</f>
        <v/>
      </c>
      <c r="C53" s="16" t="str">
        <f aca="false">IF($B53="","",IFERROR(IF(INDEX('NHẬP ĐƠN HÀNG'!$D$6:$D$505,MATCH($B53,'NHẬP ĐƠN HÀNG'!$C$6:$C$505,0))="","",INDEX('NHẬP ĐƠN HÀNG'!$D$6:$D$505,MATCH($B53,'NHẬP ĐƠN HÀNG'!$C$6:$C$505,0))),""))</f>
        <v/>
      </c>
      <c r="D53" s="16" t="str">
        <f aca="false">IF($B53="","",IFERROR(IF(INDEX('NHẬP ĐƠN HÀNG'!$E$6:$E$505,MATCH($B53,'NHẬP ĐƠN HÀNG'!$C$6:$C$505,0))="","",INDEX('NHẬP ĐƠN HÀNG'!$E$6:$E$505,MATCH($B53,'NHẬP ĐƠN HÀNG'!$C$6:$C$505,0))),""))</f>
        <v/>
      </c>
      <c r="E53" s="16" t="str">
        <f aca="false">IF($B53="","",IFERROR(IF(INDEX('NHẬP ĐƠN HÀNG'!$F$6:$F$505,MATCH($B53,'NHẬP ĐƠN HÀNG'!$C$6:$C$505,0))="","",INDEX('NHẬP ĐƠN HÀNG'!$F$6:$F$505,MATCH($B53,'NHẬP ĐƠN HÀNG'!$C$6:$C$505,0))),""))</f>
        <v/>
      </c>
      <c r="F53" s="16" t="str">
        <f aca="false">IF($B53="","",IFERROR(IF(INDEX('NHẬP ĐƠN HÀNG'!$G$6:$G$505,MATCH($B53,'NHẬP ĐƠN HÀNG'!$C$6:$C$505,0))="","",INDEX('NHẬP ĐƠN HÀNG'!$G$6:$G$505,MATCH($B53,'NHẬP ĐƠN HÀNG'!$C$6:$C$505,0))),""))</f>
        <v/>
      </c>
      <c r="G53" s="10" t="str">
        <f aca="false">IF($B53="","",COUNTIFS('NHẬP ĐƠN HÀNG'!$C$6:$C$505,$B53,'NHẬP ĐƠN HÀNG'!$L$6:$L$505,"&gt;0"))</f>
        <v/>
      </c>
      <c r="H53" s="10" t="str">
        <f aca="false">IF($B53="","",SUMIF('NHẬP ĐƠN HÀNG'!$C$6:$C$505,$B53,'NHẬP ĐƠN HÀNG'!$L$6:$L$505))</f>
        <v/>
      </c>
      <c r="I53" s="10" t="str">
        <f aca="false">IF($B53="","",SUMIF('NHẬP ĐƠN HÀNG'!$C$6:$C$505,$B53,'NHẬP ĐƠN HÀNG'!$P$6:$P$505))</f>
        <v/>
      </c>
      <c r="J53" s="10" t="str">
        <f aca="false">IF($B53="","",SUMIF('NHẬP ĐƠN HÀNG'!$C$6:$C$505,$B53,'NHẬP ĐƠN HÀNG'!$Q$6:$Q$505))</f>
        <v/>
      </c>
      <c r="K53" s="10" t="str">
        <f aca="false">IF($B53="","",SUMIF('NHẬP ĐƠN HÀNG'!$C$6:$C$505,$B53,'NHẬP ĐƠN HÀNG'!$R$6:$R$505))</f>
        <v/>
      </c>
      <c r="L53" s="10" t="str">
        <f aca="false">IF($B53="","",SUMIF('NHẬP ĐƠN HÀNG'!$C$6:$C$505,$B53,'NHẬP ĐƠN HÀNG'!$U$6:$U$505))</f>
        <v/>
      </c>
      <c r="M53" s="34" t="str">
        <f aca="false">IF($B53="","",IF(SUMPRODUCT(MAX(('NHẬP ĐƠN HÀNG'!$C$6:$C$505=$B53)*'NHẬP ĐƠN HÀNG'!$B$6:$B$505))=0,"",SUMPRODUCT(MAX(('NHẬP ĐƠN HÀNG'!$C$6:$C$505=$B53)*'NHẬP ĐƠN HÀNG'!$B$6:$B$505))))</f>
        <v/>
      </c>
      <c r="N53" s="16" t="str">
        <f aca="false">IF($B53="","",IF($G53=0,"Chưa có đơn",IF(COUNTIFS('NHẬP ĐƠN HÀNG'!$C$6:$C$505,$B53,'NHẬP ĐƠN HÀNG'!$N$6:$N$505,"&gt;0")&gt;0,"Có lấy VAT","Không lấy VAT")))</f>
        <v/>
      </c>
    </row>
    <row r="54" customFormat="false" ht="15" hidden="false" customHeight="false" outlineLevel="0" collapsed="false">
      <c r="A54" s="16" t="str">
        <f aca="false">IF($B54="","",49)</f>
        <v/>
      </c>
      <c r="B54" s="16" t="str">
        <f aca="false">IFERROR(INDEX('NHẬP ĐƠN HÀNG'!$C$6:$C$505,MATCH(49,'NHẬP ĐƠN HÀNG'!$AB$6:$AB$505,0)),"")</f>
        <v/>
      </c>
      <c r="C54" s="16" t="str">
        <f aca="false">IF($B54="","",IFERROR(IF(INDEX('NHẬP ĐƠN HÀNG'!$D$6:$D$505,MATCH($B54,'NHẬP ĐƠN HÀNG'!$C$6:$C$505,0))="","",INDEX('NHẬP ĐƠN HÀNG'!$D$6:$D$505,MATCH($B54,'NHẬP ĐƠN HÀNG'!$C$6:$C$505,0))),""))</f>
        <v/>
      </c>
      <c r="D54" s="16" t="str">
        <f aca="false">IF($B54="","",IFERROR(IF(INDEX('NHẬP ĐƠN HÀNG'!$E$6:$E$505,MATCH($B54,'NHẬP ĐƠN HÀNG'!$C$6:$C$505,0))="","",INDEX('NHẬP ĐƠN HÀNG'!$E$6:$E$505,MATCH($B54,'NHẬP ĐƠN HÀNG'!$C$6:$C$505,0))),""))</f>
        <v/>
      </c>
      <c r="E54" s="16" t="str">
        <f aca="false">IF($B54="","",IFERROR(IF(INDEX('NHẬP ĐƠN HÀNG'!$F$6:$F$505,MATCH($B54,'NHẬP ĐƠN HÀNG'!$C$6:$C$505,0))="","",INDEX('NHẬP ĐƠN HÀNG'!$F$6:$F$505,MATCH($B54,'NHẬP ĐƠN HÀNG'!$C$6:$C$505,0))),""))</f>
        <v/>
      </c>
      <c r="F54" s="16" t="str">
        <f aca="false">IF($B54="","",IFERROR(IF(INDEX('NHẬP ĐƠN HÀNG'!$G$6:$G$505,MATCH($B54,'NHẬP ĐƠN HÀNG'!$C$6:$C$505,0))="","",INDEX('NHẬP ĐƠN HÀNG'!$G$6:$G$505,MATCH($B54,'NHẬP ĐƠN HÀNG'!$C$6:$C$505,0))),""))</f>
        <v/>
      </c>
      <c r="G54" s="10" t="str">
        <f aca="false">IF($B54="","",COUNTIFS('NHẬP ĐƠN HÀNG'!$C$6:$C$505,$B54,'NHẬP ĐƠN HÀNG'!$L$6:$L$505,"&gt;0"))</f>
        <v/>
      </c>
      <c r="H54" s="10" t="str">
        <f aca="false">IF($B54="","",SUMIF('NHẬP ĐƠN HÀNG'!$C$6:$C$505,$B54,'NHẬP ĐƠN HÀNG'!$L$6:$L$505))</f>
        <v/>
      </c>
      <c r="I54" s="10" t="str">
        <f aca="false">IF($B54="","",SUMIF('NHẬP ĐƠN HÀNG'!$C$6:$C$505,$B54,'NHẬP ĐƠN HÀNG'!$P$6:$P$505))</f>
        <v/>
      </c>
      <c r="J54" s="10" t="str">
        <f aca="false">IF($B54="","",SUMIF('NHẬP ĐƠN HÀNG'!$C$6:$C$505,$B54,'NHẬP ĐƠN HÀNG'!$Q$6:$Q$505))</f>
        <v/>
      </c>
      <c r="K54" s="10" t="str">
        <f aca="false">IF($B54="","",SUMIF('NHẬP ĐƠN HÀNG'!$C$6:$C$505,$B54,'NHẬP ĐƠN HÀNG'!$R$6:$R$505))</f>
        <v/>
      </c>
      <c r="L54" s="10" t="str">
        <f aca="false">IF($B54="","",SUMIF('NHẬP ĐƠN HÀNG'!$C$6:$C$505,$B54,'NHẬP ĐƠN HÀNG'!$U$6:$U$505))</f>
        <v/>
      </c>
      <c r="M54" s="34" t="str">
        <f aca="false">IF($B54="","",IF(SUMPRODUCT(MAX(('NHẬP ĐƠN HÀNG'!$C$6:$C$505=$B54)*'NHẬP ĐƠN HÀNG'!$B$6:$B$505))=0,"",SUMPRODUCT(MAX(('NHẬP ĐƠN HÀNG'!$C$6:$C$505=$B54)*'NHẬP ĐƠN HÀNG'!$B$6:$B$505))))</f>
        <v/>
      </c>
      <c r="N54" s="16" t="str">
        <f aca="false">IF($B54="","",IF($G54=0,"Chưa có đơn",IF(COUNTIFS('NHẬP ĐƠN HÀNG'!$C$6:$C$505,$B54,'NHẬP ĐƠN HÀNG'!$N$6:$N$505,"&gt;0")&gt;0,"Có lấy VAT","Không lấy VAT")))</f>
        <v/>
      </c>
    </row>
    <row r="55" customFormat="false" ht="15" hidden="false" customHeight="false" outlineLevel="0" collapsed="false">
      <c r="A55" s="16" t="str">
        <f aca="false">IF($B55="","",50)</f>
        <v/>
      </c>
      <c r="B55" s="16" t="str">
        <f aca="false">IFERROR(INDEX('NHẬP ĐƠN HÀNG'!$C$6:$C$505,MATCH(50,'NHẬP ĐƠN HÀNG'!$AB$6:$AB$505,0)),"")</f>
        <v/>
      </c>
      <c r="C55" s="16" t="str">
        <f aca="false">IF($B55="","",IFERROR(IF(INDEX('NHẬP ĐƠN HÀNG'!$D$6:$D$505,MATCH($B55,'NHẬP ĐƠN HÀNG'!$C$6:$C$505,0))="","",INDEX('NHẬP ĐƠN HÀNG'!$D$6:$D$505,MATCH($B55,'NHẬP ĐƠN HÀNG'!$C$6:$C$505,0))),""))</f>
        <v/>
      </c>
      <c r="D55" s="16" t="str">
        <f aca="false">IF($B55="","",IFERROR(IF(INDEX('NHẬP ĐƠN HÀNG'!$E$6:$E$505,MATCH($B55,'NHẬP ĐƠN HÀNG'!$C$6:$C$505,0))="","",INDEX('NHẬP ĐƠN HÀNG'!$E$6:$E$505,MATCH($B55,'NHẬP ĐƠN HÀNG'!$C$6:$C$505,0))),""))</f>
        <v/>
      </c>
      <c r="E55" s="16" t="str">
        <f aca="false">IF($B55="","",IFERROR(IF(INDEX('NHẬP ĐƠN HÀNG'!$F$6:$F$505,MATCH($B55,'NHẬP ĐƠN HÀNG'!$C$6:$C$505,0))="","",INDEX('NHẬP ĐƠN HÀNG'!$F$6:$F$505,MATCH($B55,'NHẬP ĐƠN HÀNG'!$C$6:$C$505,0))),""))</f>
        <v/>
      </c>
      <c r="F55" s="16" t="str">
        <f aca="false">IF($B55="","",IFERROR(IF(INDEX('NHẬP ĐƠN HÀNG'!$G$6:$G$505,MATCH($B55,'NHẬP ĐƠN HÀNG'!$C$6:$C$505,0))="","",INDEX('NHẬP ĐƠN HÀNG'!$G$6:$G$505,MATCH($B55,'NHẬP ĐƠN HÀNG'!$C$6:$C$505,0))),""))</f>
        <v/>
      </c>
      <c r="G55" s="10" t="str">
        <f aca="false">IF($B55="","",COUNTIFS('NHẬP ĐƠN HÀNG'!$C$6:$C$505,$B55,'NHẬP ĐƠN HÀNG'!$L$6:$L$505,"&gt;0"))</f>
        <v/>
      </c>
      <c r="H55" s="10" t="str">
        <f aca="false">IF($B55="","",SUMIF('NHẬP ĐƠN HÀNG'!$C$6:$C$505,$B55,'NHẬP ĐƠN HÀNG'!$L$6:$L$505))</f>
        <v/>
      </c>
      <c r="I55" s="10" t="str">
        <f aca="false">IF($B55="","",SUMIF('NHẬP ĐƠN HÀNG'!$C$6:$C$505,$B55,'NHẬP ĐƠN HÀNG'!$P$6:$P$505))</f>
        <v/>
      </c>
      <c r="J55" s="10" t="str">
        <f aca="false">IF($B55="","",SUMIF('NHẬP ĐƠN HÀNG'!$C$6:$C$505,$B55,'NHẬP ĐƠN HÀNG'!$Q$6:$Q$505))</f>
        <v/>
      </c>
      <c r="K55" s="10" t="str">
        <f aca="false">IF($B55="","",SUMIF('NHẬP ĐƠN HÀNG'!$C$6:$C$505,$B55,'NHẬP ĐƠN HÀNG'!$R$6:$R$505))</f>
        <v/>
      </c>
      <c r="L55" s="10" t="str">
        <f aca="false">IF($B55="","",SUMIF('NHẬP ĐƠN HÀNG'!$C$6:$C$505,$B55,'NHẬP ĐƠN HÀNG'!$U$6:$U$505))</f>
        <v/>
      </c>
      <c r="M55" s="34" t="str">
        <f aca="false">IF($B55="","",IF(SUMPRODUCT(MAX(('NHẬP ĐƠN HÀNG'!$C$6:$C$505=$B55)*'NHẬP ĐƠN HÀNG'!$B$6:$B$505))=0,"",SUMPRODUCT(MAX(('NHẬP ĐƠN HÀNG'!$C$6:$C$505=$B55)*'NHẬP ĐƠN HÀNG'!$B$6:$B$505))))</f>
        <v/>
      </c>
      <c r="N55" s="16" t="str">
        <f aca="false">IF($B55="","",IF($G55=0,"Chưa có đơn",IF(COUNTIFS('NHẬP ĐƠN HÀNG'!$C$6:$C$505,$B55,'NHẬP ĐƠN HÀNG'!$N$6:$N$505,"&gt;0")&gt;0,"Có lấy VAT","Không lấy VAT")))</f>
        <v/>
      </c>
    </row>
    <row r="56" customFormat="false" ht="15" hidden="false" customHeight="false" outlineLevel="0" collapsed="false">
      <c r="A56" s="16" t="str">
        <f aca="false">IF($B56="","",51)</f>
        <v/>
      </c>
      <c r="B56" s="16" t="str">
        <f aca="false">IFERROR(INDEX('NHẬP ĐƠN HÀNG'!$C$6:$C$505,MATCH(51,'NHẬP ĐƠN HÀNG'!$AB$6:$AB$505,0)),"")</f>
        <v/>
      </c>
      <c r="C56" s="16" t="str">
        <f aca="false">IF($B56="","",IFERROR(IF(INDEX('NHẬP ĐƠN HÀNG'!$D$6:$D$505,MATCH($B56,'NHẬP ĐƠN HÀNG'!$C$6:$C$505,0))="","",INDEX('NHẬP ĐƠN HÀNG'!$D$6:$D$505,MATCH($B56,'NHẬP ĐƠN HÀNG'!$C$6:$C$505,0))),""))</f>
        <v/>
      </c>
      <c r="D56" s="16" t="str">
        <f aca="false">IF($B56="","",IFERROR(IF(INDEX('NHẬP ĐƠN HÀNG'!$E$6:$E$505,MATCH($B56,'NHẬP ĐƠN HÀNG'!$C$6:$C$505,0))="","",INDEX('NHẬP ĐƠN HÀNG'!$E$6:$E$505,MATCH($B56,'NHẬP ĐƠN HÀNG'!$C$6:$C$505,0))),""))</f>
        <v/>
      </c>
      <c r="E56" s="16" t="str">
        <f aca="false">IF($B56="","",IFERROR(IF(INDEX('NHẬP ĐƠN HÀNG'!$F$6:$F$505,MATCH($B56,'NHẬP ĐƠN HÀNG'!$C$6:$C$505,0))="","",INDEX('NHẬP ĐƠN HÀNG'!$F$6:$F$505,MATCH($B56,'NHẬP ĐƠN HÀNG'!$C$6:$C$505,0))),""))</f>
        <v/>
      </c>
      <c r="F56" s="16" t="str">
        <f aca="false">IF($B56="","",IFERROR(IF(INDEX('NHẬP ĐƠN HÀNG'!$G$6:$G$505,MATCH($B56,'NHẬP ĐƠN HÀNG'!$C$6:$C$505,0))="","",INDEX('NHẬP ĐƠN HÀNG'!$G$6:$G$505,MATCH($B56,'NHẬP ĐƠN HÀNG'!$C$6:$C$505,0))),""))</f>
        <v/>
      </c>
      <c r="G56" s="10" t="str">
        <f aca="false">IF($B56="","",COUNTIFS('NHẬP ĐƠN HÀNG'!$C$6:$C$505,$B56,'NHẬP ĐƠN HÀNG'!$L$6:$L$505,"&gt;0"))</f>
        <v/>
      </c>
      <c r="H56" s="10" t="str">
        <f aca="false">IF($B56="","",SUMIF('NHẬP ĐƠN HÀNG'!$C$6:$C$505,$B56,'NHẬP ĐƠN HÀNG'!$L$6:$L$505))</f>
        <v/>
      </c>
      <c r="I56" s="10" t="str">
        <f aca="false">IF($B56="","",SUMIF('NHẬP ĐƠN HÀNG'!$C$6:$C$505,$B56,'NHẬP ĐƠN HÀNG'!$P$6:$P$505))</f>
        <v/>
      </c>
      <c r="J56" s="10" t="str">
        <f aca="false">IF($B56="","",SUMIF('NHẬP ĐƠN HÀNG'!$C$6:$C$505,$B56,'NHẬP ĐƠN HÀNG'!$Q$6:$Q$505))</f>
        <v/>
      </c>
      <c r="K56" s="10" t="str">
        <f aca="false">IF($B56="","",SUMIF('NHẬP ĐƠN HÀNG'!$C$6:$C$505,$B56,'NHẬP ĐƠN HÀNG'!$R$6:$R$505))</f>
        <v/>
      </c>
      <c r="L56" s="10" t="str">
        <f aca="false">IF($B56="","",SUMIF('NHẬP ĐƠN HÀNG'!$C$6:$C$505,$B56,'NHẬP ĐƠN HÀNG'!$U$6:$U$505))</f>
        <v/>
      </c>
      <c r="M56" s="34" t="str">
        <f aca="false">IF($B56="","",IF(SUMPRODUCT(MAX(('NHẬP ĐƠN HÀNG'!$C$6:$C$505=$B56)*'NHẬP ĐƠN HÀNG'!$B$6:$B$505))=0,"",SUMPRODUCT(MAX(('NHẬP ĐƠN HÀNG'!$C$6:$C$505=$B56)*'NHẬP ĐƠN HÀNG'!$B$6:$B$505))))</f>
        <v/>
      </c>
      <c r="N56" s="16" t="str">
        <f aca="false">IF($B56="","",IF($G56=0,"Chưa có đơn",IF(COUNTIFS('NHẬP ĐƠN HÀNG'!$C$6:$C$505,$B56,'NHẬP ĐƠN HÀNG'!$N$6:$N$505,"&gt;0")&gt;0,"Có lấy VAT","Không lấy VAT")))</f>
        <v/>
      </c>
    </row>
    <row r="57" customFormat="false" ht="15" hidden="false" customHeight="false" outlineLevel="0" collapsed="false">
      <c r="A57" s="16" t="str">
        <f aca="false">IF($B57="","",52)</f>
        <v/>
      </c>
      <c r="B57" s="16" t="str">
        <f aca="false">IFERROR(INDEX('NHẬP ĐƠN HÀNG'!$C$6:$C$505,MATCH(52,'NHẬP ĐƠN HÀNG'!$AB$6:$AB$505,0)),"")</f>
        <v/>
      </c>
      <c r="C57" s="16" t="str">
        <f aca="false">IF($B57="","",IFERROR(IF(INDEX('NHẬP ĐƠN HÀNG'!$D$6:$D$505,MATCH($B57,'NHẬP ĐƠN HÀNG'!$C$6:$C$505,0))="","",INDEX('NHẬP ĐƠN HÀNG'!$D$6:$D$505,MATCH($B57,'NHẬP ĐƠN HÀNG'!$C$6:$C$505,0))),""))</f>
        <v/>
      </c>
      <c r="D57" s="16" t="str">
        <f aca="false">IF($B57="","",IFERROR(IF(INDEX('NHẬP ĐƠN HÀNG'!$E$6:$E$505,MATCH($B57,'NHẬP ĐƠN HÀNG'!$C$6:$C$505,0))="","",INDEX('NHẬP ĐƠN HÀNG'!$E$6:$E$505,MATCH($B57,'NHẬP ĐƠN HÀNG'!$C$6:$C$505,0))),""))</f>
        <v/>
      </c>
      <c r="E57" s="16" t="str">
        <f aca="false">IF($B57="","",IFERROR(IF(INDEX('NHẬP ĐƠN HÀNG'!$F$6:$F$505,MATCH($B57,'NHẬP ĐƠN HÀNG'!$C$6:$C$505,0))="","",INDEX('NHẬP ĐƠN HÀNG'!$F$6:$F$505,MATCH($B57,'NHẬP ĐƠN HÀNG'!$C$6:$C$505,0))),""))</f>
        <v/>
      </c>
      <c r="F57" s="16" t="str">
        <f aca="false">IF($B57="","",IFERROR(IF(INDEX('NHẬP ĐƠN HÀNG'!$G$6:$G$505,MATCH($B57,'NHẬP ĐƠN HÀNG'!$C$6:$C$505,0))="","",INDEX('NHẬP ĐƠN HÀNG'!$G$6:$G$505,MATCH($B57,'NHẬP ĐƠN HÀNG'!$C$6:$C$505,0))),""))</f>
        <v/>
      </c>
      <c r="G57" s="10" t="str">
        <f aca="false">IF($B57="","",COUNTIFS('NHẬP ĐƠN HÀNG'!$C$6:$C$505,$B57,'NHẬP ĐƠN HÀNG'!$L$6:$L$505,"&gt;0"))</f>
        <v/>
      </c>
      <c r="H57" s="10" t="str">
        <f aca="false">IF($B57="","",SUMIF('NHẬP ĐƠN HÀNG'!$C$6:$C$505,$B57,'NHẬP ĐƠN HÀNG'!$L$6:$L$505))</f>
        <v/>
      </c>
      <c r="I57" s="10" t="str">
        <f aca="false">IF($B57="","",SUMIF('NHẬP ĐƠN HÀNG'!$C$6:$C$505,$B57,'NHẬP ĐƠN HÀNG'!$P$6:$P$505))</f>
        <v/>
      </c>
      <c r="J57" s="10" t="str">
        <f aca="false">IF($B57="","",SUMIF('NHẬP ĐƠN HÀNG'!$C$6:$C$505,$B57,'NHẬP ĐƠN HÀNG'!$Q$6:$Q$505))</f>
        <v/>
      </c>
      <c r="K57" s="10" t="str">
        <f aca="false">IF($B57="","",SUMIF('NHẬP ĐƠN HÀNG'!$C$6:$C$505,$B57,'NHẬP ĐƠN HÀNG'!$R$6:$R$505))</f>
        <v/>
      </c>
      <c r="L57" s="10" t="str">
        <f aca="false">IF($B57="","",SUMIF('NHẬP ĐƠN HÀNG'!$C$6:$C$505,$B57,'NHẬP ĐƠN HÀNG'!$U$6:$U$505))</f>
        <v/>
      </c>
      <c r="M57" s="34" t="str">
        <f aca="false">IF($B57="","",IF(SUMPRODUCT(MAX(('NHẬP ĐƠN HÀNG'!$C$6:$C$505=$B57)*'NHẬP ĐƠN HÀNG'!$B$6:$B$505))=0,"",SUMPRODUCT(MAX(('NHẬP ĐƠN HÀNG'!$C$6:$C$505=$B57)*'NHẬP ĐƠN HÀNG'!$B$6:$B$505))))</f>
        <v/>
      </c>
      <c r="N57" s="16" t="str">
        <f aca="false">IF($B57="","",IF($G57=0,"Chưa có đơn",IF(COUNTIFS('NHẬP ĐƠN HÀNG'!$C$6:$C$505,$B57,'NHẬP ĐƠN HÀNG'!$N$6:$N$505,"&gt;0")&gt;0,"Có lấy VAT","Không lấy VAT")))</f>
        <v/>
      </c>
    </row>
    <row r="58" customFormat="false" ht="15" hidden="false" customHeight="false" outlineLevel="0" collapsed="false">
      <c r="A58" s="16" t="str">
        <f aca="false">IF($B58="","",53)</f>
        <v/>
      </c>
      <c r="B58" s="16" t="str">
        <f aca="false">IFERROR(INDEX('NHẬP ĐƠN HÀNG'!$C$6:$C$505,MATCH(53,'NHẬP ĐƠN HÀNG'!$AB$6:$AB$505,0)),"")</f>
        <v/>
      </c>
      <c r="C58" s="16" t="str">
        <f aca="false">IF($B58="","",IFERROR(IF(INDEX('NHẬP ĐƠN HÀNG'!$D$6:$D$505,MATCH($B58,'NHẬP ĐƠN HÀNG'!$C$6:$C$505,0))="","",INDEX('NHẬP ĐƠN HÀNG'!$D$6:$D$505,MATCH($B58,'NHẬP ĐƠN HÀNG'!$C$6:$C$505,0))),""))</f>
        <v/>
      </c>
      <c r="D58" s="16" t="str">
        <f aca="false">IF($B58="","",IFERROR(IF(INDEX('NHẬP ĐƠN HÀNG'!$E$6:$E$505,MATCH($B58,'NHẬP ĐƠN HÀNG'!$C$6:$C$505,0))="","",INDEX('NHẬP ĐƠN HÀNG'!$E$6:$E$505,MATCH($B58,'NHẬP ĐƠN HÀNG'!$C$6:$C$505,0))),""))</f>
        <v/>
      </c>
      <c r="E58" s="16" t="str">
        <f aca="false">IF($B58="","",IFERROR(IF(INDEX('NHẬP ĐƠN HÀNG'!$F$6:$F$505,MATCH($B58,'NHẬP ĐƠN HÀNG'!$C$6:$C$505,0))="","",INDEX('NHẬP ĐƠN HÀNG'!$F$6:$F$505,MATCH($B58,'NHẬP ĐƠN HÀNG'!$C$6:$C$505,0))),""))</f>
        <v/>
      </c>
      <c r="F58" s="16" t="str">
        <f aca="false">IF($B58="","",IFERROR(IF(INDEX('NHẬP ĐƠN HÀNG'!$G$6:$G$505,MATCH($B58,'NHẬP ĐƠN HÀNG'!$C$6:$C$505,0))="","",INDEX('NHẬP ĐƠN HÀNG'!$G$6:$G$505,MATCH($B58,'NHẬP ĐƠN HÀNG'!$C$6:$C$505,0))),""))</f>
        <v/>
      </c>
      <c r="G58" s="10" t="str">
        <f aca="false">IF($B58="","",COUNTIFS('NHẬP ĐƠN HÀNG'!$C$6:$C$505,$B58,'NHẬP ĐƠN HÀNG'!$L$6:$L$505,"&gt;0"))</f>
        <v/>
      </c>
      <c r="H58" s="10" t="str">
        <f aca="false">IF($B58="","",SUMIF('NHẬP ĐƠN HÀNG'!$C$6:$C$505,$B58,'NHẬP ĐƠN HÀNG'!$L$6:$L$505))</f>
        <v/>
      </c>
      <c r="I58" s="10" t="str">
        <f aca="false">IF($B58="","",SUMIF('NHẬP ĐƠN HÀNG'!$C$6:$C$505,$B58,'NHẬP ĐƠN HÀNG'!$P$6:$P$505))</f>
        <v/>
      </c>
      <c r="J58" s="10" t="str">
        <f aca="false">IF($B58="","",SUMIF('NHẬP ĐƠN HÀNG'!$C$6:$C$505,$B58,'NHẬP ĐƠN HÀNG'!$Q$6:$Q$505))</f>
        <v/>
      </c>
      <c r="K58" s="10" t="str">
        <f aca="false">IF($B58="","",SUMIF('NHẬP ĐƠN HÀNG'!$C$6:$C$505,$B58,'NHẬP ĐƠN HÀNG'!$R$6:$R$505))</f>
        <v/>
      </c>
      <c r="L58" s="10" t="str">
        <f aca="false">IF($B58="","",SUMIF('NHẬP ĐƠN HÀNG'!$C$6:$C$505,$B58,'NHẬP ĐƠN HÀNG'!$U$6:$U$505))</f>
        <v/>
      </c>
      <c r="M58" s="34" t="str">
        <f aca="false">IF($B58="","",IF(SUMPRODUCT(MAX(('NHẬP ĐƠN HÀNG'!$C$6:$C$505=$B58)*'NHẬP ĐƠN HÀNG'!$B$6:$B$505))=0,"",SUMPRODUCT(MAX(('NHẬP ĐƠN HÀNG'!$C$6:$C$505=$B58)*'NHẬP ĐƠN HÀNG'!$B$6:$B$505))))</f>
        <v/>
      </c>
      <c r="N58" s="16" t="str">
        <f aca="false">IF($B58="","",IF($G58=0,"Chưa có đơn",IF(COUNTIFS('NHẬP ĐƠN HÀNG'!$C$6:$C$505,$B58,'NHẬP ĐƠN HÀNG'!$N$6:$N$505,"&gt;0")&gt;0,"Có lấy VAT","Không lấy VAT")))</f>
        <v/>
      </c>
    </row>
    <row r="59" customFormat="false" ht="15" hidden="false" customHeight="false" outlineLevel="0" collapsed="false">
      <c r="A59" s="16" t="str">
        <f aca="false">IF($B59="","",54)</f>
        <v/>
      </c>
      <c r="B59" s="16" t="str">
        <f aca="false">IFERROR(INDEX('NHẬP ĐƠN HÀNG'!$C$6:$C$505,MATCH(54,'NHẬP ĐƠN HÀNG'!$AB$6:$AB$505,0)),"")</f>
        <v/>
      </c>
      <c r="C59" s="16" t="str">
        <f aca="false">IF($B59="","",IFERROR(IF(INDEX('NHẬP ĐƠN HÀNG'!$D$6:$D$505,MATCH($B59,'NHẬP ĐƠN HÀNG'!$C$6:$C$505,0))="","",INDEX('NHẬP ĐƠN HÀNG'!$D$6:$D$505,MATCH($B59,'NHẬP ĐƠN HÀNG'!$C$6:$C$505,0))),""))</f>
        <v/>
      </c>
      <c r="D59" s="16" t="str">
        <f aca="false">IF($B59="","",IFERROR(IF(INDEX('NHẬP ĐƠN HÀNG'!$E$6:$E$505,MATCH($B59,'NHẬP ĐƠN HÀNG'!$C$6:$C$505,0))="","",INDEX('NHẬP ĐƠN HÀNG'!$E$6:$E$505,MATCH($B59,'NHẬP ĐƠN HÀNG'!$C$6:$C$505,0))),""))</f>
        <v/>
      </c>
      <c r="E59" s="16" t="str">
        <f aca="false">IF($B59="","",IFERROR(IF(INDEX('NHẬP ĐƠN HÀNG'!$F$6:$F$505,MATCH($B59,'NHẬP ĐƠN HÀNG'!$C$6:$C$505,0))="","",INDEX('NHẬP ĐƠN HÀNG'!$F$6:$F$505,MATCH($B59,'NHẬP ĐƠN HÀNG'!$C$6:$C$505,0))),""))</f>
        <v/>
      </c>
      <c r="F59" s="16" t="str">
        <f aca="false">IF($B59="","",IFERROR(IF(INDEX('NHẬP ĐƠN HÀNG'!$G$6:$G$505,MATCH($B59,'NHẬP ĐƠN HÀNG'!$C$6:$C$505,0))="","",INDEX('NHẬP ĐƠN HÀNG'!$G$6:$G$505,MATCH($B59,'NHẬP ĐƠN HÀNG'!$C$6:$C$505,0))),""))</f>
        <v/>
      </c>
      <c r="G59" s="10" t="str">
        <f aca="false">IF($B59="","",COUNTIFS('NHẬP ĐƠN HÀNG'!$C$6:$C$505,$B59,'NHẬP ĐƠN HÀNG'!$L$6:$L$505,"&gt;0"))</f>
        <v/>
      </c>
      <c r="H59" s="10" t="str">
        <f aca="false">IF($B59="","",SUMIF('NHẬP ĐƠN HÀNG'!$C$6:$C$505,$B59,'NHẬP ĐƠN HÀNG'!$L$6:$L$505))</f>
        <v/>
      </c>
      <c r="I59" s="10" t="str">
        <f aca="false">IF($B59="","",SUMIF('NHẬP ĐƠN HÀNG'!$C$6:$C$505,$B59,'NHẬP ĐƠN HÀNG'!$P$6:$P$505))</f>
        <v/>
      </c>
      <c r="J59" s="10" t="str">
        <f aca="false">IF($B59="","",SUMIF('NHẬP ĐƠN HÀNG'!$C$6:$C$505,$B59,'NHẬP ĐƠN HÀNG'!$Q$6:$Q$505))</f>
        <v/>
      </c>
      <c r="K59" s="10" t="str">
        <f aca="false">IF($B59="","",SUMIF('NHẬP ĐƠN HÀNG'!$C$6:$C$505,$B59,'NHẬP ĐƠN HÀNG'!$R$6:$R$505))</f>
        <v/>
      </c>
      <c r="L59" s="10" t="str">
        <f aca="false">IF($B59="","",SUMIF('NHẬP ĐƠN HÀNG'!$C$6:$C$505,$B59,'NHẬP ĐƠN HÀNG'!$U$6:$U$505))</f>
        <v/>
      </c>
      <c r="M59" s="34" t="str">
        <f aca="false">IF($B59="","",IF(SUMPRODUCT(MAX(('NHẬP ĐƠN HÀNG'!$C$6:$C$505=$B59)*'NHẬP ĐƠN HÀNG'!$B$6:$B$505))=0,"",SUMPRODUCT(MAX(('NHẬP ĐƠN HÀNG'!$C$6:$C$505=$B59)*'NHẬP ĐƠN HÀNG'!$B$6:$B$505))))</f>
        <v/>
      </c>
      <c r="N59" s="16" t="str">
        <f aca="false">IF($B59="","",IF($G59=0,"Chưa có đơn",IF(COUNTIFS('NHẬP ĐƠN HÀNG'!$C$6:$C$505,$B59,'NHẬP ĐƠN HÀNG'!$N$6:$N$505,"&gt;0")&gt;0,"Có lấy VAT","Không lấy VAT")))</f>
        <v/>
      </c>
    </row>
    <row r="60" customFormat="false" ht="15" hidden="false" customHeight="false" outlineLevel="0" collapsed="false">
      <c r="A60" s="16" t="str">
        <f aca="false">IF($B60="","",55)</f>
        <v/>
      </c>
      <c r="B60" s="16" t="str">
        <f aca="false">IFERROR(INDEX('NHẬP ĐƠN HÀNG'!$C$6:$C$505,MATCH(55,'NHẬP ĐƠN HÀNG'!$AB$6:$AB$505,0)),"")</f>
        <v/>
      </c>
      <c r="C60" s="16" t="str">
        <f aca="false">IF($B60="","",IFERROR(IF(INDEX('NHẬP ĐƠN HÀNG'!$D$6:$D$505,MATCH($B60,'NHẬP ĐƠN HÀNG'!$C$6:$C$505,0))="","",INDEX('NHẬP ĐƠN HÀNG'!$D$6:$D$505,MATCH($B60,'NHẬP ĐƠN HÀNG'!$C$6:$C$505,0))),""))</f>
        <v/>
      </c>
      <c r="D60" s="16" t="str">
        <f aca="false">IF($B60="","",IFERROR(IF(INDEX('NHẬP ĐƠN HÀNG'!$E$6:$E$505,MATCH($B60,'NHẬP ĐƠN HÀNG'!$C$6:$C$505,0))="","",INDEX('NHẬP ĐƠN HÀNG'!$E$6:$E$505,MATCH($B60,'NHẬP ĐƠN HÀNG'!$C$6:$C$505,0))),""))</f>
        <v/>
      </c>
      <c r="E60" s="16" t="str">
        <f aca="false">IF($B60="","",IFERROR(IF(INDEX('NHẬP ĐƠN HÀNG'!$F$6:$F$505,MATCH($B60,'NHẬP ĐƠN HÀNG'!$C$6:$C$505,0))="","",INDEX('NHẬP ĐƠN HÀNG'!$F$6:$F$505,MATCH($B60,'NHẬP ĐƠN HÀNG'!$C$6:$C$505,0))),""))</f>
        <v/>
      </c>
      <c r="F60" s="16" t="str">
        <f aca="false">IF($B60="","",IFERROR(IF(INDEX('NHẬP ĐƠN HÀNG'!$G$6:$G$505,MATCH($B60,'NHẬP ĐƠN HÀNG'!$C$6:$C$505,0))="","",INDEX('NHẬP ĐƠN HÀNG'!$G$6:$G$505,MATCH($B60,'NHẬP ĐƠN HÀNG'!$C$6:$C$505,0))),""))</f>
        <v/>
      </c>
      <c r="G60" s="10" t="str">
        <f aca="false">IF($B60="","",COUNTIFS('NHẬP ĐƠN HÀNG'!$C$6:$C$505,$B60,'NHẬP ĐƠN HÀNG'!$L$6:$L$505,"&gt;0"))</f>
        <v/>
      </c>
      <c r="H60" s="10" t="str">
        <f aca="false">IF($B60="","",SUMIF('NHẬP ĐƠN HÀNG'!$C$6:$C$505,$B60,'NHẬP ĐƠN HÀNG'!$L$6:$L$505))</f>
        <v/>
      </c>
      <c r="I60" s="10" t="str">
        <f aca="false">IF($B60="","",SUMIF('NHẬP ĐƠN HÀNG'!$C$6:$C$505,$B60,'NHẬP ĐƠN HÀNG'!$P$6:$P$505))</f>
        <v/>
      </c>
      <c r="J60" s="10" t="str">
        <f aca="false">IF($B60="","",SUMIF('NHẬP ĐƠN HÀNG'!$C$6:$C$505,$B60,'NHẬP ĐƠN HÀNG'!$Q$6:$Q$505))</f>
        <v/>
      </c>
      <c r="K60" s="10" t="str">
        <f aca="false">IF($B60="","",SUMIF('NHẬP ĐƠN HÀNG'!$C$6:$C$505,$B60,'NHẬP ĐƠN HÀNG'!$R$6:$R$505))</f>
        <v/>
      </c>
      <c r="L60" s="10" t="str">
        <f aca="false">IF($B60="","",SUMIF('NHẬP ĐƠN HÀNG'!$C$6:$C$505,$B60,'NHẬP ĐƠN HÀNG'!$U$6:$U$505))</f>
        <v/>
      </c>
      <c r="M60" s="34" t="str">
        <f aca="false">IF($B60="","",IF(SUMPRODUCT(MAX(('NHẬP ĐƠN HÀNG'!$C$6:$C$505=$B60)*'NHẬP ĐƠN HÀNG'!$B$6:$B$505))=0,"",SUMPRODUCT(MAX(('NHẬP ĐƠN HÀNG'!$C$6:$C$505=$B60)*'NHẬP ĐƠN HÀNG'!$B$6:$B$505))))</f>
        <v/>
      </c>
      <c r="N60" s="16" t="str">
        <f aca="false">IF($B60="","",IF($G60=0,"Chưa có đơn",IF(COUNTIFS('NHẬP ĐƠN HÀNG'!$C$6:$C$505,$B60,'NHẬP ĐƠN HÀNG'!$N$6:$N$505,"&gt;0")&gt;0,"Có lấy VAT","Không lấy VAT")))</f>
        <v/>
      </c>
    </row>
    <row r="61" customFormat="false" ht="15" hidden="false" customHeight="false" outlineLevel="0" collapsed="false">
      <c r="A61" s="16" t="str">
        <f aca="false">IF($B61="","",56)</f>
        <v/>
      </c>
      <c r="B61" s="16" t="str">
        <f aca="false">IFERROR(INDEX('NHẬP ĐƠN HÀNG'!$C$6:$C$505,MATCH(56,'NHẬP ĐƠN HÀNG'!$AB$6:$AB$505,0)),"")</f>
        <v/>
      </c>
      <c r="C61" s="16" t="str">
        <f aca="false">IF($B61="","",IFERROR(IF(INDEX('NHẬP ĐƠN HÀNG'!$D$6:$D$505,MATCH($B61,'NHẬP ĐƠN HÀNG'!$C$6:$C$505,0))="","",INDEX('NHẬP ĐƠN HÀNG'!$D$6:$D$505,MATCH($B61,'NHẬP ĐƠN HÀNG'!$C$6:$C$505,0))),""))</f>
        <v/>
      </c>
      <c r="D61" s="16" t="str">
        <f aca="false">IF($B61="","",IFERROR(IF(INDEX('NHẬP ĐƠN HÀNG'!$E$6:$E$505,MATCH($B61,'NHẬP ĐƠN HÀNG'!$C$6:$C$505,0))="","",INDEX('NHẬP ĐƠN HÀNG'!$E$6:$E$505,MATCH($B61,'NHẬP ĐƠN HÀNG'!$C$6:$C$505,0))),""))</f>
        <v/>
      </c>
      <c r="E61" s="16" t="str">
        <f aca="false">IF($B61="","",IFERROR(IF(INDEX('NHẬP ĐƠN HÀNG'!$F$6:$F$505,MATCH($B61,'NHẬP ĐƠN HÀNG'!$C$6:$C$505,0))="","",INDEX('NHẬP ĐƠN HÀNG'!$F$6:$F$505,MATCH($B61,'NHẬP ĐƠN HÀNG'!$C$6:$C$505,0))),""))</f>
        <v/>
      </c>
      <c r="F61" s="16" t="str">
        <f aca="false">IF($B61="","",IFERROR(IF(INDEX('NHẬP ĐƠN HÀNG'!$G$6:$G$505,MATCH($B61,'NHẬP ĐƠN HÀNG'!$C$6:$C$505,0))="","",INDEX('NHẬP ĐƠN HÀNG'!$G$6:$G$505,MATCH($B61,'NHẬP ĐƠN HÀNG'!$C$6:$C$505,0))),""))</f>
        <v/>
      </c>
      <c r="G61" s="10" t="str">
        <f aca="false">IF($B61="","",COUNTIFS('NHẬP ĐƠN HÀNG'!$C$6:$C$505,$B61,'NHẬP ĐƠN HÀNG'!$L$6:$L$505,"&gt;0"))</f>
        <v/>
      </c>
      <c r="H61" s="10" t="str">
        <f aca="false">IF($B61="","",SUMIF('NHẬP ĐƠN HÀNG'!$C$6:$C$505,$B61,'NHẬP ĐƠN HÀNG'!$L$6:$L$505))</f>
        <v/>
      </c>
      <c r="I61" s="10" t="str">
        <f aca="false">IF($B61="","",SUMIF('NHẬP ĐƠN HÀNG'!$C$6:$C$505,$B61,'NHẬP ĐƠN HÀNG'!$P$6:$P$505))</f>
        <v/>
      </c>
      <c r="J61" s="10" t="str">
        <f aca="false">IF($B61="","",SUMIF('NHẬP ĐƠN HÀNG'!$C$6:$C$505,$B61,'NHẬP ĐƠN HÀNG'!$Q$6:$Q$505))</f>
        <v/>
      </c>
      <c r="K61" s="10" t="str">
        <f aca="false">IF($B61="","",SUMIF('NHẬP ĐƠN HÀNG'!$C$6:$C$505,$B61,'NHẬP ĐƠN HÀNG'!$R$6:$R$505))</f>
        <v/>
      </c>
      <c r="L61" s="10" t="str">
        <f aca="false">IF($B61="","",SUMIF('NHẬP ĐƠN HÀNG'!$C$6:$C$505,$B61,'NHẬP ĐƠN HÀNG'!$U$6:$U$505))</f>
        <v/>
      </c>
      <c r="M61" s="34" t="str">
        <f aca="false">IF($B61="","",IF(SUMPRODUCT(MAX(('NHẬP ĐƠN HÀNG'!$C$6:$C$505=$B61)*'NHẬP ĐƠN HÀNG'!$B$6:$B$505))=0,"",SUMPRODUCT(MAX(('NHẬP ĐƠN HÀNG'!$C$6:$C$505=$B61)*'NHẬP ĐƠN HÀNG'!$B$6:$B$505))))</f>
        <v/>
      </c>
      <c r="N61" s="16" t="str">
        <f aca="false">IF($B61="","",IF($G61=0,"Chưa có đơn",IF(COUNTIFS('NHẬP ĐƠN HÀNG'!$C$6:$C$505,$B61,'NHẬP ĐƠN HÀNG'!$N$6:$N$505,"&gt;0")&gt;0,"Có lấy VAT","Không lấy VAT")))</f>
        <v/>
      </c>
    </row>
    <row r="62" customFormat="false" ht="15" hidden="false" customHeight="false" outlineLevel="0" collapsed="false">
      <c r="A62" s="16" t="str">
        <f aca="false">IF($B62="","",57)</f>
        <v/>
      </c>
      <c r="B62" s="16" t="str">
        <f aca="false">IFERROR(INDEX('NHẬP ĐƠN HÀNG'!$C$6:$C$505,MATCH(57,'NHẬP ĐƠN HÀNG'!$AB$6:$AB$505,0)),"")</f>
        <v/>
      </c>
      <c r="C62" s="16" t="str">
        <f aca="false">IF($B62="","",IFERROR(IF(INDEX('NHẬP ĐƠN HÀNG'!$D$6:$D$505,MATCH($B62,'NHẬP ĐƠN HÀNG'!$C$6:$C$505,0))="","",INDEX('NHẬP ĐƠN HÀNG'!$D$6:$D$505,MATCH($B62,'NHẬP ĐƠN HÀNG'!$C$6:$C$505,0))),""))</f>
        <v/>
      </c>
      <c r="D62" s="16" t="str">
        <f aca="false">IF($B62="","",IFERROR(IF(INDEX('NHẬP ĐƠN HÀNG'!$E$6:$E$505,MATCH($B62,'NHẬP ĐƠN HÀNG'!$C$6:$C$505,0))="","",INDEX('NHẬP ĐƠN HÀNG'!$E$6:$E$505,MATCH($B62,'NHẬP ĐƠN HÀNG'!$C$6:$C$505,0))),""))</f>
        <v/>
      </c>
      <c r="E62" s="16" t="str">
        <f aca="false">IF($B62="","",IFERROR(IF(INDEX('NHẬP ĐƠN HÀNG'!$F$6:$F$505,MATCH($B62,'NHẬP ĐƠN HÀNG'!$C$6:$C$505,0))="","",INDEX('NHẬP ĐƠN HÀNG'!$F$6:$F$505,MATCH($B62,'NHẬP ĐƠN HÀNG'!$C$6:$C$505,0))),""))</f>
        <v/>
      </c>
      <c r="F62" s="16" t="str">
        <f aca="false">IF($B62="","",IFERROR(IF(INDEX('NHẬP ĐƠN HÀNG'!$G$6:$G$505,MATCH($B62,'NHẬP ĐƠN HÀNG'!$C$6:$C$505,0))="","",INDEX('NHẬP ĐƠN HÀNG'!$G$6:$G$505,MATCH($B62,'NHẬP ĐƠN HÀNG'!$C$6:$C$505,0))),""))</f>
        <v/>
      </c>
      <c r="G62" s="10" t="str">
        <f aca="false">IF($B62="","",COUNTIFS('NHẬP ĐƠN HÀNG'!$C$6:$C$505,$B62,'NHẬP ĐƠN HÀNG'!$L$6:$L$505,"&gt;0"))</f>
        <v/>
      </c>
      <c r="H62" s="10" t="str">
        <f aca="false">IF($B62="","",SUMIF('NHẬP ĐƠN HÀNG'!$C$6:$C$505,$B62,'NHẬP ĐƠN HÀNG'!$L$6:$L$505))</f>
        <v/>
      </c>
      <c r="I62" s="10" t="str">
        <f aca="false">IF($B62="","",SUMIF('NHẬP ĐƠN HÀNG'!$C$6:$C$505,$B62,'NHẬP ĐƠN HÀNG'!$P$6:$P$505))</f>
        <v/>
      </c>
      <c r="J62" s="10" t="str">
        <f aca="false">IF($B62="","",SUMIF('NHẬP ĐƠN HÀNG'!$C$6:$C$505,$B62,'NHẬP ĐƠN HÀNG'!$Q$6:$Q$505))</f>
        <v/>
      </c>
      <c r="K62" s="10" t="str">
        <f aca="false">IF($B62="","",SUMIF('NHẬP ĐƠN HÀNG'!$C$6:$C$505,$B62,'NHẬP ĐƠN HÀNG'!$R$6:$R$505))</f>
        <v/>
      </c>
      <c r="L62" s="10" t="str">
        <f aca="false">IF($B62="","",SUMIF('NHẬP ĐƠN HÀNG'!$C$6:$C$505,$B62,'NHẬP ĐƠN HÀNG'!$U$6:$U$505))</f>
        <v/>
      </c>
      <c r="M62" s="34" t="str">
        <f aca="false">IF($B62="","",IF(SUMPRODUCT(MAX(('NHẬP ĐƠN HÀNG'!$C$6:$C$505=$B62)*'NHẬP ĐƠN HÀNG'!$B$6:$B$505))=0,"",SUMPRODUCT(MAX(('NHẬP ĐƠN HÀNG'!$C$6:$C$505=$B62)*'NHẬP ĐƠN HÀNG'!$B$6:$B$505))))</f>
        <v/>
      </c>
      <c r="N62" s="16" t="str">
        <f aca="false">IF($B62="","",IF($G62=0,"Chưa có đơn",IF(COUNTIFS('NHẬP ĐƠN HÀNG'!$C$6:$C$505,$B62,'NHẬP ĐƠN HÀNG'!$N$6:$N$505,"&gt;0")&gt;0,"Có lấy VAT","Không lấy VAT")))</f>
        <v/>
      </c>
    </row>
    <row r="63" customFormat="false" ht="15" hidden="false" customHeight="false" outlineLevel="0" collapsed="false">
      <c r="A63" s="16" t="str">
        <f aca="false">IF($B63="","",58)</f>
        <v/>
      </c>
      <c r="B63" s="16" t="str">
        <f aca="false">IFERROR(INDEX('NHẬP ĐƠN HÀNG'!$C$6:$C$505,MATCH(58,'NHẬP ĐƠN HÀNG'!$AB$6:$AB$505,0)),"")</f>
        <v/>
      </c>
      <c r="C63" s="16" t="str">
        <f aca="false">IF($B63="","",IFERROR(IF(INDEX('NHẬP ĐƠN HÀNG'!$D$6:$D$505,MATCH($B63,'NHẬP ĐƠN HÀNG'!$C$6:$C$505,0))="","",INDEX('NHẬP ĐƠN HÀNG'!$D$6:$D$505,MATCH($B63,'NHẬP ĐƠN HÀNG'!$C$6:$C$505,0))),""))</f>
        <v/>
      </c>
      <c r="D63" s="16" t="str">
        <f aca="false">IF($B63="","",IFERROR(IF(INDEX('NHẬP ĐƠN HÀNG'!$E$6:$E$505,MATCH($B63,'NHẬP ĐƠN HÀNG'!$C$6:$C$505,0))="","",INDEX('NHẬP ĐƠN HÀNG'!$E$6:$E$505,MATCH($B63,'NHẬP ĐƠN HÀNG'!$C$6:$C$505,0))),""))</f>
        <v/>
      </c>
      <c r="E63" s="16" t="str">
        <f aca="false">IF($B63="","",IFERROR(IF(INDEX('NHẬP ĐƠN HÀNG'!$F$6:$F$505,MATCH($B63,'NHẬP ĐƠN HÀNG'!$C$6:$C$505,0))="","",INDEX('NHẬP ĐƠN HÀNG'!$F$6:$F$505,MATCH($B63,'NHẬP ĐƠN HÀNG'!$C$6:$C$505,0))),""))</f>
        <v/>
      </c>
      <c r="F63" s="16" t="str">
        <f aca="false">IF($B63="","",IFERROR(IF(INDEX('NHẬP ĐƠN HÀNG'!$G$6:$G$505,MATCH($B63,'NHẬP ĐƠN HÀNG'!$C$6:$C$505,0))="","",INDEX('NHẬP ĐƠN HÀNG'!$G$6:$G$505,MATCH($B63,'NHẬP ĐƠN HÀNG'!$C$6:$C$505,0))),""))</f>
        <v/>
      </c>
      <c r="G63" s="10" t="str">
        <f aca="false">IF($B63="","",COUNTIFS('NHẬP ĐƠN HÀNG'!$C$6:$C$505,$B63,'NHẬP ĐƠN HÀNG'!$L$6:$L$505,"&gt;0"))</f>
        <v/>
      </c>
      <c r="H63" s="10" t="str">
        <f aca="false">IF($B63="","",SUMIF('NHẬP ĐƠN HÀNG'!$C$6:$C$505,$B63,'NHẬP ĐƠN HÀNG'!$L$6:$L$505))</f>
        <v/>
      </c>
      <c r="I63" s="10" t="str">
        <f aca="false">IF($B63="","",SUMIF('NHẬP ĐƠN HÀNG'!$C$6:$C$505,$B63,'NHẬP ĐƠN HÀNG'!$P$6:$P$505))</f>
        <v/>
      </c>
      <c r="J63" s="10" t="str">
        <f aca="false">IF($B63="","",SUMIF('NHẬP ĐƠN HÀNG'!$C$6:$C$505,$B63,'NHẬP ĐƠN HÀNG'!$Q$6:$Q$505))</f>
        <v/>
      </c>
      <c r="K63" s="10" t="str">
        <f aca="false">IF($B63="","",SUMIF('NHẬP ĐƠN HÀNG'!$C$6:$C$505,$B63,'NHẬP ĐƠN HÀNG'!$R$6:$R$505))</f>
        <v/>
      </c>
      <c r="L63" s="10" t="str">
        <f aca="false">IF($B63="","",SUMIF('NHẬP ĐƠN HÀNG'!$C$6:$C$505,$B63,'NHẬP ĐƠN HÀNG'!$U$6:$U$505))</f>
        <v/>
      </c>
      <c r="M63" s="34" t="str">
        <f aca="false">IF($B63="","",IF(SUMPRODUCT(MAX(('NHẬP ĐƠN HÀNG'!$C$6:$C$505=$B63)*'NHẬP ĐƠN HÀNG'!$B$6:$B$505))=0,"",SUMPRODUCT(MAX(('NHẬP ĐƠN HÀNG'!$C$6:$C$505=$B63)*'NHẬP ĐƠN HÀNG'!$B$6:$B$505))))</f>
        <v/>
      </c>
      <c r="N63" s="16" t="str">
        <f aca="false">IF($B63="","",IF($G63=0,"Chưa có đơn",IF(COUNTIFS('NHẬP ĐƠN HÀNG'!$C$6:$C$505,$B63,'NHẬP ĐƠN HÀNG'!$N$6:$N$505,"&gt;0")&gt;0,"Có lấy VAT","Không lấy VAT")))</f>
        <v/>
      </c>
    </row>
    <row r="64" customFormat="false" ht="15" hidden="false" customHeight="false" outlineLevel="0" collapsed="false">
      <c r="A64" s="16" t="str">
        <f aca="false">IF($B64="","",59)</f>
        <v/>
      </c>
      <c r="B64" s="16" t="str">
        <f aca="false">IFERROR(INDEX('NHẬP ĐƠN HÀNG'!$C$6:$C$505,MATCH(59,'NHẬP ĐƠN HÀNG'!$AB$6:$AB$505,0)),"")</f>
        <v/>
      </c>
      <c r="C64" s="16" t="str">
        <f aca="false">IF($B64="","",IFERROR(IF(INDEX('NHẬP ĐƠN HÀNG'!$D$6:$D$505,MATCH($B64,'NHẬP ĐƠN HÀNG'!$C$6:$C$505,0))="","",INDEX('NHẬP ĐƠN HÀNG'!$D$6:$D$505,MATCH($B64,'NHẬP ĐƠN HÀNG'!$C$6:$C$505,0))),""))</f>
        <v/>
      </c>
      <c r="D64" s="16" t="str">
        <f aca="false">IF($B64="","",IFERROR(IF(INDEX('NHẬP ĐƠN HÀNG'!$E$6:$E$505,MATCH($B64,'NHẬP ĐƠN HÀNG'!$C$6:$C$505,0))="","",INDEX('NHẬP ĐƠN HÀNG'!$E$6:$E$505,MATCH($B64,'NHẬP ĐƠN HÀNG'!$C$6:$C$505,0))),""))</f>
        <v/>
      </c>
      <c r="E64" s="16" t="str">
        <f aca="false">IF($B64="","",IFERROR(IF(INDEX('NHẬP ĐƠN HÀNG'!$F$6:$F$505,MATCH($B64,'NHẬP ĐƠN HÀNG'!$C$6:$C$505,0))="","",INDEX('NHẬP ĐƠN HÀNG'!$F$6:$F$505,MATCH($B64,'NHẬP ĐƠN HÀNG'!$C$6:$C$505,0))),""))</f>
        <v/>
      </c>
      <c r="F64" s="16" t="str">
        <f aca="false">IF($B64="","",IFERROR(IF(INDEX('NHẬP ĐƠN HÀNG'!$G$6:$G$505,MATCH($B64,'NHẬP ĐƠN HÀNG'!$C$6:$C$505,0))="","",INDEX('NHẬP ĐƠN HÀNG'!$G$6:$G$505,MATCH($B64,'NHẬP ĐƠN HÀNG'!$C$6:$C$505,0))),""))</f>
        <v/>
      </c>
      <c r="G64" s="10" t="str">
        <f aca="false">IF($B64="","",COUNTIFS('NHẬP ĐƠN HÀNG'!$C$6:$C$505,$B64,'NHẬP ĐƠN HÀNG'!$L$6:$L$505,"&gt;0"))</f>
        <v/>
      </c>
      <c r="H64" s="10" t="str">
        <f aca="false">IF($B64="","",SUMIF('NHẬP ĐƠN HÀNG'!$C$6:$C$505,$B64,'NHẬP ĐƠN HÀNG'!$L$6:$L$505))</f>
        <v/>
      </c>
      <c r="I64" s="10" t="str">
        <f aca="false">IF($B64="","",SUMIF('NHẬP ĐƠN HÀNG'!$C$6:$C$505,$B64,'NHẬP ĐƠN HÀNG'!$P$6:$P$505))</f>
        <v/>
      </c>
      <c r="J64" s="10" t="str">
        <f aca="false">IF($B64="","",SUMIF('NHẬP ĐƠN HÀNG'!$C$6:$C$505,$B64,'NHẬP ĐƠN HÀNG'!$Q$6:$Q$505))</f>
        <v/>
      </c>
      <c r="K64" s="10" t="str">
        <f aca="false">IF($B64="","",SUMIF('NHẬP ĐƠN HÀNG'!$C$6:$C$505,$B64,'NHẬP ĐƠN HÀNG'!$R$6:$R$505))</f>
        <v/>
      </c>
      <c r="L64" s="10" t="str">
        <f aca="false">IF($B64="","",SUMIF('NHẬP ĐƠN HÀNG'!$C$6:$C$505,$B64,'NHẬP ĐƠN HÀNG'!$U$6:$U$505))</f>
        <v/>
      </c>
      <c r="M64" s="34" t="str">
        <f aca="false">IF($B64="","",IF(SUMPRODUCT(MAX(('NHẬP ĐƠN HÀNG'!$C$6:$C$505=$B64)*'NHẬP ĐƠN HÀNG'!$B$6:$B$505))=0,"",SUMPRODUCT(MAX(('NHẬP ĐƠN HÀNG'!$C$6:$C$505=$B64)*'NHẬP ĐƠN HÀNG'!$B$6:$B$505))))</f>
        <v/>
      </c>
      <c r="N64" s="16" t="str">
        <f aca="false">IF($B64="","",IF($G64=0,"Chưa có đơn",IF(COUNTIFS('NHẬP ĐƠN HÀNG'!$C$6:$C$505,$B64,'NHẬP ĐƠN HÀNG'!$N$6:$N$505,"&gt;0")&gt;0,"Có lấy VAT","Không lấy VAT")))</f>
        <v/>
      </c>
    </row>
    <row r="65" customFormat="false" ht="15" hidden="false" customHeight="false" outlineLevel="0" collapsed="false">
      <c r="A65" s="16" t="str">
        <f aca="false">IF($B65="","",60)</f>
        <v/>
      </c>
      <c r="B65" s="16" t="str">
        <f aca="false">IFERROR(INDEX('NHẬP ĐƠN HÀNG'!$C$6:$C$505,MATCH(60,'NHẬP ĐƠN HÀNG'!$AB$6:$AB$505,0)),"")</f>
        <v/>
      </c>
      <c r="C65" s="16" t="str">
        <f aca="false">IF($B65="","",IFERROR(IF(INDEX('NHẬP ĐƠN HÀNG'!$D$6:$D$505,MATCH($B65,'NHẬP ĐƠN HÀNG'!$C$6:$C$505,0))="","",INDEX('NHẬP ĐƠN HÀNG'!$D$6:$D$505,MATCH($B65,'NHẬP ĐƠN HÀNG'!$C$6:$C$505,0))),""))</f>
        <v/>
      </c>
      <c r="D65" s="16" t="str">
        <f aca="false">IF($B65="","",IFERROR(IF(INDEX('NHẬP ĐƠN HÀNG'!$E$6:$E$505,MATCH($B65,'NHẬP ĐƠN HÀNG'!$C$6:$C$505,0))="","",INDEX('NHẬP ĐƠN HÀNG'!$E$6:$E$505,MATCH($B65,'NHẬP ĐƠN HÀNG'!$C$6:$C$505,0))),""))</f>
        <v/>
      </c>
      <c r="E65" s="16" t="str">
        <f aca="false">IF($B65="","",IFERROR(IF(INDEX('NHẬP ĐƠN HÀNG'!$F$6:$F$505,MATCH($B65,'NHẬP ĐƠN HÀNG'!$C$6:$C$505,0))="","",INDEX('NHẬP ĐƠN HÀNG'!$F$6:$F$505,MATCH($B65,'NHẬP ĐƠN HÀNG'!$C$6:$C$505,0))),""))</f>
        <v/>
      </c>
      <c r="F65" s="16" t="str">
        <f aca="false">IF($B65="","",IFERROR(IF(INDEX('NHẬP ĐƠN HÀNG'!$G$6:$G$505,MATCH($B65,'NHẬP ĐƠN HÀNG'!$C$6:$C$505,0))="","",INDEX('NHẬP ĐƠN HÀNG'!$G$6:$G$505,MATCH($B65,'NHẬP ĐƠN HÀNG'!$C$6:$C$505,0))),""))</f>
        <v/>
      </c>
      <c r="G65" s="10" t="str">
        <f aca="false">IF($B65="","",COUNTIFS('NHẬP ĐƠN HÀNG'!$C$6:$C$505,$B65,'NHẬP ĐƠN HÀNG'!$L$6:$L$505,"&gt;0"))</f>
        <v/>
      </c>
      <c r="H65" s="10" t="str">
        <f aca="false">IF($B65="","",SUMIF('NHẬP ĐƠN HÀNG'!$C$6:$C$505,$B65,'NHẬP ĐƠN HÀNG'!$L$6:$L$505))</f>
        <v/>
      </c>
      <c r="I65" s="10" t="str">
        <f aca="false">IF($B65="","",SUMIF('NHẬP ĐƠN HÀNG'!$C$6:$C$505,$B65,'NHẬP ĐƠN HÀNG'!$P$6:$P$505))</f>
        <v/>
      </c>
      <c r="J65" s="10" t="str">
        <f aca="false">IF($B65="","",SUMIF('NHẬP ĐƠN HÀNG'!$C$6:$C$505,$B65,'NHẬP ĐƠN HÀNG'!$Q$6:$Q$505))</f>
        <v/>
      </c>
      <c r="K65" s="10" t="str">
        <f aca="false">IF($B65="","",SUMIF('NHẬP ĐƠN HÀNG'!$C$6:$C$505,$B65,'NHẬP ĐƠN HÀNG'!$R$6:$R$505))</f>
        <v/>
      </c>
      <c r="L65" s="10" t="str">
        <f aca="false">IF($B65="","",SUMIF('NHẬP ĐƠN HÀNG'!$C$6:$C$505,$B65,'NHẬP ĐƠN HÀNG'!$U$6:$U$505))</f>
        <v/>
      </c>
      <c r="M65" s="34" t="str">
        <f aca="false">IF($B65="","",IF(SUMPRODUCT(MAX(('NHẬP ĐƠN HÀNG'!$C$6:$C$505=$B65)*'NHẬP ĐƠN HÀNG'!$B$6:$B$505))=0,"",SUMPRODUCT(MAX(('NHẬP ĐƠN HÀNG'!$C$6:$C$505=$B65)*'NHẬP ĐƠN HÀNG'!$B$6:$B$505))))</f>
        <v/>
      </c>
      <c r="N65" s="16" t="str">
        <f aca="false">IF($B65="","",IF($G65=0,"Chưa có đơn",IF(COUNTIFS('NHẬP ĐƠN HÀNG'!$C$6:$C$505,$B65,'NHẬP ĐƠN HÀNG'!$N$6:$N$505,"&gt;0")&gt;0,"Có lấy VAT","Không lấy VAT")))</f>
        <v/>
      </c>
    </row>
    <row r="66" customFormat="false" ht="15" hidden="false" customHeight="false" outlineLevel="0" collapsed="false">
      <c r="A66" s="16" t="str">
        <f aca="false">IF($B66="","",61)</f>
        <v/>
      </c>
      <c r="B66" s="16" t="str">
        <f aca="false">IFERROR(INDEX('NHẬP ĐƠN HÀNG'!$C$6:$C$505,MATCH(61,'NHẬP ĐƠN HÀNG'!$AB$6:$AB$505,0)),"")</f>
        <v/>
      </c>
      <c r="C66" s="16" t="str">
        <f aca="false">IF($B66="","",IFERROR(IF(INDEX('NHẬP ĐƠN HÀNG'!$D$6:$D$505,MATCH($B66,'NHẬP ĐƠN HÀNG'!$C$6:$C$505,0))="","",INDEX('NHẬP ĐƠN HÀNG'!$D$6:$D$505,MATCH($B66,'NHẬP ĐƠN HÀNG'!$C$6:$C$505,0))),""))</f>
        <v/>
      </c>
      <c r="D66" s="16" t="str">
        <f aca="false">IF($B66="","",IFERROR(IF(INDEX('NHẬP ĐƠN HÀNG'!$E$6:$E$505,MATCH($B66,'NHẬP ĐƠN HÀNG'!$C$6:$C$505,0))="","",INDEX('NHẬP ĐƠN HÀNG'!$E$6:$E$505,MATCH($B66,'NHẬP ĐƠN HÀNG'!$C$6:$C$505,0))),""))</f>
        <v/>
      </c>
      <c r="E66" s="16" t="str">
        <f aca="false">IF($B66="","",IFERROR(IF(INDEX('NHẬP ĐƠN HÀNG'!$F$6:$F$505,MATCH($B66,'NHẬP ĐƠN HÀNG'!$C$6:$C$505,0))="","",INDEX('NHẬP ĐƠN HÀNG'!$F$6:$F$505,MATCH($B66,'NHẬP ĐƠN HÀNG'!$C$6:$C$505,0))),""))</f>
        <v/>
      </c>
      <c r="F66" s="16" t="str">
        <f aca="false">IF($B66="","",IFERROR(IF(INDEX('NHẬP ĐƠN HÀNG'!$G$6:$G$505,MATCH($B66,'NHẬP ĐƠN HÀNG'!$C$6:$C$505,0))="","",INDEX('NHẬP ĐƠN HÀNG'!$G$6:$G$505,MATCH($B66,'NHẬP ĐƠN HÀNG'!$C$6:$C$505,0))),""))</f>
        <v/>
      </c>
      <c r="G66" s="10" t="str">
        <f aca="false">IF($B66="","",COUNTIFS('NHẬP ĐƠN HÀNG'!$C$6:$C$505,$B66,'NHẬP ĐƠN HÀNG'!$L$6:$L$505,"&gt;0"))</f>
        <v/>
      </c>
      <c r="H66" s="10" t="str">
        <f aca="false">IF($B66="","",SUMIF('NHẬP ĐƠN HÀNG'!$C$6:$C$505,$B66,'NHẬP ĐƠN HÀNG'!$L$6:$L$505))</f>
        <v/>
      </c>
      <c r="I66" s="10" t="str">
        <f aca="false">IF($B66="","",SUMIF('NHẬP ĐƠN HÀNG'!$C$6:$C$505,$B66,'NHẬP ĐƠN HÀNG'!$P$6:$P$505))</f>
        <v/>
      </c>
      <c r="J66" s="10" t="str">
        <f aca="false">IF($B66="","",SUMIF('NHẬP ĐƠN HÀNG'!$C$6:$C$505,$B66,'NHẬP ĐƠN HÀNG'!$Q$6:$Q$505))</f>
        <v/>
      </c>
      <c r="K66" s="10" t="str">
        <f aca="false">IF($B66="","",SUMIF('NHẬP ĐƠN HÀNG'!$C$6:$C$505,$B66,'NHẬP ĐƠN HÀNG'!$R$6:$R$505))</f>
        <v/>
      </c>
      <c r="L66" s="10" t="str">
        <f aca="false">IF($B66="","",SUMIF('NHẬP ĐƠN HÀNG'!$C$6:$C$505,$B66,'NHẬP ĐƠN HÀNG'!$U$6:$U$505))</f>
        <v/>
      </c>
      <c r="M66" s="34" t="str">
        <f aca="false">IF($B66="","",IF(SUMPRODUCT(MAX(('NHẬP ĐƠN HÀNG'!$C$6:$C$505=$B66)*'NHẬP ĐƠN HÀNG'!$B$6:$B$505))=0,"",SUMPRODUCT(MAX(('NHẬP ĐƠN HÀNG'!$C$6:$C$505=$B66)*'NHẬP ĐƠN HÀNG'!$B$6:$B$505))))</f>
        <v/>
      </c>
      <c r="N66" s="16" t="str">
        <f aca="false">IF($B66="","",IF($G66=0,"Chưa có đơn",IF(COUNTIFS('NHẬP ĐƠN HÀNG'!$C$6:$C$505,$B66,'NHẬP ĐƠN HÀNG'!$N$6:$N$505,"&gt;0")&gt;0,"Có lấy VAT","Không lấy VAT")))</f>
        <v/>
      </c>
    </row>
    <row r="67" customFormat="false" ht="15" hidden="false" customHeight="false" outlineLevel="0" collapsed="false">
      <c r="A67" s="16" t="str">
        <f aca="false">IF($B67="","",62)</f>
        <v/>
      </c>
      <c r="B67" s="16" t="str">
        <f aca="false">IFERROR(INDEX('NHẬP ĐƠN HÀNG'!$C$6:$C$505,MATCH(62,'NHẬP ĐƠN HÀNG'!$AB$6:$AB$505,0)),"")</f>
        <v/>
      </c>
      <c r="C67" s="16" t="str">
        <f aca="false">IF($B67="","",IFERROR(IF(INDEX('NHẬP ĐƠN HÀNG'!$D$6:$D$505,MATCH($B67,'NHẬP ĐƠN HÀNG'!$C$6:$C$505,0))="","",INDEX('NHẬP ĐƠN HÀNG'!$D$6:$D$505,MATCH($B67,'NHẬP ĐƠN HÀNG'!$C$6:$C$505,0))),""))</f>
        <v/>
      </c>
      <c r="D67" s="16" t="str">
        <f aca="false">IF($B67="","",IFERROR(IF(INDEX('NHẬP ĐƠN HÀNG'!$E$6:$E$505,MATCH($B67,'NHẬP ĐƠN HÀNG'!$C$6:$C$505,0))="","",INDEX('NHẬP ĐƠN HÀNG'!$E$6:$E$505,MATCH($B67,'NHẬP ĐƠN HÀNG'!$C$6:$C$505,0))),""))</f>
        <v/>
      </c>
      <c r="E67" s="16" t="str">
        <f aca="false">IF($B67="","",IFERROR(IF(INDEX('NHẬP ĐƠN HÀNG'!$F$6:$F$505,MATCH($B67,'NHẬP ĐƠN HÀNG'!$C$6:$C$505,0))="","",INDEX('NHẬP ĐƠN HÀNG'!$F$6:$F$505,MATCH($B67,'NHẬP ĐƠN HÀNG'!$C$6:$C$505,0))),""))</f>
        <v/>
      </c>
      <c r="F67" s="16" t="str">
        <f aca="false">IF($B67="","",IFERROR(IF(INDEX('NHẬP ĐƠN HÀNG'!$G$6:$G$505,MATCH($B67,'NHẬP ĐƠN HÀNG'!$C$6:$C$505,0))="","",INDEX('NHẬP ĐƠN HÀNG'!$G$6:$G$505,MATCH($B67,'NHẬP ĐƠN HÀNG'!$C$6:$C$505,0))),""))</f>
        <v/>
      </c>
      <c r="G67" s="10" t="str">
        <f aca="false">IF($B67="","",COUNTIFS('NHẬP ĐƠN HÀNG'!$C$6:$C$505,$B67,'NHẬP ĐƠN HÀNG'!$L$6:$L$505,"&gt;0"))</f>
        <v/>
      </c>
      <c r="H67" s="10" t="str">
        <f aca="false">IF($B67="","",SUMIF('NHẬP ĐƠN HÀNG'!$C$6:$C$505,$B67,'NHẬP ĐƠN HÀNG'!$L$6:$L$505))</f>
        <v/>
      </c>
      <c r="I67" s="10" t="str">
        <f aca="false">IF($B67="","",SUMIF('NHẬP ĐƠN HÀNG'!$C$6:$C$505,$B67,'NHẬP ĐƠN HÀNG'!$P$6:$P$505))</f>
        <v/>
      </c>
      <c r="J67" s="10" t="str">
        <f aca="false">IF($B67="","",SUMIF('NHẬP ĐƠN HÀNG'!$C$6:$C$505,$B67,'NHẬP ĐƠN HÀNG'!$Q$6:$Q$505))</f>
        <v/>
      </c>
      <c r="K67" s="10" t="str">
        <f aca="false">IF($B67="","",SUMIF('NHẬP ĐƠN HÀNG'!$C$6:$C$505,$B67,'NHẬP ĐƠN HÀNG'!$R$6:$R$505))</f>
        <v/>
      </c>
      <c r="L67" s="10" t="str">
        <f aca="false">IF($B67="","",SUMIF('NHẬP ĐƠN HÀNG'!$C$6:$C$505,$B67,'NHẬP ĐƠN HÀNG'!$U$6:$U$505))</f>
        <v/>
      </c>
      <c r="M67" s="34" t="str">
        <f aca="false">IF($B67="","",IF(SUMPRODUCT(MAX(('NHẬP ĐƠN HÀNG'!$C$6:$C$505=$B67)*'NHẬP ĐƠN HÀNG'!$B$6:$B$505))=0,"",SUMPRODUCT(MAX(('NHẬP ĐƠN HÀNG'!$C$6:$C$505=$B67)*'NHẬP ĐƠN HÀNG'!$B$6:$B$505))))</f>
        <v/>
      </c>
      <c r="N67" s="16" t="str">
        <f aca="false">IF($B67="","",IF($G67=0,"Chưa có đơn",IF(COUNTIFS('NHẬP ĐƠN HÀNG'!$C$6:$C$505,$B67,'NHẬP ĐƠN HÀNG'!$N$6:$N$505,"&gt;0")&gt;0,"Có lấy VAT","Không lấy VAT")))</f>
        <v/>
      </c>
    </row>
    <row r="68" customFormat="false" ht="15" hidden="false" customHeight="false" outlineLevel="0" collapsed="false">
      <c r="A68" s="16" t="str">
        <f aca="false">IF($B68="","",63)</f>
        <v/>
      </c>
      <c r="B68" s="16" t="str">
        <f aca="false">IFERROR(INDEX('NHẬP ĐƠN HÀNG'!$C$6:$C$505,MATCH(63,'NHẬP ĐƠN HÀNG'!$AB$6:$AB$505,0)),"")</f>
        <v/>
      </c>
      <c r="C68" s="16" t="str">
        <f aca="false">IF($B68="","",IFERROR(IF(INDEX('NHẬP ĐƠN HÀNG'!$D$6:$D$505,MATCH($B68,'NHẬP ĐƠN HÀNG'!$C$6:$C$505,0))="","",INDEX('NHẬP ĐƠN HÀNG'!$D$6:$D$505,MATCH($B68,'NHẬP ĐƠN HÀNG'!$C$6:$C$505,0))),""))</f>
        <v/>
      </c>
      <c r="D68" s="16" t="str">
        <f aca="false">IF($B68="","",IFERROR(IF(INDEX('NHẬP ĐƠN HÀNG'!$E$6:$E$505,MATCH($B68,'NHẬP ĐƠN HÀNG'!$C$6:$C$505,0))="","",INDEX('NHẬP ĐƠN HÀNG'!$E$6:$E$505,MATCH($B68,'NHẬP ĐƠN HÀNG'!$C$6:$C$505,0))),""))</f>
        <v/>
      </c>
      <c r="E68" s="16" t="str">
        <f aca="false">IF($B68="","",IFERROR(IF(INDEX('NHẬP ĐƠN HÀNG'!$F$6:$F$505,MATCH($B68,'NHẬP ĐƠN HÀNG'!$C$6:$C$505,0))="","",INDEX('NHẬP ĐƠN HÀNG'!$F$6:$F$505,MATCH($B68,'NHẬP ĐƠN HÀNG'!$C$6:$C$505,0))),""))</f>
        <v/>
      </c>
      <c r="F68" s="16" t="str">
        <f aca="false">IF($B68="","",IFERROR(IF(INDEX('NHẬP ĐƠN HÀNG'!$G$6:$G$505,MATCH($B68,'NHẬP ĐƠN HÀNG'!$C$6:$C$505,0))="","",INDEX('NHẬP ĐƠN HÀNG'!$G$6:$G$505,MATCH($B68,'NHẬP ĐƠN HÀNG'!$C$6:$C$505,0))),""))</f>
        <v/>
      </c>
      <c r="G68" s="10" t="str">
        <f aca="false">IF($B68="","",COUNTIFS('NHẬP ĐƠN HÀNG'!$C$6:$C$505,$B68,'NHẬP ĐƠN HÀNG'!$L$6:$L$505,"&gt;0"))</f>
        <v/>
      </c>
      <c r="H68" s="10" t="str">
        <f aca="false">IF($B68="","",SUMIF('NHẬP ĐƠN HÀNG'!$C$6:$C$505,$B68,'NHẬP ĐƠN HÀNG'!$L$6:$L$505))</f>
        <v/>
      </c>
      <c r="I68" s="10" t="str">
        <f aca="false">IF($B68="","",SUMIF('NHẬP ĐƠN HÀNG'!$C$6:$C$505,$B68,'NHẬP ĐƠN HÀNG'!$P$6:$P$505))</f>
        <v/>
      </c>
      <c r="J68" s="10" t="str">
        <f aca="false">IF($B68="","",SUMIF('NHẬP ĐƠN HÀNG'!$C$6:$C$505,$B68,'NHẬP ĐƠN HÀNG'!$Q$6:$Q$505))</f>
        <v/>
      </c>
      <c r="K68" s="10" t="str">
        <f aca="false">IF($B68="","",SUMIF('NHẬP ĐƠN HÀNG'!$C$6:$C$505,$B68,'NHẬP ĐƠN HÀNG'!$R$6:$R$505))</f>
        <v/>
      </c>
      <c r="L68" s="10" t="str">
        <f aca="false">IF($B68="","",SUMIF('NHẬP ĐƠN HÀNG'!$C$6:$C$505,$B68,'NHẬP ĐƠN HÀNG'!$U$6:$U$505))</f>
        <v/>
      </c>
      <c r="M68" s="34" t="str">
        <f aca="false">IF($B68="","",IF(SUMPRODUCT(MAX(('NHẬP ĐƠN HÀNG'!$C$6:$C$505=$B68)*'NHẬP ĐƠN HÀNG'!$B$6:$B$505))=0,"",SUMPRODUCT(MAX(('NHẬP ĐƠN HÀNG'!$C$6:$C$505=$B68)*'NHẬP ĐƠN HÀNG'!$B$6:$B$505))))</f>
        <v/>
      </c>
      <c r="N68" s="16" t="str">
        <f aca="false">IF($B68="","",IF($G68=0,"Chưa có đơn",IF(COUNTIFS('NHẬP ĐƠN HÀNG'!$C$6:$C$505,$B68,'NHẬP ĐƠN HÀNG'!$N$6:$N$505,"&gt;0")&gt;0,"Có lấy VAT","Không lấy VAT")))</f>
        <v/>
      </c>
    </row>
    <row r="69" customFormat="false" ht="15" hidden="false" customHeight="false" outlineLevel="0" collapsed="false">
      <c r="A69" s="16" t="str">
        <f aca="false">IF($B69="","",64)</f>
        <v/>
      </c>
      <c r="B69" s="16" t="str">
        <f aca="false">IFERROR(INDEX('NHẬP ĐƠN HÀNG'!$C$6:$C$505,MATCH(64,'NHẬP ĐƠN HÀNG'!$AB$6:$AB$505,0)),"")</f>
        <v/>
      </c>
      <c r="C69" s="16" t="str">
        <f aca="false">IF($B69="","",IFERROR(IF(INDEX('NHẬP ĐƠN HÀNG'!$D$6:$D$505,MATCH($B69,'NHẬP ĐƠN HÀNG'!$C$6:$C$505,0))="","",INDEX('NHẬP ĐƠN HÀNG'!$D$6:$D$505,MATCH($B69,'NHẬP ĐƠN HÀNG'!$C$6:$C$505,0))),""))</f>
        <v/>
      </c>
      <c r="D69" s="16" t="str">
        <f aca="false">IF($B69="","",IFERROR(IF(INDEX('NHẬP ĐƠN HÀNG'!$E$6:$E$505,MATCH($B69,'NHẬP ĐƠN HÀNG'!$C$6:$C$505,0))="","",INDEX('NHẬP ĐƠN HÀNG'!$E$6:$E$505,MATCH($B69,'NHẬP ĐƠN HÀNG'!$C$6:$C$505,0))),""))</f>
        <v/>
      </c>
      <c r="E69" s="16" t="str">
        <f aca="false">IF($B69="","",IFERROR(IF(INDEX('NHẬP ĐƠN HÀNG'!$F$6:$F$505,MATCH($B69,'NHẬP ĐƠN HÀNG'!$C$6:$C$505,0))="","",INDEX('NHẬP ĐƠN HÀNG'!$F$6:$F$505,MATCH($B69,'NHẬP ĐƠN HÀNG'!$C$6:$C$505,0))),""))</f>
        <v/>
      </c>
      <c r="F69" s="16" t="str">
        <f aca="false">IF($B69="","",IFERROR(IF(INDEX('NHẬP ĐƠN HÀNG'!$G$6:$G$505,MATCH($B69,'NHẬP ĐƠN HÀNG'!$C$6:$C$505,0))="","",INDEX('NHẬP ĐƠN HÀNG'!$G$6:$G$505,MATCH($B69,'NHẬP ĐƠN HÀNG'!$C$6:$C$505,0))),""))</f>
        <v/>
      </c>
      <c r="G69" s="10" t="str">
        <f aca="false">IF($B69="","",COUNTIFS('NHẬP ĐƠN HÀNG'!$C$6:$C$505,$B69,'NHẬP ĐƠN HÀNG'!$L$6:$L$505,"&gt;0"))</f>
        <v/>
      </c>
      <c r="H69" s="10" t="str">
        <f aca="false">IF($B69="","",SUMIF('NHẬP ĐƠN HÀNG'!$C$6:$C$505,$B69,'NHẬP ĐƠN HÀNG'!$L$6:$L$505))</f>
        <v/>
      </c>
      <c r="I69" s="10" t="str">
        <f aca="false">IF($B69="","",SUMIF('NHẬP ĐƠN HÀNG'!$C$6:$C$505,$B69,'NHẬP ĐƠN HÀNG'!$P$6:$P$505))</f>
        <v/>
      </c>
      <c r="J69" s="10" t="str">
        <f aca="false">IF($B69="","",SUMIF('NHẬP ĐƠN HÀNG'!$C$6:$C$505,$B69,'NHẬP ĐƠN HÀNG'!$Q$6:$Q$505))</f>
        <v/>
      </c>
      <c r="K69" s="10" t="str">
        <f aca="false">IF($B69="","",SUMIF('NHẬP ĐƠN HÀNG'!$C$6:$C$505,$B69,'NHẬP ĐƠN HÀNG'!$R$6:$R$505))</f>
        <v/>
      </c>
      <c r="L69" s="10" t="str">
        <f aca="false">IF($B69="","",SUMIF('NHẬP ĐƠN HÀNG'!$C$6:$C$505,$B69,'NHẬP ĐƠN HÀNG'!$U$6:$U$505))</f>
        <v/>
      </c>
      <c r="M69" s="34" t="str">
        <f aca="false">IF($B69="","",IF(SUMPRODUCT(MAX(('NHẬP ĐƠN HÀNG'!$C$6:$C$505=$B69)*'NHẬP ĐƠN HÀNG'!$B$6:$B$505))=0,"",SUMPRODUCT(MAX(('NHẬP ĐƠN HÀNG'!$C$6:$C$505=$B69)*'NHẬP ĐƠN HÀNG'!$B$6:$B$505))))</f>
        <v/>
      </c>
      <c r="N69" s="16" t="str">
        <f aca="false">IF($B69="","",IF($G69=0,"Chưa có đơn",IF(COUNTIFS('NHẬP ĐƠN HÀNG'!$C$6:$C$505,$B69,'NHẬP ĐƠN HÀNG'!$N$6:$N$505,"&gt;0")&gt;0,"Có lấy VAT","Không lấy VAT")))</f>
        <v/>
      </c>
    </row>
    <row r="70" customFormat="false" ht="15" hidden="false" customHeight="false" outlineLevel="0" collapsed="false">
      <c r="A70" s="16" t="str">
        <f aca="false">IF($B70="","",65)</f>
        <v/>
      </c>
      <c r="B70" s="16" t="str">
        <f aca="false">IFERROR(INDEX('NHẬP ĐƠN HÀNG'!$C$6:$C$505,MATCH(65,'NHẬP ĐƠN HÀNG'!$AB$6:$AB$505,0)),"")</f>
        <v/>
      </c>
      <c r="C70" s="16" t="str">
        <f aca="false">IF($B70="","",IFERROR(IF(INDEX('NHẬP ĐƠN HÀNG'!$D$6:$D$505,MATCH($B70,'NHẬP ĐƠN HÀNG'!$C$6:$C$505,0))="","",INDEX('NHẬP ĐƠN HÀNG'!$D$6:$D$505,MATCH($B70,'NHẬP ĐƠN HÀNG'!$C$6:$C$505,0))),""))</f>
        <v/>
      </c>
      <c r="D70" s="16" t="str">
        <f aca="false">IF($B70="","",IFERROR(IF(INDEX('NHẬP ĐƠN HÀNG'!$E$6:$E$505,MATCH($B70,'NHẬP ĐƠN HÀNG'!$C$6:$C$505,0))="","",INDEX('NHẬP ĐƠN HÀNG'!$E$6:$E$505,MATCH($B70,'NHẬP ĐƠN HÀNG'!$C$6:$C$505,0))),""))</f>
        <v/>
      </c>
      <c r="E70" s="16" t="str">
        <f aca="false">IF($B70="","",IFERROR(IF(INDEX('NHẬP ĐƠN HÀNG'!$F$6:$F$505,MATCH($B70,'NHẬP ĐƠN HÀNG'!$C$6:$C$505,0))="","",INDEX('NHẬP ĐƠN HÀNG'!$F$6:$F$505,MATCH($B70,'NHẬP ĐƠN HÀNG'!$C$6:$C$505,0))),""))</f>
        <v/>
      </c>
      <c r="F70" s="16" t="str">
        <f aca="false">IF($B70="","",IFERROR(IF(INDEX('NHẬP ĐƠN HÀNG'!$G$6:$G$505,MATCH($B70,'NHẬP ĐƠN HÀNG'!$C$6:$C$505,0))="","",INDEX('NHẬP ĐƠN HÀNG'!$G$6:$G$505,MATCH($B70,'NHẬP ĐƠN HÀNG'!$C$6:$C$505,0))),""))</f>
        <v/>
      </c>
      <c r="G70" s="10" t="str">
        <f aca="false">IF($B70="","",COUNTIFS('NHẬP ĐƠN HÀNG'!$C$6:$C$505,$B70,'NHẬP ĐƠN HÀNG'!$L$6:$L$505,"&gt;0"))</f>
        <v/>
      </c>
      <c r="H70" s="10" t="str">
        <f aca="false">IF($B70="","",SUMIF('NHẬP ĐƠN HÀNG'!$C$6:$C$505,$B70,'NHẬP ĐƠN HÀNG'!$L$6:$L$505))</f>
        <v/>
      </c>
      <c r="I70" s="10" t="str">
        <f aca="false">IF($B70="","",SUMIF('NHẬP ĐƠN HÀNG'!$C$6:$C$505,$B70,'NHẬP ĐƠN HÀNG'!$P$6:$P$505))</f>
        <v/>
      </c>
      <c r="J70" s="10" t="str">
        <f aca="false">IF($B70="","",SUMIF('NHẬP ĐƠN HÀNG'!$C$6:$C$505,$B70,'NHẬP ĐƠN HÀNG'!$Q$6:$Q$505))</f>
        <v/>
      </c>
      <c r="K70" s="10" t="str">
        <f aca="false">IF($B70="","",SUMIF('NHẬP ĐƠN HÀNG'!$C$6:$C$505,$B70,'NHẬP ĐƠN HÀNG'!$R$6:$R$505))</f>
        <v/>
      </c>
      <c r="L70" s="10" t="str">
        <f aca="false">IF($B70="","",SUMIF('NHẬP ĐƠN HÀNG'!$C$6:$C$505,$B70,'NHẬP ĐƠN HÀNG'!$U$6:$U$505))</f>
        <v/>
      </c>
      <c r="M70" s="34" t="str">
        <f aca="false">IF($B70="","",IF(SUMPRODUCT(MAX(('NHẬP ĐƠN HÀNG'!$C$6:$C$505=$B70)*'NHẬP ĐƠN HÀNG'!$B$6:$B$505))=0,"",SUMPRODUCT(MAX(('NHẬP ĐƠN HÀNG'!$C$6:$C$505=$B70)*'NHẬP ĐƠN HÀNG'!$B$6:$B$505))))</f>
        <v/>
      </c>
      <c r="N70" s="16" t="str">
        <f aca="false">IF($B70="","",IF($G70=0,"Chưa có đơn",IF(COUNTIFS('NHẬP ĐƠN HÀNG'!$C$6:$C$505,$B70,'NHẬP ĐƠN HÀNG'!$N$6:$N$505,"&gt;0")&gt;0,"Có lấy VAT","Không lấy VAT")))</f>
        <v/>
      </c>
    </row>
    <row r="71" customFormat="false" ht="15" hidden="false" customHeight="false" outlineLevel="0" collapsed="false">
      <c r="A71" s="16" t="str">
        <f aca="false">IF($B71="","",66)</f>
        <v/>
      </c>
      <c r="B71" s="16" t="str">
        <f aca="false">IFERROR(INDEX('NHẬP ĐƠN HÀNG'!$C$6:$C$505,MATCH(66,'NHẬP ĐƠN HÀNG'!$AB$6:$AB$505,0)),"")</f>
        <v/>
      </c>
      <c r="C71" s="16" t="str">
        <f aca="false">IF($B71="","",IFERROR(IF(INDEX('NHẬP ĐƠN HÀNG'!$D$6:$D$505,MATCH($B71,'NHẬP ĐƠN HÀNG'!$C$6:$C$505,0))="","",INDEX('NHẬP ĐƠN HÀNG'!$D$6:$D$505,MATCH($B71,'NHẬP ĐƠN HÀNG'!$C$6:$C$505,0))),""))</f>
        <v/>
      </c>
      <c r="D71" s="16" t="str">
        <f aca="false">IF($B71="","",IFERROR(IF(INDEX('NHẬP ĐƠN HÀNG'!$E$6:$E$505,MATCH($B71,'NHẬP ĐƠN HÀNG'!$C$6:$C$505,0))="","",INDEX('NHẬP ĐƠN HÀNG'!$E$6:$E$505,MATCH($B71,'NHẬP ĐƠN HÀNG'!$C$6:$C$505,0))),""))</f>
        <v/>
      </c>
      <c r="E71" s="16" t="str">
        <f aca="false">IF($B71="","",IFERROR(IF(INDEX('NHẬP ĐƠN HÀNG'!$F$6:$F$505,MATCH($B71,'NHẬP ĐƠN HÀNG'!$C$6:$C$505,0))="","",INDEX('NHẬP ĐƠN HÀNG'!$F$6:$F$505,MATCH($B71,'NHẬP ĐƠN HÀNG'!$C$6:$C$505,0))),""))</f>
        <v/>
      </c>
      <c r="F71" s="16" t="str">
        <f aca="false">IF($B71="","",IFERROR(IF(INDEX('NHẬP ĐƠN HÀNG'!$G$6:$G$505,MATCH($B71,'NHẬP ĐƠN HÀNG'!$C$6:$C$505,0))="","",INDEX('NHẬP ĐƠN HÀNG'!$G$6:$G$505,MATCH($B71,'NHẬP ĐƠN HÀNG'!$C$6:$C$505,0))),""))</f>
        <v/>
      </c>
      <c r="G71" s="10" t="str">
        <f aca="false">IF($B71="","",COUNTIFS('NHẬP ĐƠN HÀNG'!$C$6:$C$505,$B71,'NHẬP ĐƠN HÀNG'!$L$6:$L$505,"&gt;0"))</f>
        <v/>
      </c>
      <c r="H71" s="10" t="str">
        <f aca="false">IF($B71="","",SUMIF('NHẬP ĐƠN HÀNG'!$C$6:$C$505,$B71,'NHẬP ĐƠN HÀNG'!$L$6:$L$505))</f>
        <v/>
      </c>
      <c r="I71" s="10" t="str">
        <f aca="false">IF($B71="","",SUMIF('NHẬP ĐƠN HÀNG'!$C$6:$C$505,$B71,'NHẬP ĐƠN HÀNG'!$P$6:$P$505))</f>
        <v/>
      </c>
      <c r="J71" s="10" t="str">
        <f aca="false">IF($B71="","",SUMIF('NHẬP ĐƠN HÀNG'!$C$6:$C$505,$B71,'NHẬP ĐƠN HÀNG'!$Q$6:$Q$505))</f>
        <v/>
      </c>
      <c r="K71" s="10" t="str">
        <f aca="false">IF($B71="","",SUMIF('NHẬP ĐƠN HÀNG'!$C$6:$C$505,$B71,'NHẬP ĐƠN HÀNG'!$R$6:$R$505))</f>
        <v/>
      </c>
      <c r="L71" s="10" t="str">
        <f aca="false">IF($B71="","",SUMIF('NHẬP ĐƠN HÀNG'!$C$6:$C$505,$B71,'NHẬP ĐƠN HÀNG'!$U$6:$U$505))</f>
        <v/>
      </c>
      <c r="M71" s="34" t="str">
        <f aca="false">IF($B71="","",IF(SUMPRODUCT(MAX(('NHẬP ĐƠN HÀNG'!$C$6:$C$505=$B71)*'NHẬP ĐƠN HÀNG'!$B$6:$B$505))=0,"",SUMPRODUCT(MAX(('NHẬP ĐƠN HÀNG'!$C$6:$C$505=$B71)*'NHẬP ĐƠN HÀNG'!$B$6:$B$505))))</f>
        <v/>
      </c>
      <c r="N71" s="16" t="str">
        <f aca="false">IF($B71="","",IF($G71=0,"Chưa có đơn",IF(COUNTIFS('NHẬP ĐƠN HÀNG'!$C$6:$C$505,$B71,'NHẬP ĐƠN HÀNG'!$N$6:$N$505,"&gt;0")&gt;0,"Có lấy VAT","Không lấy VAT")))</f>
        <v/>
      </c>
    </row>
    <row r="72" customFormat="false" ht="15" hidden="false" customHeight="false" outlineLevel="0" collapsed="false">
      <c r="A72" s="16" t="str">
        <f aca="false">IF($B72="","",67)</f>
        <v/>
      </c>
      <c r="B72" s="16" t="str">
        <f aca="false">IFERROR(INDEX('NHẬP ĐƠN HÀNG'!$C$6:$C$505,MATCH(67,'NHẬP ĐƠN HÀNG'!$AB$6:$AB$505,0)),"")</f>
        <v/>
      </c>
      <c r="C72" s="16" t="str">
        <f aca="false">IF($B72="","",IFERROR(IF(INDEX('NHẬP ĐƠN HÀNG'!$D$6:$D$505,MATCH($B72,'NHẬP ĐƠN HÀNG'!$C$6:$C$505,0))="","",INDEX('NHẬP ĐƠN HÀNG'!$D$6:$D$505,MATCH($B72,'NHẬP ĐƠN HÀNG'!$C$6:$C$505,0))),""))</f>
        <v/>
      </c>
      <c r="D72" s="16" t="str">
        <f aca="false">IF($B72="","",IFERROR(IF(INDEX('NHẬP ĐƠN HÀNG'!$E$6:$E$505,MATCH($B72,'NHẬP ĐƠN HÀNG'!$C$6:$C$505,0))="","",INDEX('NHẬP ĐƠN HÀNG'!$E$6:$E$505,MATCH($B72,'NHẬP ĐƠN HÀNG'!$C$6:$C$505,0))),""))</f>
        <v/>
      </c>
      <c r="E72" s="16" t="str">
        <f aca="false">IF($B72="","",IFERROR(IF(INDEX('NHẬP ĐƠN HÀNG'!$F$6:$F$505,MATCH($B72,'NHẬP ĐƠN HÀNG'!$C$6:$C$505,0))="","",INDEX('NHẬP ĐƠN HÀNG'!$F$6:$F$505,MATCH($B72,'NHẬP ĐƠN HÀNG'!$C$6:$C$505,0))),""))</f>
        <v/>
      </c>
      <c r="F72" s="16" t="str">
        <f aca="false">IF($B72="","",IFERROR(IF(INDEX('NHẬP ĐƠN HÀNG'!$G$6:$G$505,MATCH($B72,'NHẬP ĐƠN HÀNG'!$C$6:$C$505,0))="","",INDEX('NHẬP ĐƠN HÀNG'!$G$6:$G$505,MATCH($B72,'NHẬP ĐƠN HÀNG'!$C$6:$C$505,0))),""))</f>
        <v/>
      </c>
      <c r="G72" s="10" t="str">
        <f aca="false">IF($B72="","",COUNTIFS('NHẬP ĐƠN HÀNG'!$C$6:$C$505,$B72,'NHẬP ĐƠN HÀNG'!$L$6:$L$505,"&gt;0"))</f>
        <v/>
      </c>
      <c r="H72" s="10" t="str">
        <f aca="false">IF($B72="","",SUMIF('NHẬP ĐƠN HÀNG'!$C$6:$C$505,$B72,'NHẬP ĐƠN HÀNG'!$L$6:$L$505))</f>
        <v/>
      </c>
      <c r="I72" s="10" t="str">
        <f aca="false">IF($B72="","",SUMIF('NHẬP ĐƠN HÀNG'!$C$6:$C$505,$B72,'NHẬP ĐƠN HÀNG'!$P$6:$P$505))</f>
        <v/>
      </c>
      <c r="J72" s="10" t="str">
        <f aca="false">IF($B72="","",SUMIF('NHẬP ĐƠN HÀNG'!$C$6:$C$505,$B72,'NHẬP ĐƠN HÀNG'!$Q$6:$Q$505))</f>
        <v/>
      </c>
      <c r="K72" s="10" t="str">
        <f aca="false">IF($B72="","",SUMIF('NHẬP ĐƠN HÀNG'!$C$6:$C$505,$B72,'NHẬP ĐƠN HÀNG'!$R$6:$R$505))</f>
        <v/>
      </c>
      <c r="L72" s="10" t="str">
        <f aca="false">IF($B72="","",SUMIF('NHẬP ĐƠN HÀNG'!$C$6:$C$505,$B72,'NHẬP ĐƠN HÀNG'!$U$6:$U$505))</f>
        <v/>
      </c>
      <c r="M72" s="34" t="str">
        <f aca="false">IF($B72="","",IF(SUMPRODUCT(MAX(('NHẬP ĐƠN HÀNG'!$C$6:$C$505=$B72)*'NHẬP ĐƠN HÀNG'!$B$6:$B$505))=0,"",SUMPRODUCT(MAX(('NHẬP ĐƠN HÀNG'!$C$6:$C$505=$B72)*'NHẬP ĐƠN HÀNG'!$B$6:$B$505))))</f>
        <v/>
      </c>
      <c r="N72" s="16" t="str">
        <f aca="false">IF($B72="","",IF($G72=0,"Chưa có đơn",IF(COUNTIFS('NHẬP ĐƠN HÀNG'!$C$6:$C$505,$B72,'NHẬP ĐƠN HÀNG'!$N$6:$N$505,"&gt;0")&gt;0,"Có lấy VAT","Không lấy VAT")))</f>
        <v/>
      </c>
    </row>
    <row r="73" customFormat="false" ht="15" hidden="false" customHeight="false" outlineLevel="0" collapsed="false">
      <c r="A73" s="16" t="str">
        <f aca="false">IF($B73="","",68)</f>
        <v/>
      </c>
      <c r="B73" s="16" t="str">
        <f aca="false">IFERROR(INDEX('NHẬP ĐƠN HÀNG'!$C$6:$C$505,MATCH(68,'NHẬP ĐƠN HÀNG'!$AB$6:$AB$505,0)),"")</f>
        <v/>
      </c>
      <c r="C73" s="16" t="str">
        <f aca="false">IF($B73="","",IFERROR(IF(INDEX('NHẬP ĐƠN HÀNG'!$D$6:$D$505,MATCH($B73,'NHẬP ĐƠN HÀNG'!$C$6:$C$505,0))="","",INDEX('NHẬP ĐƠN HÀNG'!$D$6:$D$505,MATCH($B73,'NHẬP ĐƠN HÀNG'!$C$6:$C$505,0))),""))</f>
        <v/>
      </c>
      <c r="D73" s="16" t="str">
        <f aca="false">IF($B73="","",IFERROR(IF(INDEX('NHẬP ĐƠN HÀNG'!$E$6:$E$505,MATCH($B73,'NHẬP ĐƠN HÀNG'!$C$6:$C$505,0))="","",INDEX('NHẬP ĐƠN HÀNG'!$E$6:$E$505,MATCH($B73,'NHẬP ĐƠN HÀNG'!$C$6:$C$505,0))),""))</f>
        <v/>
      </c>
      <c r="E73" s="16" t="str">
        <f aca="false">IF($B73="","",IFERROR(IF(INDEX('NHẬP ĐƠN HÀNG'!$F$6:$F$505,MATCH($B73,'NHẬP ĐƠN HÀNG'!$C$6:$C$505,0))="","",INDEX('NHẬP ĐƠN HÀNG'!$F$6:$F$505,MATCH($B73,'NHẬP ĐƠN HÀNG'!$C$6:$C$505,0))),""))</f>
        <v/>
      </c>
      <c r="F73" s="16" t="str">
        <f aca="false">IF($B73="","",IFERROR(IF(INDEX('NHẬP ĐƠN HÀNG'!$G$6:$G$505,MATCH($B73,'NHẬP ĐƠN HÀNG'!$C$6:$C$505,0))="","",INDEX('NHẬP ĐƠN HÀNG'!$G$6:$G$505,MATCH($B73,'NHẬP ĐƠN HÀNG'!$C$6:$C$505,0))),""))</f>
        <v/>
      </c>
      <c r="G73" s="10" t="str">
        <f aca="false">IF($B73="","",COUNTIFS('NHẬP ĐƠN HÀNG'!$C$6:$C$505,$B73,'NHẬP ĐƠN HÀNG'!$L$6:$L$505,"&gt;0"))</f>
        <v/>
      </c>
      <c r="H73" s="10" t="str">
        <f aca="false">IF($B73="","",SUMIF('NHẬP ĐƠN HÀNG'!$C$6:$C$505,$B73,'NHẬP ĐƠN HÀNG'!$L$6:$L$505))</f>
        <v/>
      </c>
      <c r="I73" s="10" t="str">
        <f aca="false">IF($B73="","",SUMIF('NHẬP ĐƠN HÀNG'!$C$6:$C$505,$B73,'NHẬP ĐƠN HÀNG'!$P$6:$P$505))</f>
        <v/>
      </c>
      <c r="J73" s="10" t="str">
        <f aca="false">IF($B73="","",SUMIF('NHẬP ĐƠN HÀNG'!$C$6:$C$505,$B73,'NHẬP ĐƠN HÀNG'!$Q$6:$Q$505))</f>
        <v/>
      </c>
      <c r="K73" s="10" t="str">
        <f aca="false">IF($B73="","",SUMIF('NHẬP ĐƠN HÀNG'!$C$6:$C$505,$B73,'NHẬP ĐƠN HÀNG'!$R$6:$R$505))</f>
        <v/>
      </c>
      <c r="L73" s="10" t="str">
        <f aca="false">IF($B73="","",SUMIF('NHẬP ĐƠN HÀNG'!$C$6:$C$505,$B73,'NHẬP ĐƠN HÀNG'!$U$6:$U$505))</f>
        <v/>
      </c>
      <c r="M73" s="34" t="str">
        <f aca="false">IF($B73="","",IF(SUMPRODUCT(MAX(('NHẬP ĐƠN HÀNG'!$C$6:$C$505=$B73)*'NHẬP ĐƠN HÀNG'!$B$6:$B$505))=0,"",SUMPRODUCT(MAX(('NHẬP ĐƠN HÀNG'!$C$6:$C$505=$B73)*'NHẬP ĐƠN HÀNG'!$B$6:$B$505))))</f>
        <v/>
      </c>
      <c r="N73" s="16" t="str">
        <f aca="false">IF($B73="","",IF($G73=0,"Chưa có đơn",IF(COUNTIFS('NHẬP ĐƠN HÀNG'!$C$6:$C$505,$B73,'NHẬP ĐƠN HÀNG'!$N$6:$N$505,"&gt;0")&gt;0,"Có lấy VAT","Không lấy VAT")))</f>
        <v/>
      </c>
    </row>
    <row r="74" customFormat="false" ht="15" hidden="false" customHeight="false" outlineLevel="0" collapsed="false">
      <c r="A74" s="16" t="str">
        <f aca="false">IF($B74="","",69)</f>
        <v/>
      </c>
      <c r="B74" s="16" t="str">
        <f aca="false">IFERROR(INDEX('NHẬP ĐƠN HÀNG'!$C$6:$C$505,MATCH(69,'NHẬP ĐƠN HÀNG'!$AB$6:$AB$505,0)),"")</f>
        <v/>
      </c>
      <c r="C74" s="16" t="str">
        <f aca="false">IF($B74="","",IFERROR(IF(INDEX('NHẬP ĐƠN HÀNG'!$D$6:$D$505,MATCH($B74,'NHẬP ĐƠN HÀNG'!$C$6:$C$505,0))="","",INDEX('NHẬP ĐƠN HÀNG'!$D$6:$D$505,MATCH($B74,'NHẬP ĐƠN HÀNG'!$C$6:$C$505,0))),""))</f>
        <v/>
      </c>
      <c r="D74" s="16" t="str">
        <f aca="false">IF($B74="","",IFERROR(IF(INDEX('NHẬP ĐƠN HÀNG'!$E$6:$E$505,MATCH($B74,'NHẬP ĐƠN HÀNG'!$C$6:$C$505,0))="","",INDEX('NHẬP ĐƠN HÀNG'!$E$6:$E$505,MATCH($B74,'NHẬP ĐƠN HÀNG'!$C$6:$C$505,0))),""))</f>
        <v/>
      </c>
      <c r="E74" s="16" t="str">
        <f aca="false">IF($B74="","",IFERROR(IF(INDEX('NHẬP ĐƠN HÀNG'!$F$6:$F$505,MATCH($B74,'NHẬP ĐƠN HÀNG'!$C$6:$C$505,0))="","",INDEX('NHẬP ĐƠN HÀNG'!$F$6:$F$505,MATCH($B74,'NHẬP ĐƠN HÀNG'!$C$6:$C$505,0))),""))</f>
        <v/>
      </c>
      <c r="F74" s="16" t="str">
        <f aca="false">IF($B74="","",IFERROR(IF(INDEX('NHẬP ĐƠN HÀNG'!$G$6:$G$505,MATCH($B74,'NHẬP ĐƠN HÀNG'!$C$6:$C$505,0))="","",INDEX('NHẬP ĐƠN HÀNG'!$G$6:$G$505,MATCH($B74,'NHẬP ĐƠN HÀNG'!$C$6:$C$505,0))),""))</f>
        <v/>
      </c>
      <c r="G74" s="10" t="str">
        <f aca="false">IF($B74="","",COUNTIFS('NHẬP ĐƠN HÀNG'!$C$6:$C$505,$B74,'NHẬP ĐƠN HÀNG'!$L$6:$L$505,"&gt;0"))</f>
        <v/>
      </c>
      <c r="H74" s="10" t="str">
        <f aca="false">IF($B74="","",SUMIF('NHẬP ĐƠN HÀNG'!$C$6:$C$505,$B74,'NHẬP ĐƠN HÀNG'!$L$6:$L$505))</f>
        <v/>
      </c>
      <c r="I74" s="10" t="str">
        <f aca="false">IF($B74="","",SUMIF('NHẬP ĐƠN HÀNG'!$C$6:$C$505,$B74,'NHẬP ĐƠN HÀNG'!$P$6:$P$505))</f>
        <v/>
      </c>
      <c r="J74" s="10" t="str">
        <f aca="false">IF($B74="","",SUMIF('NHẬP ĐƠN HÀNG'!$C$6:$C$505,$B74,'NHẬP ĐƠN HÀNG'!$Q$6:$Q$505))</f>
        <v/>
      </c>
      <c r="K74" s="10" t="str">
        <f aca="false">IF($B74="","",SUMIF('NHẬP ĐƠN HÀNG'!$C$6:$C$505,$B74,'NHẬP ĐƠN HÀNG'!$R$6:$R$505))</f>
        <v/>
      </c>
      <c r="L74" s="10" t="str">
        <f aca="false">IF($B74="","",SUMIF('NHẬP ĐƠN HÀNG'!$C$6:$C$505,$B74,'NHẬP ĐƠN HÀNG'!$U$6:$U$505))</f>
        <v/>
      </c>
      <c r="M74" s="34" t="str">
        <f aca="false">IF($B74="","",IF(SUMPRODUCT(MAX(('NHẬP ĐƠN HÀNG'!$C$6:$C$505=$B74)*'NHẬP ĐƠN HÀNG'!$B$6:$B$505))=0,"",SUMPRODUCT(MAX(('NHẬP ĐƠN HÀNG'!$C$6:$C$505=$B74)*'NHẬP ĐƠN HÀNG'!$B$6:$B$505))))</f>
        <v/>
      </c>
      <c r="N74" s="16" t="str">
        <f aca="false">IF($B74="","",IF($G74=0,"Chưa có đơn",IF(COUNTIFS('NHẬP ĐƠN HÀNG'!$C$6:$C$505,$B74,'NHẬP ĐƠN HÀNG'!$N$6:$N$505,"&gt;0")&gt;0,"Có lấy VAT","Không lấy VAT")))</f>
        <v/>
      </c>
    </row>
    <row r="75" customFormat="false" ht="15" hidden="false" customHeight="false" outlineLevel="0" collapsed="false">
      <c r="A75" s="16" t="str">
        <f aca="false">IF($B75="","",70)</f>
        <v/>
      </c>
      <c r="B75" s="16" t="str">
        <f aca="false">IFERROR(INDEX('NHẬP ĐƠN HÀNG'!$C$6:$C$505,MATCH(70,'NHẬP ĐƠN HÀNG'!$AB$6:$AB$505,0)),"")</f>
        <v/>
      </c>
      <c r="C75" s="16" t="str">
        <f aca="false">IF($B75="","",IFERROR(IF(INDEX('NHẬP ĐƠN HÀNG'!$D$6:$D$505,MATCH($B75,'NHẬP ĐƠN HÀNG'!$C$6:$C$505,0))="","",INDEX('NHẬP ĐƠN HÀNG'!$D$6:$D$505,MATCH($B75,'NHẬP ĐƠN HÀNG'!$C$6:$C$505,0))),""))</f>
        <v/>
      </c>
      <c r="D75" s="16" t="str">
        <f aca="false">IF($B75="","",IFERROR(IF(INDEX('NHẬP ĐƠN HÀNG'!$E$6:$E$505,MATCH($B75,'NHẬP ĐƠN HÀNG'!$C$6:$C$505,0))="","",INDEX('NHẬP ĐƠN HÀNG'!$E$6:$E$505,MATCH($B75,'NHẬP ĐƠN HÀNG'!$C$6:$C$505,0))),""))</f>
        <v/>
      </c>
      <c r="E75" s="16" t="str">
        <f aca="false">IF($B75="","",IFERROR(IF(INDEX('NHẬP ĐƠN HÀNG'!$F$6:$F$505,MATCH($B75,'NHẬP ĐƠN HÀNG'!$C$6:$C$505,0))="","",INDEX('NHẬP ĐƠN HÀNG'!$F$6:$F$505,MATCH($B75,'NHẬP ĐƠN HÀNG'!$C$6:$C$505,0))),""))</f>
        <v/>
      </c>
      <c r="F75" s="16" t="str">
        <f aca="false">IF($B75="","",IFERROR(IF(INDEX('NHẬP ĐƠN HÀNG'!$G$6:$G$505,MATCH($B75,'NHẬP ĐƠN HÀNG'!$C$6:$C$505,0))="","",INDEX('NHẬP ĐƠN HÀNG'!$G$6:$G$505,MATCH($B75,'NHẬP ĐƠN HÀNG'!$C$6:$C$505,0))),""))</f>
        <v/>
      </c>
      <c r="G75" s="10" t="str">
        <f aca="false">IF($B75="","",COUNTIFS('NHẬP ĐƠN HÀNG'!$C$6:$C$505,$B75,'NHẬP ĐƠN HÀNG'!$L$6:$L$505,"&gt;0"))</f>
        <v/>
      </c>
      <c r="H75" s="10" t="str">
        <f aca="false">IF($B75="","",SUMIF('NHẬP ĐƠN HÀNG'!$C$6:$C$505,$B75,'NHẬP ĐƠN HÀNG'!$L$6:$L$505))</f>
        <v/>
      </c>
      <c r="I75" s="10" t="str">
        <f aca="false">IF($B75="","",SUMIF('NHẬP ĐƠN HÀNG'!$C$6:$C$505,$B75,'NHẬP ĐƠN HÀNG'!$P$6:$P$505))</f>
        <v/>
      </c>
      <c r="J75" s="10" t="str">
        <f aca="false">IF($B75="","",SUMIF('NHẬP ĐƠN HÀNG'!$C$6:$C$505,$B75,'NHẬP ĐƠN HÀNG'!$Q$6:$Q$505))</f>
        <v/>
      </c>
      <c r="K75" s="10" t="str">
        <f aca="false">IF($B75="","",SUMIF('NHẬP ĐƠN HÀNG'!$C$6:$C$505,$B75,'NHẬP ĐƠN HÀNG'!$R$6:$R$505))</f>
        <v/>
      </c>
      <c r="L75" s="10" t="str">
        <f aca="false">IF($B75="","",SUMIF('NHẬP ĐƠN HÀNG'!$C$6:$C$505,$B75,'NHẬP ĐƠN HÀNG'!$U$6:$U$505))</f>
        <v/>
      </c>
      <c r="M75" s="34" t="str">
        <f aca="false">IF($B75="","",IF(SUMPRODUCT(MAX(('NHẬP ĐƠN HÀNG'!$C$6:$C$505=$B75)*'NHẬP ĐƠN HÀNG'!$B$6:$B$505))=0,"",SUMPRODUCT(MAX(('NHẬP ĐƠN HÀNG'!$C$6:$C$505=$B75)*'NHẬP ĐƠN HÀNG'!$B$6:$B$505))))</f>
        <v/>
      </c>
      <c r="N75" s="16" t="str">
        <f aca="false">IF($B75="","",IF($G75=0,"Chưa có đơn",IF(COUNTIFS('NHẬP ĐƠN HÀNG'!$C$6:$C$505,$B75,'NHẬP ĐƠN HÀNG'!$N$6:$N$505,"&gt;0")&gt;0,"Có lấy VAT","Không lấy VAT")))</f>
        <v/>
      </c>
    </row>
    <row r="76" customFormat="false" ht="15" hidden="false" customHeight="false" outlineLevel="0" collapsed="false">
      <c r="A76" s="16" t="str">
        <f aca="false">IF($B76="","",71)</f>
        <v/>
      </c>
      <c r="B76" s="16" t="str">
        <f aca="false">IFERROR(INDEX('NHẬP ĐƠN HÀNG'!$C$6:$C$505,MATCH(71,'NHẬP ĐƠN HÀNG'!$AB$6:$AB$505,0)),"")</f>
        <v/>
      </c>
      <c r="C76" s="16" t="str">
        <f aca="false">IF($B76="","",IFERROR(IF(INDEX('NHẬP ĐƠN HÀNG'!$D$6:$D$505,MATCH($B76,'NHẬP ĐƠN HÀNG'!$C$6:$C$505,0))="","",INDEX('NHẬP ĐƠN HÀNG'!$D$6:$D$505,MATCH($B76,'NHẬP ĐƠN HÀNG'!$C$6:$C$505,0))),""))</f>
        <v/>
      </c>
      <c r="D76" s="16" t="str">
        <f aca="false">IF($B76="","",IFERROR(IF(INDEX('NHẬP ĐƠN HÀNG'!$E$6:$E$505,MATCH($B76,'NHẬP ĐƠN HÀNG'!$C$6:$C$505,0))="","",INDEX('NHẬP ĐƠN HÀNG'!$E$6:$E$505,MATCH($B76,'NHẬP ĐƠN HÀNG'!$C$6:$C$505,0))),""))</f>
        <v/>
      </c>
      <c r="E76" s="16" t="str">
        <f aca="false">IF($B76="","",IFERROR(IF(INDEX('NHẬP ĐƠN HÀNG'!$F$6:$F$505,MATCH($B76,'NHẬP ĐƠN HÀNG'!$C$6:$C$505,0))="","",INDEX('NHẬP ĐƠN HÀNG'!$F$6:$F$505,MATCH($B76,'NHẬP ĐƠN HÀNG'!$C$6:$C$505,0))),""))</f>
        <v/>
      </c>
      <c r="F76" s="16" t="str">
        <f aca="false">IF($B76="","",IFERROR(IF(INDEX('NHẬP ĐƠN HÀNG'!$G$6:$G$505,MATCH($B76,'NHẬP ĐƠN HÀNG'!$C$6:$C$505,0))="","",INDEX('NHẬP ĐƠN HÀNG'!$G$6:$G$505,MATCH($B76,'NHẬP ĐƠN HÀNG'!$C$6:$C$505,0))),""))</f>
        <v/>
      </c>
      <c r="G76" s="10" t="str">
        <f aca="false">IF($B76="","",COUNTIFS('NHẬP ĐƠN HÀNG'!$C$6:$C$505,$B76,'NHẬP ĐƠN HÀNG'!$L$6:$L$505,"&gt;0"))</f>
        <v/>
      </c>
      <c r="H76" s="10" t="str">
        <f aca="false">IF($B76="","",SUMIF('NHẬP ĐƠN HÀNG'!$C$6:$C$505,$B76,'NHẬP ĐƠN HÀNG'!$L$6:$L$505))</f>
        <v/>
      </c>
      <c r="I76" s="10" t="str">
        <f aca="false">IF($B76="","",SUMIF('NHẬP ĐƠN HÀNG'!$C$6:$C$505,$B76,'NHẬP ĐƠN HÀNG'!$P$6:$P$505))</f>
        <v/>
      </c>
      <c r="J76" s="10" t="str">
        <f aca="false">IF($B76="","",SUMIF('NHẬP ĐƠN HÀNG'!$C$6:$C$505,$B76,'NHẬP ĐƠN HÀNG'!$Q$6:$Q$505))</f>
        <v/>
      </c>
      <c r="K76" s="10" t="str">
        <f aca="false">IF($B76="","",SUMIF('NHẬP ĐƠN HÀNG'!$C$6:$C$505,$B76,'NHẬP ĐƠN HÀNG'!$R$6:$R$505))</f>
        <v/>
      </c>
      <c r="L76" s="10" t="str">
        <f aca="false">IF($B76="","",SUMIF('NHẬP ĐƠN HÀNG'!$C$6:$C$505,$B76,'NHẬP ĐƠN HÀNG'!$U$6:$U$505))</f>
        <v/>
      </c>
      <c r="M76" s="34" t="str">
        <f aca="false">IF($B76="","",IF(SUMPRODUCT(MAX(('NHẬP ĐƠN HÀNG'!$C$6:$C$505=$B76)*'NHẬP ĐƠN HÀNG'!$B$6:$B$505))=0,"",SUMPRODUCT(MAX(('NHẬP ĐƠN HÀNG'!$C$6:$C$505=$B76)*'NHẬP ĐƠN HÀNG'!$B$6:$B$505))))</f>
        <v/>
      </c>
      <c r="N76" s="16" t="str">
        <f aca="false">IF($B76="","",IF($G76=0,"Chưa có đơn",IF(COUNTIFS('NHẬP ĐƠN HÀNG'!$C$6:$C$505,$B76,'NHẬP ĐƠN HÀNG'!$N$6:$N$505,"&gt;0")&gt;0,"Có lấy VAT","Không lấy VAT")))</f>
        <v/>
      </c>
    </row>
    <row r="77" customFormat="false" ht="15" hidden="false" customHeight="false" outlineLevel="0" collapsed="false">
      <c r="A77" s="16" t="str">
        <f aca="false">IF($B77="","",72)</f>
        <v/>
      </c>
      <c r="B77" s="16" t="str">
        <f aca="false">IFERROR(INDEX('NHẬP ĐƠN HÀNG'!$C$6:$C$505,MATCH(72,'NHẬP ĐƠN HÀNG'!$AB$6:$AB$505,0)),"")</f>
        <v/>
      </c>
      <c r="C77" s="16" t="str">
        <f aca="false">IF($B77="","",IFERROR(IF(INDEX('NHẬP ĐƠN HÀNG'!$D$6:$D$505,MATCH($B77,'NHẬP ĐƠN HÀNG'!$C$6:$C$505,0))="","",INDEX('NHẬP ĐƠN HÀNG'!$D$6:$D$505,MATCH($B77,'NHẬP ĐƠN HÀNG'!$C$6:$C$505,0))),""))</f>
        <v/>
      </c>
      <c r="D77" s="16" t="str">
        <f aca="false">IF($B77="","",IFERROR(IF(INDEX('NHẬP ĐƠN HÀNG'!$E$6:$E$505,MATCH($B77,'NHẬP ĐƠN HÀNG'!$C$6:$C$505,0))="","",INDEX('NHẬP ĐƠN HÀNG'!$E$6:$E$505,MATCH($B77,'NHẬP ĐƠN HÀNG'!$C$6:$C$505,0))),""))</f>
        <v/>
      </c>
      <c r="E77" s="16" t="str">
        <f aca="false">IF($B77="","",IFERROR(IF(INDEX('NHẬP ĐƠN HÀNG'!$F$6:$F$505,MATCH($B77,'NHẬP ĐƠN HÀNG'!$C$6:$C$505,0))="","",INDEX('NHẬP ĐƠN HÀNG'!$F$6:$F$505,MATCH($B77,'NHẬP ĐƠN HÀNG'!$C$6:$C$505,0))),""))</f>
        <v/>
      </c>
      <c r="F77" s="16" t="str">
        <f aca="false">IF($B77="","",IFERROR(IF(INDEX('NHẬP ĐƠN HÀNG'!$G$6:$G$505,MATCH($B77,'NHẬP ĐƠN HÀNG'!$C$6:$C$505,0))="","",INDEX('NHẬP ĐƠN HÀNG'!$G$6:$G$505,MATCH($B77,'NHẬP ĐƠN HÀNG'!$C$6:$C$505,0))),""))</f>
        <v/>
      </c>
      <c r="G77" s="10" t="str">
        <f aca="false">IF($B77="","",COUNTIFS('NHẬP ĐƠN HÀNG'!$C$6:$C$505,$B77,'NHẬP ĐƠN HÀNG'!$L$6:$L$505,"&gt;0"))</f>
        <v/>
      </c>
      <c r="H77" s="10" t="str">
        <f aca="false">IF($B77="","",SUMIF('NHẬP ĐƠN HÀNG'!$C$6:$C$505,$B77,'NHẬP ĐƠN HÀNG'!$L$6:$L$505))</f>
        <v/>
      </c>
      <c r="I77" s="10" t="str">
        <f aca="false">IF($B77="","",SUMIF('NHẬP ĐƠN HÀNG'!$C$6:$C$505,$B77,'NHẬP ĐƠN HÀNG'!$P$6:$P$505))</f>
        <v/>
      </c>
      <c r="J77" s="10" t="str">
        <f aca="false">IF($B77="","",SUMIF('NHẬP ĐƠN HÀNG'!$C$6:$C$505,$B77,'NHẬP ĐƠN HÀNG'!$Q$6:$Q$505))</f>
        <v/>
      </c>
      <c r="K77" s="10" t="str">
        <f aca="false">IF($B77="","",SUMIF('NHẬP ĐƠN HÀNG'!$C$6:$C$505,$B77,'NHẬP ĐƠN HÀNG'!$R$6:$R$505))</f>
        <v/>
      </c>
      <c r="L77" s="10" t="str">
        <f aca="false">IF($B77="","",SUMIF('NHẬP ĐƠN HÀNG'!$C$6:$C$505,$B77,'NHẬP ĐƠN HÀNG'!$U$6:$U$505))</f>
        <v/>
      </c>
      <c r="M77" s="34" t="str">
        <f aca="false">IF($B77="","",IF(SUMPRODUCT(MAX(('NHẬP ĐƠN HÀNG'!$C$6:$C$505=$B77)*'NHẬP ĐƠN HÀNG'!$B$6:$B$505))=0,"",SUMPRODUCT(MAX(('NHẬP ĐƠN HÀNG'!$C$6:$C$505=$B77)*'NHẬP ĐƠN HÀNG'!$B$6:$B$505))))</f>
        <v/>
      </c>
      <c r="N77" s="16" t="str">
        <f aca="false">IF($B77="","",IF($G77=0,"Chưa có đơn",IF(COUNTIFS('NHẬP ĐƠN HÀNG'!$C$6:$C$505,$B77,'NHẬP ĐƠN HÀNG'!$N$6:$N$505,"&gt;0")&gt;0,"Có lấy VAT","Không lấy VAT")))</f>
        <v/>
      </c>
    </row>
    <row r="78" customFormat="false" ht="15" hidden="false" customHeight="false" outlineLevel="0" collapsed="false">
      <c r="A78" s="16" t="str">
        <f aca="false">IF($B78="","",73)</f>
        <v/>
      </c>
      <c r="B78" s="16" t="str">
        <f aca="false">IFERROR(INDEX('NHẬP ĐƠN HÀNG'!$C$6:$C$505,MATCH(73,'NHẬP ĐƠN HÀNG'!$AB$6:$AB$505,0)),"")</f>
        <v/>
      </c>
      <c r="C78" s="16" t="str">
        <f aca="false">IF($B78="","",IFERROR(IF(INDEX('NHẬP ĐƠN HÀNG'!$D$6:$D$505,MATCH($B78,'NHẬP ĐƠN HÀNG'!$C$6:$C$505,0))="","",INDEX('NHẬP ĐƠN HÀNG'!$D$6:$D$505,MATCH($B78,'NHẬP ĐƠN HÀNG'!$C$6:$C$505,0))),""))</f>
        <v/>
      </c>
      <c r="D78" s="16" t="str">
        <f aca="false">IF($B78="","",IFERROR(IF(INDEX('NHẬP ĐƠN HÀNG'!$E$6:$E$505,MATCH($B78,'NHẬP ĐƠN HÀNG'!$C$6:$C$505,0))="","",INDEX('NHẬP ĐƠN HÀNG'!$E$6:$E$505,MATCH($B78,'NHẬP ĐƠN HÀNG'!$C$6:$C$505,0))),""))</f>
        <v/>
      </c>
      <c r="E78" s="16" t="str">
        <f aca="false">IF($B78="","",IFERROR(IF(INDEX('NHẬP ĐƠN HÀNG'!$F$6:$F$505,MATCH($B78,'NHẬP ĐƠN HÀNG'!$C$6:$C$505,0))="","",INDEX('NHẬP ĐƠN HÀNG'!$F$6:$F$505,MATCH($B78,'NHẬP ĐƠN HÀNG'!$C$6:$C$505,0))),""))</f>
        <v/>
      </c>
      <c r="F78" s="16" t="str">
        <f aca="false">IF($B78="","",IFERROR(IF(INDEX('NHẬP ĐƠN HÀNG'!$G$6:$G$505,MATCH($B78,'NHẬP ĐƠN HÀNG'!$C$6:$C$505,0))="","",INDEX('NHẬP ĐƠN HÀNG'!$G$6:$G$505,MATCH($B78,'NHẬP ĐƠN HÀNG'!$C$6:$C$505,0))),""))</f>
        <v/>
      </c>
      <c r="G78" s="10" t="str">
        <f aca="false">IF($B78="","",COUNTIFS('NHẬP ĐƠN HÀNG'!$C$6:$C$505,$B78,'NHẬP ĐƠN HÀNG'!$L$6:$L$505,"&gt;0"))</f>
        <v/>
      </c>
      <c r="H78" s="10" t="str">
        <f aca="false">IF($B78="","",SUMIF('NHẬP ĐƠN HÀNG'!$C$6:$C$505,$B78,'NHẬP ĐƠN HÀNG'!$L$6:$L$505))</f>
        <v/>
      </c>
      <c r="I78" s="10" t="str">
        <f aca="false">IF($B78="","",SUMIF('NHẬP ĐƠN HÀNG'!$C$6:$C$505,$B78,'NHẬP ĐƠN HÀNG'!$P$6:$P$505))</f>
        <v/>
      </c>
      <c r="J78" s="10" t="str">
        <f aca="false">IF($B78="","",SUMIF('NHẬP ĐƠN HÀNG'!$C$6:$C$505,$B78,'NHẬP ĐƠN HÀNG'!$Q$6:$Q$505))</f>
        <v/>
      </c>
      <c r="K78" s="10" t="str">
        <f aca="false">IF($B78="","",SUMIF('NHẬP ĐƠN HÀNG'!$C$6:$C$505,$B78,'NHẬP ĐƠN HÀNG'!$R$6:$R$505))</f>
        <v/>
      </c>
      <c r="L78" s="10" t="str">
        <f aca="false">IF($B78="","",SUMIF('NHẬP ĐƠN HÀNG'!$C$6:$C$505,$B78,'NHẬP ĐƠN HÀNG'!$U$6:$U$505))</f>
        <v/>
      </c>
      <c r="M78" s="34" t="str">
        <f aca="false">IF($B78="","",IF(SUMPRODUCT(MAX(('NHẬP ĐƠN HÀNG'!$C$6:$C$505=$B78)*'NHẬP ĐƠN HÀNG'!$B$6:$B$505))=0,"",SUMPRODUCT(MAX(('NHẬP ĐƠN HÀNG'!$C$6:$C$505=$B78)*'NHẬP ĐƠN HÀNG'!$B$6:$B$505))))</f>
        <v/>
      </c>
      <c r="N78" s="16" t="str">
        <f aca="false">IF($B78="","",IF($G78=0,"Chưa có đơn",IF(COUNTIFS('NHẬP ĐƠN HÀNG'!$C$6:$C$505,$B78,'NHẬP ĐƠN HÀNG'!$N$6:$N$505,"&gt;0")&gt;0,"Có lấy VAT","Không lấy VAT")))</f>
        <v/>
      </c>
    </row>
    <row r="79" customFormat="false" ht="15" hidden="false" customHeight="false" outlineLevel="0" collapsed="false">
      <c r="A79" s="16" t="str">
        <f aca="false">IF($B79="","",74)</f>
        <v/>
      </c>
      <c r="B79" s="16" t="str">
        <f aca="false">IFERROR(INDEX('NHẬP ĐƠN HÀNG'!$C$6:$C$505,MATCH(74,'NHẬP ĐƠN HÀNG'!$AB$6:$AB$505,0)),"")</f>
        <v/>
      </c>
      <c r="C79" s="16" t="str">
        <f aca="false">IF($B79="","",IFERROR(IF(INDEX('NHẬP ĐƠN HÀNG'!$D$6:$D$505,MATCH($B79,'NHẬP ĐƠN HÀNG'!$C$6:$C$505,0))="","",INDEX('NHẬP ĐƠN HÀNG'!$D$6:$D$505,MATCH($B79,'NHẬP ĐƠN HÀNG'!$C$6:$C$505,0))),""))</f>
        <v/>
      </c>
      <c r="D79" s="16" t="str">
        <f aca="false">IF($B79="","",IFERROR(IF(INDEX('NHẬP ĐƠN HÀNG'!$E$6:$E$505,MATCH($B79,'NHẬP ĐƠN HÀNG'!$C$6:$C$505,0))="","",INDEX('NHẬP ĐƠN HÀNG'!$E$6:$E$505,MATCH($B79,'NHẬP ĐƠN HÀNG'!$C$6:$C$505,0))),""))</f>
        <v/>
      </c>
      <c r="E79" s="16" t="str">
        <f aca="false">IF($B79="","",IFERROR(IF(INDEX('NHẬP ĐƠN HÀNG'!$F$6:$F$505,MATCH($B79,'NHẬP ĐƠN HÀNG'!$C$6:$C$505,0))="","",INDEX('NHẬP ĐƠN HÀNG'!$F$6:$F$505,MATCH($B79,'NHẬP ĐƠN HÀNG'!$C$6:$C$505,0))),""))</f>
        <v/>
      </c>
      <c r="F79" s="16" t="str">
        <f aca="false">IF($B79="","",IFERROR(IF(INDEX('NHẬP ĐƠN HÀNG'!$G$6:$G$505,MATCH($B79,'NHẬP ĐƠN HÀNG'!$C$6:$C$505,0))="","",INDEX('NHẬP ĐƠN HÀNG'!$G$6:$G$505,MATCH($B79,'NHẬP ĐƠN HÀNG'!$C$6:$C$505,0))),""))</f>
        <v/>
      </c>
      <c r="G79" s="10" t="str">
        <f aca="false">IF($B79="","",COUNTIFS('NHẬP ĐƠN HÀNG'!$C$6:$C$505,$B79,'NHẬP ĐƠN HÀNG'!$L$6:$L$505,"&gt;0"))</f>
        <v/>
      </c>
      <c r="H79" s="10" t="str">
        <f aca="false">IF($B79="","",SUMIF('NHẬP ĐƠN HÀNG'!$C$6:$C$505,$B79,'NHẬP ĐƠN HÀNG'!$L$6:$L$505))</f>
        <v/>
      </c>
      <c r="I79" s="10" t="str">
        <f aca="false">IF($B79="","",SUMIF('NHẬP ĐƠN HÀNG'!$C$6:$C$505,$B79,'NHẬP ĐƠN HÀNG'!$P$6:$P$505))</f>
        <v/>
      </c>
      <c r="J79" s="10" t="str">
        <f aca="false">IF($B79="","",SUMIF('NHẬP ĐƠN HÀNG'!$C$6:$C$505,$B79,'NHẬP ĐƠN HÀNG'!$Q$6:$Q$505))</f>
        <v/>
      </c>
      <c r="K79" s="10" t="str">
        <f aca="false">IF($B79="","",SUMIF('NHẬP ĐƠN HÀNG'!$C$6:$C$505,$B79,'NHẬP ĐƠN HÀNG'!$R$6:$R$505))</f>
        <v/>
      </c>
      <c r="L79" s="10" t="str">
        <f aca="false">IF($B79="","",SUMIF('NHẬP ĐƠN HÀNG'!$C$6:$C$505,$B79,'NHẬP ĐƠN HÀNG'!$U$6:$U$505))</f>
        <v/>
      </c>
      <c r="M79" s="34" t="str">
        <f aca="false">IF($B79="","",IF(SUMPRODUCT(MAX(('NHẬP ĐƠN HÀNG'!$C$6:$C$505=$B79)*'NHẬP ĐƠN HÀNG'!$B$6:$B$505))=0,"",SUMPRODUCT(MAX(('NHẬP ĐƠN HÀNG'!$C$6:$C$505=$B79)*'NHẬP ĐƠN HÀNG'!$B$6:$B$505))))</f>
        <v/>
      </c>
      <c r="N79" s="16" t="str">
        <f aca="false">IF($B79="","",IF($G79=0,"Chưa có đơn",IF(COUNTIFS('NHẬP ĐƠN HÀNG'!$C$6:$C$505,$B79,'NHẬP ĐƠN HÀNG'!$N$6:$N$505,"&gt;0")&gt;0,"Có lấy VAT","Không lấy VAT")))</f>
        <v/>
      </c>
    </row>
    <row r="80" customFormat="false" ht="15" hidden="false" customHeight="false" outlineLevel="0" collapsed="false">
      <c r="A80" s="16" t="str">
        <f aca="false">IF($B80="","",75)</f>
        <v/>
      </c>
      <c r="B80" s="16" t="str">
        <f aca="false">IFERROR(INDEX('NHẬP ĐƠN HÀNG'!$C$6:$C$505,MATCH(75,'NHẬP ĐƠN HÀNG'!$AB$6:$AB$505,0)),"")</f>
        <v/>
      </c>
      <c r="C80" s="16" t="str">
        <f aca="false">IF($B80="","",IFERROR(IF(INDEX('NHẬP ĐƠN HÀNG'!$D$6:$D$505,MATCH($B80,'NHẬP ĐƠN HÀNG'!$C$6:$C$505,0))="","",INDEX('NHẬP ĐƠN HÀNG'!$D$6:$D$505,MATCH($B80,'NHẬP ĐƠN HÀNG'!$C$6:$C$505,0))),""))</f>
        <v/>
      </c>
      <c r="D80" s="16" t="str">
        <f aca="false">IF($B80="","",IFERROR(IF(INDEX('NHẬP ĐƠN HÀNG'!$E$6:$E$505,MATCH($B80,'NHẬP ĐƠN HÀNG'!$C$6:$C$505,0))="","",INDEX('NHẬP ĐƠN HÀNG'!$E$6:$E$505,MATCH($B80,'NHẬP ĐƠN HÀNG'!$C$6:$C$505,0))),""))</f>
        <v/>
      </c>
      <c r="E80" s="16" t="str">
        <f aca="false">IF($B80="","",IFERROR(IF(INDEX('NHẬP ĐƠN HÀNG'!$F$6:$F$505,MATCH($B80,'NHẬP ĐƠN HÀNG'!$C$6:$C$505,0))="","",INDEX('NHẬP ĐƠN HÀNG'!$F$6:$F$505,MATCH($B80,'NHẬP ĐƠN HÀNG'!$C$6:$C$505,0))),""))</f>
        <v/>
      </c>
      <c r="F80" s="16" t="str">
        <f aca="false">IF($B80="","",IFERROR(IF(INDEX('NHẬP ĐƠN HÀNG'!$G$6:$G$505,MATCH($B80,'NHẬP ĐƠN HÀNG'!$C$6:$C$505,0))="","",INDEX('NHẬP ĐƠN HÀNG'!$G$6:$G$505,MATCH($B80,'NHẬP ĐƠN HÀNG'!$C$6:$C$505,0))),""))</f>
        <v/>
      </c>
      <c r="G80" s="10" t="str">
        <f aca="false">IF($B80="","",COUNTIFS('NHẬP ĐƠN HÀNG'!$C$6:$C$505,$B80,'NHẬP ĐƠN HÀNG'!$L$6:$L$505,"&gt;0"))</f>
        <v/>
      </c>
      <c r="H80" s="10" t="str">
        <f aca="false">IF($B80="","",SUMIF('NHẬP ĐƠN HÀNG'!$C$6:$C$505,$B80,'NHẬP ĐƠN HÀNG'!$L$6:$L$505))</f>
        <v/>
      </c>
      <c r="I80" s="10" t="str">
        <f aca="false">IF($B80="","",SUMIF('NHẬP ĐƠN HÀNG'!$C$6:$C$505,$B80,'NHẬP ĐƠN HÀNG'!$P$6:$P$505))</f>
        <v/>
      </c>
      <c r="J80" s="10" t="str">
        <f aca="false">IF($B80="","",SUMIF('NHẬP ĐƠN HÀNG'!$C$6:$C$505,$B80,'NHẬP ĐƠN HÀNG'!$Q$6:$Q$505))</f>
        <v/>
      </c>
      <c r="K80" s="10" t="str">
        <f aca="false">IF($B80="","",SUMIF('NHẬP ĐƠN HÀNG'!$C$6:$C$505,$B80,'NHẬP ĐƠN HÀNG'!$R$6:$R$505))</f>
        <v/>
      </c>
      <c r="L80" s="10" t="str">
        <f aca="false">IF($B80="","",SUMIF('NHẬP ĐƠN HÀNG'!$C$6:$C$505,$B80,'NHẬP ĐƠN HÀNG'!$U$6:$U$505))</f>
        <v/>
      </c>
      <c r="M80" s="34" t="str">
        <f aca="false">IF($B80="","",IF(SUMPRODUCT(MAX(('NHẬP ĐƠN HÀNG'!$C$6:$C$505=$B80)*'NHẬP ĐƠN HÀNG'!$B$6:$B$505))=0,"",SUMPRODUCT(MAX(('NHẬP ĐƠN HÀNG'!$C$6:$C$505=$B80)*'NHẬP ĐƠN HÀNG'!$B$6:$B$505))))</f>
        <v/>
      </c>
      <c r="N80" s="16" t="str">
        <f aca="false">IF($B80="","",IF($G80=0,"Chưa có đơn",IF(COUNTIFS('NHẬP ĐƠN HÀNG'!$C$6:$C$505,$B80,'NHẬP ĐƠN HÀNG'!$N$6:$N$505,"&gt;0")&gt;0,"Có lấy VAT","Không lấy VAT")))</f>
        <v/>
      </c>
    </row>
    <row r="81" customFormat="false" ht="15" hidden="false" customHeight="false" outlineLevel="0" collapsed="false">
      <c r="A81" s="16" t="str">
        <f aca="false">IF($B81="","",76)</f>
        <v/>
      </c>
      <c r="B81" s="16" t="str">
        <f aca="false">IFERROR(INDEX('NHẬP ĐƠN HÀNG'!$C$6:$C$505,MATCH(76,'NHẬP ĐƠN HÀNG'!$AB$6:$AB$505,0)),"")</f>
        <v/>
      </c>
      <c r="C81" s="16" t="str">
        <f aca="false">IF($B81="","",IFERROR(IF(INDEX('NHẬP ĐƠN HÀNG'!$D$6:$D$505,MATCH($B81,'NHẬP ĐƠN HÀNG'!$C$6:$C$505,0))="","",INDEX('NHẬP ĐƠN HÀNG'!$D$6:$D$505,MATCH($B81,'NHẬP ĐƠN HÀNG'!$C$6:$C$505,0))),""))</f>
        <v/>
      </c>
      <c r="D81" s="16" t="str">
        <f aca="false">IF($B81="","",IFERROR(IF(INDEX('NHẬP ĐƠN HÀNG'!$E$6:$E$505,MATCH($B81,'NHẬP ĐƠN HÀNG'!$C$6:$C$505,0))="","",INDEX('NHẬP ĐƠN HÀNG'!$E$6:$E$505,MATCH($B81,'NHẬP ĐƠN HÀNG'!$C$6:$C$505,0))),""))</f>
        <v/>
      </c>
      <c r="E81" s="16" t="str">
        <f aca="false">IF($B81="","",IFERROR(IF(INDEX('NHẬP ĐƠN HÀNG'!$F$6:$F$505,MATCH($B81,'NHẬP ĐƠN HÀNG'!$C$6:$C$505,0))="","",INDEX('NHẬP ĐƠN HÀNG'!$F$6:$F$505,MATCH($B81,'NHẬP ĐƠN HÀNG'!$C$6:$C$505,0))),""))</f>
        <v/>
      </c>
      <c r="F81" s="16" t="str">
        <f aca="false">IF($B81="","",IFERROR(IF(INDEX('NHẬP ĐƠN HÀNG'!$G$6:$G$505,MATCH($B81,'NHẬP ĐƠN HÀNG'!$C$6:$C$505,0))="","",INDEX('NHẬP ĐƠN HÀNG'!$G$6:$G$505,MATCH($B81,'NHẬP ĐƠN HÀNG'!$C$6:$C$505,0))),""))</f>
        <v/>
      </c>
      <c r="G81" s="10" t="str">
        <f aca="false">IF($B81="","",COUNTIFS('NHẬP ĐƠN HÀNG'!$C$6:$C$505,$B81,'NHẬP ĐƠN HÀNG'!$L$6:$L$505,"&gt;0"))</f>
        <v/>
      </c>
      <c r="H81" s="10" t="str">
        <f aca="false">IF($B81="","",SUMIF('NHẬP ĐƠN HÀNG'!$C$6:$C$505,$B81,'NHẬP ĐƠN HÀNG'!$L$6:$L$505))</f>
        <v/>
      </c>
      <c r="I81" s="10" t="str">
        <f aca="false">IF($B81="","",SUMIF('NHẬP ĐƠN HÀNG'!$C$6:$C$505,$B81,'NHẬP ĐƠN HÀNG'!$P$6:$P$505))</f>
        <v/>
      </c>
      <c r="J81" s="10" t="str">
        <f aca="false">IF($B81="","",SUMIF('NHẬP ĐƠN HÀNG'!$C$6:$C$505,$B81,'NHẬP ĐƠN HÀNG'!$Q$6:$Q$505))</f>
        <v/>
      </c>
      <c r="K81" s="10" t="str">
        <f aca="false">IF($B81="","",SUMIF('NHẬP ĐƠN HÀNG'!$C$6:$C$505,$B81,'NHẬP ĐƠN HÀNG'!$R$6:$R$505))</f>
        <v/>
      </c>
      <c r="L81" s="10" t="str">
        <f aca="false">IF($B81="","",SUMIF('NHẬP ĐƠN HÀNG'!$C$6:$C$505,$B81,'NHẬP ĐƠN HÀNG'!$U$6:$U$505))</f>
        <v/>
      </c>
      <c r="M81" s="34" t="str">
        <f aca="false">IF($B81="","",IF(SUMPRODUCT(MAX(('NHẬP ĐƠN HÀNG'!$C$6:$C$505=$B81)*'NHẬP ĐƠN HÀNG'!$B$6:$B$505))=0,"",SUMPRODUCT(MAX(('NHẬP ĐƠN HÀNG'!$C$6:$C$505=$B81)*'NHẬP ĐƠN HÀNG'!$B$6:$B$505))))</f>
        <v/>
      </c>
      <c r="N81" s="16" t="str">
        <f aca="false">IF($B81="","",IF($G81=0,"Chưa có đơn",IF(COUNTIFS('NHẬP ĐƠN HÀNG'!$C$6:$C$505,$B81,'NHẬP ĐƠN HÀNG'!$N$6:$N$505,"&gt;0")&gt;0,"Có lấy VAT","Không lấy VAT")))</f>
        <v/>
      </c>
    </row>
    <row r="82" customFormat="false" ht="15" hidden="false" customHeight="false" outlineLevel="0" collapsed="false">
      <c r="A82" s="16" t="str">
        <f aca="false">IF($B82="","",77)</f>
        <v/>
      </c>
      <c r="B82" s="16" t="str">
        <f aca="false">IFERROR(INDEX('NHẬP ĐƠN HÀNG'!$C$6:$C$505,MATCH(77,'NHẬP ĐƠN HÀNG'!$AB$6:$AB$505,0)),"")</f>
        <v/>
      </c>
      <c r="C82" s="16" t="str">
        <f aca="false">IF($B82="","",IFERROR(IF(INDEX('NHẬP ĐƠN HÀNG'!$D$6:$D$505,MATCH($B82,'NHẬP ĐƠN HÀNG'!$C$6:$C$505,0))="","",INDEX('NHẬP ĐƠN HÀNG'!$D$6:$D$505,MATCH($B82,'NHẬP ĐƠN HÀNG'!$C$6:$C$505,0))),""))</f>
        <v/>
      </c>
      <c r="D82" s="16" t="str">
        <f aca="false">IF($B82="","",IFERROR(IF(INDEX('NHẬP ĐƠN HÀNG'!$E$6:$E$505,MATCH($B82,'NHẬP ĐƠN HÀNG'!$C$6:$C$505,0))="","",INDEX('NHẬP ĐƠN HÀNG'!$E$6:$E$505,MATCH($B82,'NHẬP ĐƠN HÀNG'!$C$6:$C$505,0))),""))</f>
        <v/>
      </c>
      <c r="E82" s="16" t="str">
        <f aca="false">IF($B82="","",IFERROR(IF(INDEX('NHẬP ĐƠN HÀNG'!$F$6:$F$505,MATCH($B82,'NHẬP ĐƠN HÀNG'!$C$6:$C$505,0))="","",INDEX('NHẬP ĐƠN HÀNG'!$F$6:$F$505,MATCH($B82,'NHẬP ĐƠN HÀNG'!$C$6:$C$505,0))),""))</f>
        <v/>
      </c>
      <c r="F82" s="16" t="str">
        <f aca="false">IF($B82="","",IFERROR(IF(INDEX('NHẬP ĐƠN HÀNG'!$G$6:$G$505,MATCH($B82,'NHẬP ĐƠN HÀNG'!$C$6:$C$505,0))="","",INDEX('NHẬP ĐƠN HÀNG'!$G$6:$G$505,MATCH($B82,'NHẬP ĐƠN HÀNG'!$C$6:$C$505,0))),""))</f>
        <v/>
      </c>
      <c r="G82" s="10" t="str">
        <f aca="false">IF($B82="","",COUNTIFS('NHẬP ĐƠN HÀNG'!$C$6:$C$505,$B82,'NHẬP ĐƠN HÀNG'!$L$6:$L$505,"&gt;0"))</f>
        <v/>
      </c>
      <c r="H82" s="10" t="str">
        <f aca="false">IF($B82="","",SUMIF('NHẬP ĐƠN HÀNG'!$C$6:$C$505,$B82,'NHẬP ĐƠN HÀNG'!$L$6:$L$505))</f>
        <v/>
      </c>
      <c r="I82" s="10" t="str">
        <f aca="false">IF($B82="","",SUMIF('NHẬP ĐƠN HÀNG'!$C$6:$C$505,$B82,'NHẬP ĐƠN HÀNG'!$P$6:$P$505))</f>
        <v/>
      </c>
      <c r="J82" s="10" t="str">
        <f aca="false">IF($B82="","",SUMIF('NHẬP ĐƠN HÀNG'!$C$6:$C$505,$B82,'NHẬP ĐƠN HÀNG'!$Q$6:$Q$505))</f>
        <v/>
      </c>
      <c r="K82" s="10" t="str">
        <f aca="false">IF($B82="","",SUMIF('NHẬP ĐƠN HÀNG'!$C$6:$C$505,$B82,'NHẬP ĐƠN HÀNG'!$R$6:$R$505))</f>
        <v/>
      </c>
      <c r="L82" s="10" t="str">
        <f aca="false">IF($B82="","",SUMIF('NHẬP ĐƠN HÀNG'!$C$6:$C$505,$B82,'NHẬP ĐƠN HÀNG'!$U$6:$U$505))</f>
        <v/>
      </c>
      <c r="M82" s="34" t="str">
        <f aca="false">IF($B82="","",IF(SUMPRODUCT(MAX(('NHẬP ĐƠN HÀNG'!$C$6:$C$505=$B82)*'NHẬP ĐƠN HÀNG'!$B$6:$B$505))=0,"",SUMPRODUCT(MAX(('NHẬP ĐƠN HÀNG'!$C$6:$C$505=$B82)*'NHẬP ĐƠN HÀNG'!$B$6:$B$505))))</f>
        <v/>
      </c>
      <c r="N82" s="16" t="str">
        <f aca="false">IF($B82="","",IF($G82=0,"Chưa có đơn",IF(COUNTIFS('NHẬP ĐƠN HÀNG'!$C$6:$C$505,$B82,'NHẬP ĐƠN HÀNG'!$N$6:$N$505,"&gt;0")&gt;0,"Có lấy VAT","Không lấy VAT")))</f>
        <v/>
      </c>
    </row>
    <row r="83" customFormat="false" ht="15" hidden="false" customHeight="false" outlineLevel="0" collapsed="false">
      <c r="A83" s="16" t="str">
        <f aca="false">IF($B83="","",78)</f>
        <v/>
      </c>
      <c r="B83" s="16" t="str">
        <f aca="false">IFERROR(INDEX('NHẬP ĐƠN HÀNG'!$C$6:$C$505,MATCH(78,'NHẬP ĐƠN HÀNG'!$AB$6:$AB$505,0)),"")</f>
        <v/>
      </c>
      <c r="C83" s="16" t="str">
        <f aca="false">IF($B83="","",IFERROR(IF(INDEX('NHẬP ĐƠN HÀNG'!$D$6:$D$505,MATCH($B83,'NHẬP ĐƠN HÀNG'!$C$6:$C$505,0))="","",INDEX('NHẬP ĐƠN HÀNG'!$D$6:$D$505,MATCH($B83,'NHẬP ĐƠN HÀNG'!$C$6:$C$505,0))),""))</f>
        <v/>
      </c>
      <c r="D83" s="16" t="str">
        <f aca="false">IF($B83="","",IFERROR(IF(INDEX('NHẬP ĐƠN HÀNG'!$E$6:$E$505,MATCH($B83,'NHẬP ĐƠN HÀNG'!$C$6:$C$505,0))="","",INDEX('NHẬP ĐƠN HÀNG'!$E$6:$E$505,MATCH($B83,'NHẬP ĐƠN HÀNG'!$C$6:$C$505,0))),""))</f>
        <v/>
      </c>
      <c r="E83" s="16" t="str">
        <f aca="false">IF($B83="","",IFERROR(IF(INDEX('NHẬP ĐƠN HÀNG'!$F$6:$F$505,MATCH($B83,'NHẬP ĐƠN HÀNG'!$C$6:$C$505,0))="","",INDEX('NHẬP ĐƠN HÀNG'!$F$6:$F$505,MATCH($B83,'NHẬP ĐƠN HÀNG'!$C$6:$C$505,0))),""))</f>
        <v/>
      </c>
      <c r="F83" s="16" t="str">
        <f aca="false">IF($B83="","",IFERROR(IF(INDEX('NHẬP ĐƠN HÀNG'!$G$6:$G$505,MATCH($B83,'NHẬP ĐƠN HÀNG'!$C$6:$C$505,0))="","",INDEX('NHẬP ĐƠN HÀNG'!$G$6:$G$505,MATCH($B83,'NHẬP ĐƠN HÀNG'!$C$6:$C$505,0))),""))</f>
        <v/>
      </c>
      <c r="G83" s="10" t="str">
        <f aca="false">IF($B83="","",COUNTIFS('NHẬP ĐƠN HÀNG'!$C$6:$C$505,$B83,'NHẬP ĐƠN HÀNG'!$L$6:$L$505,"&gt;0"))</f>
        <v/>
      </c>
      <c r="H83" s="10" t="str">
        <f aca="false">IF($B83="","",SUMIF('NHẬP ĐƠN HÀNG'!$C$6:$C$505,$B83,'NHẬP ĐƠN HÀNG'!$L$6:$L$505))</f>
        <v/>
      </c>
      <c r="I83" s="10" t="str">
        <f aca="false">IF($B83="","",SUMIF('NHẬP ĐƠN HÀNG'!$C$6:$C$505,$B83,'NHẬP ĐƠN HÀNG'!$P$6:$P$505))</f>
        <v/>
      </c>
      <c r="J83" s="10" t="str">
        <f aca="false">IF($B83="","",SUMIF('NHẬP ĐƠN HÀNG'!$C$6:$C$505,$B83,'NHẬP ĐƠN HÀNG'!$Q$6:$Q$505))</f>
        <v/>
      </c>
      <c r="K83" s="10" t="str">
        <f aca="false">IF($B83="","",SUMIF('NHẬP ĐƠN HÀNG'!$C$6:$C$505,$B83,'NHẬP ĐƠN HÀNG'!$R$6:$R$505))</f>
        <v/>
      </c>
      <c r="L83" s="10" t="str">
        <f aca="false">IF($B83="","",SUMIF('NHẬP ĐƠN HÀNG'!$C$6:$C$505,$B83,'NHẬP ĐƠN HÀNG'!$U$6:$U$505))</f>
        <v/>
      </c>
      <c r="M83" s="34" t="str">
        <f aca="false">IF($B83="","",IF(SUMPRODUCT(MAX(('NHẬP ĐƠN HÀNG'!$C$6:$C$505=$B83)*'NHẬP ĐƠN HÀNG'!$B$6:$B$505))=0,"",SUMPRODUCT(MAX(('NHẬP ĐƠN HÀNG'!$C$6:$C$505=$B83)*'NHẬP ĐƠN HÀNG'!$B$6:$B$505))))</f>
        <v/>
      </c>
      <c r="N83" s="16" t="str">
        <f aca="false">IF($B83="","",IF($G83=0,"Chưa có đơn",IF(COUNTIFS('NHẬP ĐƠN HÀNG'!$C$6:$C$505,$B83,'NHẬP ĐƠN HÀNG'!$N$6:$N$505,"&gt;0")&gt;0,"Có lấy VAT","Không lấy VAT")))</f>
        <v/>
      </c>
    </row>
    <row r="84" customFormat="false" ht="15" hidden="false" customHeight="false" outlineLevel="0" collapsed="false">
      <c r="A84" s="16" t="str">
        <f aca="false">IF($B84="","",79)</f>
        <v/>
      </c>
      <c r="B84" s="16" t="str">
        <f aca="false">IFERROR(INDEX('NHẬP ĐƠN HÀNG'!$C$6:$C$505,MATCH(79,'NHẬP ĐƠN HÀNG'!$AB$6:$AB$505,0)),"")</f>
        <v/>
      </c>
      <c r="C84" s="16" t="str">
        <f aca="false">IF($B84="","",IFERROR(IF(INDEX('NHẬP ĐƠN HÀNG'!$D$6:$D$505,MATCH($B84,'NHẬP ĐƠN HÀNG'!$C$6:$C$505,0))="","",INDEX('NHẬP ĐƠN HÀNG'!$D$6:$D$505,MATCH($B84,'NHẬP ĐƠN HÀNG'!$C$6:$C$505,0))),""))</f>
        <v/>
      </c>
      <c r="D84" s="16" t="str">
        <f aca="false">IF($B84="","",IFERROR(IF(INDEX('NHẬP ĐƠN HÀNG'!$E$6:$E$505,MATCH($B84,'NHẬP ĐƠN HÀNG'!$C$6:$C$505,0))="","",INDEX('NHẬP ĐƠN HÀNG'!$E$6:$E$505,MATCH($B84,'NHẬP ĐƠN HÀNG'!$C$6:$C$505,0))),""))</f>
        <v/>
      </c>
      <c r="E84" s="16" t="str">
        <f aca="false">IF($B84="","",IFERROR(IF(INDEX('NHẬP ĐƠN HÀNG'!$F$6:$F$505,MATCH($B84,'NHẬP ĐƠN HÀNG'!$C$6:$C$505,0))="","",INDEX('NHẬP ĐƠN HÀNG'!$F$6:$F$505,MATCH($B84,'NHẬP ĐƠN HÀNG'!$C$6:$C$505,0))),""))</f>
        <v/>
      </c>
      <c r="F84" s="16" t="str">
        <f aca="false">IF($B84="","",IFERROR(IF(INDEX('NHẬP ĐƠN HÀNG'!$G$6:$G$505,MATCH($B84,'NHẬP ĐƠN HÀNG'!$C$6:$C$505,0))="","",INDEX('NHẬP ĐƠN HÀNG'!$G$6:$G$505,MATCH($B84,'NHẬP ĐƠN HÀNG'!$C$6:$C$505,0))),""))</f>
        <v/>
      </c>
      <c r="G84" s="10" t="str">
        <f aca="false">IF($B84="","",COUNTIFS('NHẬP ĐƠN HÀNG'!$C$6:$C$505,$B84,'NHẬP ĐƠN HÀNG'!$L$6:$L$505,"&gt;0"))</f>
        <v/>
      </c>
      <c r="H84" s="10" t="str">
        <f aca="false">IF($B84="","",SUMIF('NHẬP ĐƠN HÀNG'!$C$6:$C$505,$B84,'NHẬP ĐƠN HÀNG'!$L$6:$L$505))</f>
        <v/>
      </c>
      <c r="I84" s="10" t="str">
        <f aca="false">IF($B84="","",SUMIF('NHẬP ĐƠN HÀNG'!$C$6:$C$505,$B84,'NHẬP ĐƠN HÀNG'!$P$6:$P$505))</f>
        <v/>
      </c>
      <c r="J84" s="10" t="str">
        <f aca="false">IF($B84="","",SUMIF('NHẬP ĐƠN HÀNG'!$C$6:$C$505,$B84,'NHẬP ĐƠN HÀNG'!$Q$6:$Q$505))</f>
        <v/>
      </c>
      <c r="K84" s="10" t="str">
        <f aca="false">IF($B84="","",SUMIF('NHẬP ĐƠN HÀNG'!$C$6:$C$505,$B84,'NHẬP ĐƠN HÀNG'!$R$6:$R$505))</f>
        <v/>
      </c>
      <c r="L84" s="10" t="str">
        <f aca="false">IF($B84="","",SUMIF('NHẬP ĐƠN HÀNG'!$C$6:$C$505,$B84,'NHẬP ĐƠN HÀNG'!$U$6:$U$505))</f>
        <v/>
      </c>
      <c r="M84" s="34" t="str">
        <f aca="false">IF($B84="","",IF(SUMPRODUCT(MAX(('NHẬP ĐƠN HÀNG'!$C$6:$C$505=$B84)*'NHẬP ĐƠN HÀNG'!$B$6:$B$505))=0,"",SUMPRODUCT(MAX(('NHẬP ĐƠN HÀNG'!$C$6:$C$505=$B84)*'NHẬP ĐƠN HÀNG'!$B$6:$B$505))))</f>
        <v/>
      </c>
      <c r="N84" s="16" t="str">
        <f aca="false">IF($B84="","",IF($G84=0,"Chưa có đơn",IF(COUNTIFS('NHẬP ĐƠN HÀNG'!$C$6:$C$505,$B84,'NHẬP ĐƠN HÀNG'!$N$6:$N$505,"&gt;0")&gt;0,"Có lấy VAT","Không lấy VAT")))</f>
        <v/>
      </c>
    </row>
    <row r="85" customFormat="false" ht="15" hidden="false" customHeight="false" outlineLevel="0" collapsed="false">
      <c r="A85" s="16" t="str">
        <f aca="false">IF($B85="","",80)</f>
        <v/>
      </c>
      <c r="B85" s="16" t="str">
        <f aca="false">IFERROR(INDEX('NHẬP ĐƠN HÀNG'!$C$6:$C$505,MATCH(80,'NHẬP ĐƠN HÀNG'!$AB$6:$AB$505,0)),"")</f>
        <v/>
      </c>
      <c r="C85" s="16" t="str">
        <f aca="false">IF($B85="","",IFERROR(IF(INDEX('NHẬP ĐƠN HÀNG'!$D$6:$D$505,MATCH($B85,'NHẬP ĐƠN HÀNG'!$C$6:$C$505,0))="","",INDEX('NHẬP ĐƠN HÀNG'!$D$6:$D$505,MATCH($B85,'NHẬP ĐƠN HÀNG'!$C$6:$C$505,0))),""))</f>
        <v/>
      </c>
      <c r="D85" s="16" t="str">
        <f aca="false">IF($B85="","",IFERROR(IF(INDEX('NHẬP ĐƠN HÀNG'!$E$6:$E$505,MATCH($B85,'NHẬP ĐƠN HÀNG'!$C$6:$C$505,0))="","",INDEX('NHẬP ĐƠN HÀNG'!$E$6:$E$505,MATCH($B85,'NHẬP ĐƠN HÀNG'!$C$6:$C$505,0))),""))</f>
        <v/>
      </c>
      <c r="E85" s="16" t="str">
        <f aca="false">IF($B85="","",IFERROR(IF(INDEX('NHẬP ĐƠN HÀNG'!$F$6:$F$505,MATCH($B85,'NHẬP ĐƠN HÀNG'!$C$6:$C$505,0))="","",INDEX('NHẬP ĐƠN HÀNG'!$F$6:$F$505,MATCH($B85,'NHẬP ĐƠN HÀNG'!$C$6:$C$505,0))),""))</f>
        <v/>
      </c>
      <c r="F85" s="16" t="str">
        <f aca="false">IF($B85="","",IFERROR(IF(INDEX('NHẬP ĐƠN HÀNG'!$G$6:$G$505,MATCH($B85,'NHẬP ĐƠN HÀNG'!$C$6:$C$505,0))="","",INDEX('NHẬP ĐƠN HÀNG'!$G$6:$G$505,MATCH($B85,'NHẬP ĐƠN HÀNG'!$C$6:$C$505,0))),""))</f>
        <v/>
      </c>
      <c r="G85" s="10" t="str">
        <f aca="false">IF($B85="","",COUNTIFS('NHẬP ĐƠN HÀNG'!$C$6:$C$505,$B85,'NHẬP ĐƠN HÀNG'!$L$6:$L$505,"&gt;0"))</f>
        <v/>
      </c>
      <c r="H85" s="10" t="str">
        <f aca="false">IF($B85="","",SUMIF('NHẬP ĐƠN HÀNG'!$C$6:$C$505,$B85,'NHẬP ĐƠN HÀNG'!$L$6:$L$505))</f>
        <v/>
      </c>
      <c r="I85" s="10" t="str">
        <f aca="false">IF($B85="","",SUMIF('NHẬP ĐƠN HÀNG'!$C$6:$C$505,$B85,'NHẬP ĐƠN HÀNG'!$P$6:$P$505))</f>
        <v/>
      </c>
      <c r="J85" s="10" t="str">
        <f aca="false">IF($B85="","",SUMIF('NHẬP ĐƠN HÀNG'!$C$6:$C$505,$B85,'NHẬP ĐƠN HÀNG'!$Q$6:$Q$505))</f>
        <v/>
      </c>
      <c r="K85" s="10" t="str">
        <f aca="false">IF($B85="","",SUMIF('NHẬP ĐƠN HÀNG'!$C$6:$C$505,$B85,'NHẬP ĐƠN HÀNG'!$R$6:$R$505))</f>
        <v/>
      </c>
      <c r="L85" s="10" t="str">
        <f aca="false">IF($B85="","",SUMIF('NHẬP ĐƠN HÀNG'!$C$6:$C$505,$B85,'NHẬP ĐƠN HÀNG'!$U$6:$U$505))</f>
        <v/>
      </c>
      <c r="M85" s="34" t="str">
        <f aca="false">IF($B85="","",IF(SUMPRODUCT(MAX(('NHẬP ĐƠN HÀNG'!$C$6:$C$505=$B85)*'NHẬP ĐƠN HÀNG'!$B$6:$B$505))=0,"",SUMPRODUCT(MAX(('NHẬP ĐƠN HÀNG'!$C$6:$C$505=$B85)*'NHẬP ĐƠN HÀNG'!$B$6:$B$505))))</f>
        <v/>
      </c>
      <c r="N85" s="16" t="str">
        <f aca="false">IF($B85="","",IF($G85=0,"Chưa có đơn",IF(COUNTIFS('NHẬP ĐƠN HÀNG'!$C$6:$C$505,$B85,'NHẬP ĐƠN HÀNG'!$N$6:$N$505,"&gt;0")&gt;0,"Có lấy VAT","Không lấy VAT")))</f>
        <v/>
      </c>
    </row>
    <row r="86" customFormat="false" ht="15" hidden="false" customHeight="false" outlineLevel="0" collapsed="false">
      <c r="A86" s="16" t="str">
        <f aca="false">IF($B86="","",81)</f>
        <v/>
      </c>
      <c r="B86" s="16" t="str">
        <f aca="false">IFERROR(INDEX('NHẬP ĐƠN HÀNG'!$C$6:$C$505,MATCH(81,'NHẬP ĐƠN HÀNG'!$AB$6:$AB$505,0)),"")</f>
        <v/>
      </c>
      <c r="C86" s="16" t="str">
        <f aca="false">IF($B86="","",IFERROR(IF(INDEX('NHẬP ĐƠN HÀNG'!$D$6:$D$505,MATCH($B86,'NHẬP ĐƠN HÀNG'!$C$6:$C$505,0))="","",INDEX('NHẬP ĐƠN HÀNG'!$D$6:$D$505,MATCH($B86,'NHẬP ĐƠN HÀNG'!$C$6:$C$505,0))),""))</f>
        <v/>
      </c>
      <c r="D86" s="16" t="str">
        <f aca="false">IF($B86="","",IFERROR(IF(INDEX('NHẬP ĐƠN HÀNG'!$E$6:$E$505,MATCH($B86,'NHẬP ĐƠN HÀNG'!$C$6:$C$505,0))="","",INDEX('NHẬP ĐƠN HÀNG'!$E$6:$E$505,MATCH($B86,'NHẬP ĐƠN HÀNG'!$C$6:$C$505,0))),""))</f>
        <v/>
      </c>
      <c r="E86" s="16" t="str">
        <f aca="false">IF($B86="","",IFERROR(IF(INDEX('NHẬP ĐƠN HÀNG'!$F$6:$F$505,MATCH($B86,'NHẬP ĐƠN HÀNG'!$C$6:$C$505,0))="","",INDEX('NHẬP ĐƠN HÀNG'!$F$6:$F$505,MATCH($B86,'NHẬP ĐƠN HÀNG'!$C$6:$C$505,0))),""))</f>
        <v/>
      </c>
      <c r="F86" s="16" t="str">
        <f aca="false">IF($B86="","",IFERROR(IF(INDEX('NHẬP ĐƠN HÀNG'!$G$6:$G$505,MATCH($B86,'NHẬP ĐƠN HÀNG'!$C$6:$C$505,0))="","",INDEX('NHẬP ĐƠN HÀNG'!$G$6:$G$505,MATCH($B86,'NHẬP ĐƠN HÀNG'!$C$6:$C$505,0))),""))</f>
        <v/>
      </c>
      <c r="G86" s="10" t="str">
        <f aca="false">IF($B86="","",COUNTIFS('NHẬP ĐƠN HÀNG'!$C$6:$C$505,$B86,'NHẬP ĐƠN HÀNG'!$L$6:$L$505,"&gt;0"))</f>
        <v/>
      </c>
      <c r="H86" s="10" t="str">
        <f aca="false">IF($B86="","",SUMIF('NHẬP ĐƠN HÀNG'!$C$6:$C$505,$B86,'NHẬP ĐƠN HÀNG'!$L$6:$L$505))</f>
        <v/>
      </c>
      <c r="I86" s="10" t="str">
        <f aca="false">IF($B86="","",SUMIF('NHẬP ĐƠN HÀNG'!$C$6:$C$505,$B86,'NHẬP ĐƠN HÀNG'!$P$6:$P$505))</f>
        <v/>
      </c>
      <c r="J86" s="10" t="str">
        <f aca="false">IF($B86="","",SUMIF('NHẬP ĐƠN HÀNG'!$C$6:$C$505,$B86,'NHẬP ĐƠN HÀNG'!$Q$6:$Q$505))</f>
        <v/>
      </c>
      <c r="K86" s="10" t="str">
        <f aca="false">IF($B86="","",SUMIF('NHẬP ĐƠN HÀNG'!$C$6:$C$505,$B86,'NHẬP ĐƠN HÀNG'!$R$6:$R$505))</f>
        <v/>
      </c>
      <c r="L86" s="10" t="str">
        <f aca="false">IF($B86="","",SUMIF('NHẬP ĐƠN HÀNG'!$C$6:$C$505,$B86,'NHẬP ĐƠN HÀNG'!$U$6:$U$505))</f>
        <v/>
      </c>
      <c r="M86" s="34" t="str">
        <f aca="false">IF($B86="","",IF(SUMPRODUCT(MAX(('NHẬP ĐƠN HÀNG'!$C$6:$C$505=$B86)*'NHẬP ĐƠN HÀNG'!$B$6:$B$505))=0,"",SUMPRODUCT(MAX(('NHẬP ĐƠN HÀNG'!$C$6:$C$505=$B86)*'NHẬP ĐƠN HÀNG'!$B$6:$B$505))))</f>
        <v/>
      </c>
      <c r="N86" s="16" t="str">
        <f aca="false">IF($B86="","",IF($G86=0,"Chưa có đơn",IF(COUNTIFS('NHẬP ĐƠN HÀNG'!$C$6:$C$505,$B86,'NHẬP ĐƠN HÀNG'!$N$6:$N$505,"&gt;0")&gt;0,"Có lấy VAT","Không lấy VAT")))</f>
        <v/>
      </c>
    </row>
    <row r="87" customFormat="false" ht="15" hidden="false" customHeight="false" outlineLevel="0" collapsed="false">
      <c r="A87" s="16" t="str">
        <f aca="false">IF($B87="","",82)</f>
        <v/>
      </c>
      <c r="B87" s="16" t="str">
        <f aca="false">IFERROR(INDEX('NHẬP ĐƠN HÀNG'!$C$6:$C$505,MATCH(82,'NHẬP ĐƠN HÀNG'!$AB$6:$AB$505,0)),"")</f>
        <v/>
      </c>
      <c r="C87" s="16" t="str">
        <f aca="false">IF($B87="","",IFERROR(IF(INDEX('NHẬP ĐƠN HÀNG'!$D$6:$D$505,MATCH($B87,'NHẬP ĐƠN HÀNG'!$C$6:$C$505,0))="","",INDEX('NHẬP ĐƠN HÀNG'!$D$6:$D$505,MATCH($B87,'NHẬP ĐƠN HÀNG'!$C$6:$C$505,0))),""))</f>
        <v/>
      </c>
      <c r="D87" s="16" t="str">
        <f aca="false">IF($B87="","",IFERROR(IF(INDEX('NHẬP ĐƠN HÀNG'!$E$6:$E$505,MATCH($B87,'NHẬP ĐƠN HÀNG'!$C$6:$C$505,0))="","",INDEX('NHẬP ĐƠN HÀNG'!$E$6:$E$505,MATCH($B87,'NHẬP ĐƠN HÀNG'!$C$6:$C$505,0))),""))</f>
        <v/>
      </c>
      <c r="E87" s="16" t="str">
        <f aca="false">IF($B87="","",IFERROR(IF(INDEX('NHẬP ĐƠN HÀNG'!$F$6:$F$505,MATCH($B87,'NHẬP ĐƠN HÀNG'!$C$6:$C$505,0))="","",INDEX('NHẬP ĐƠN HÀNG'!$F$6:$F$505,MATCH($B87,'NHẬP ĐƠN HÀNG'!$C$6:$C$505,0))),""))</f>
        <v/>
      </c>
      <c r="F87" s="16" t="str">
        <f aca="false">IF($B87="","",IFERROR(IF(INDEX('NHẬP ĐƠN HÀNG'!$G$6:$G$505,MATCH($B87,'NHẬP ĐƠN HÀNG'!$C$6:$C$505,0))="","",INDEX('NHẬP ĐƠN HÀNG'!$G$6:$G$505,MATCH($B87,'NHẬP ĐƠN HÀNG'!$C$6:$C$505,0))),""))</f>
        <v/>
      </c>
      <c r="G87" s="10" t="str">
        <f aca="false">IF($B87="","",COUNTIFS('NHẬP ĐƠN HÀNG'!$C$6:$C$505,$B87,'NHẬP ĐƠN HÀNG'!$L$6:$L$505,"&gt;0"))</f>
        <v/>
      </c>
      <c r="H87" s="10" t="str">
        <f aca="false">IF($B87="","",SUMIF('NHẬP ĐƠN HÀNG'!$C$6:$C$505,$B87,'NHẬP ĐƠN HÀNG'!$L$6:$L$505))</f>
        <v/>
      </c>
      <c r="I87" s="10" t="str">
        <f aca="false">IF($B87="","",SUMIF('NHẬP ĐƠN HÀNG'!$C$6:$C$505,$B87,'NHẬP ĐƠN HÀNG'!$P$6:$P$505))</f>
        <v/>
      </c>
      <c r="J87" s="10" t="str">
        <f aca="false">IF($B87="","",SUMIF('NHẬP ĐƠN HÀNG'!$C$6:$C$505,$B87,'NHẬP ĐƠN HÀNG'!$Q$6:$Q$505))</f>
        <v/>
      </c>
      <c r="K87" s="10" t="str">
        <f aca="false">IF($B87="","",SUMIF('NHẬP ĐƠN HÀNG'!$C$6:$C$505,$B87,'NHẬP ĐƠN HÀNG'!$R$6:$R$505))</f>
        <v/>
      </c>
      <c r="L87" s="10" t="str">
        <f aca="false">IF($B87="","",SUMIF('NHẬP ĐƠN HÀNG'!$C$6:$C$505,$B87,'NHẬP ĐƠN HÀNG'!$U$6:$U$505))</f>
        <v/>
      </c>
      <c r="M87" s="34" t="str">
        <f aca="false">IF($B87="","",IF(SUMPRODUCT(MAX(('NHẬP ĐƠN HÀNG'!$C$6:$C$505=$B87)*'NHẬP ĐƠN HÀNG'!$B$6:$B$505))=0,"",SUMPRODUCT(MAX(('NHẬP ĐƠN HÀNG'!$C$6:$C$505=$B87)*'NHẬP ĐƠN HÀNG'!$B$6:$B$505))))</f>
        <v/>
      </c>
      <c r="N87" s="16" t="str">
        <f aca="false">IF($B87="","",IF($G87=0,"Chưa có đơn",IF(COUNTIFS('NHẬP ĐƠN HÀNG'!$C$6:$C$505,$B87,'NHẬP ĐƠN HÀNG'!$N$6:$N$505,"&gt;0")&gt;0,"Có lấy VAT","Không lấy VAT")))</f>
        <v/>
      </c>
    </row>
    <row r="88" customFormat="false" ht="15" hidden="false" customHeight="false" outlineLevel="0" collapsed="false">
      <c r="A88" s="16" t="str">
        <f aca="false">IF($B88="","",83)</f>
        <v/>
      </c>
      <c r="B88" s="16" t="str">
        <f aca="false">IFERROR(INDEX('NHẬP ĐƠN HÀNG'!$C$6:$C$505,MATCH(83,'NHẬP ĐƠN HÀNG'!$AB$6:$AB$505,0)),"")</f>
        <v/>
      </c>
      <c r="C88" s="16" t="str">
        <f aca="false">IF($B88="","",IFERROR(IF(INDEX('NHẬP ĐƠN HÀNG'!$D$6:$D$505,MATCH($B88,'NHẬP ĐƠN HÀNG'!$C$6:$C$505,0))="","",INDEX('NHẬP ĐƠN HÀNG'!$D$6:$D$505,MATCH($B88,'NHẬP ĐƠN HÀNG'!$C$6:$C$505,0))),""))</f>
        <v/>
      </c>
      <c r="D88" s="16" t="str">
        <f aca="false">IF($B88="","",IFERROR(IF(INDEX('NHẬP ĐƠN HÀNG'!$E$6:$E$505,MATCH($B88,'NHẬP ĐƠN HÀNG'!$C$6:$C$505,0))="","",INDEX('NHẬP ĐƠN HÀNG'!$E$6:$E$505,MATCH($B88,'NHẬP ĐƠN HÀNG'!$C$6:$C$505,0))),""))</f>
        <v/>
      </c>
      <c r="E88" s="16" t="str">
        <f aca="false">IF($B88="","",IFERROR(IF(INDEX('NHẬP ĐƠN HÀNG'!$F$6:$F$505,MATCH($B88,'NHẬP ĐƠN HÀNG'!$C$6:$C$505,0))="","",INDEX('NHẬP ĐƠN HÀNG'!$F$6:$F$505,MATCH($B88,'NHẬP ĐƠN HÀNG'!$C$6:$C$505,0))),""))</f>
        <v/>
      </c>
      <c r="F88" s="16" t="str">
        <f aca="false">IF($B88="","",IFERROR(IF(INDEX('NHẬP ĐƠN HÀNG'!$G$6:$G$505,MATCH($B88,'NHẬP ĐƠN HÀNG'!$C$6:$C$505,0))="","",INDEX('NHẬP ĐƠN HÀNG'!$G$6:$G$505,MATCH($B88,'NHẬP ĐƠN HÀNG'!$C$6:$C$505,0))),""))</f>
        <v/>
      </c>
      <c r="G88" s="10" t="str">
        <f aca="false">IF($B88="","",COUNTIFS('NHẬP ĐƠN HÀNG'!$C$6:$C$505,$B88,'NHẬP ĐƠN HÀNG'!$L$6:$L$505,"&gt;0"))</f>
        <v/>
      </c>
      <c r="H88" s="10" t="str">
        <f aca="false">IF($B88="","",SUMIF('NHẬP ĐƠN HÀNG'!$C$6:$C$505,$B88,'NHẬP ĐƠN HÀNG'!$L$6:$L$505))</f>
        <v/>
      </c>
      <c r="I88" s="10" t="str">
        <f aca="false">IF($B88="","",SUMIF('NHẬP ĐƠN HÀNG'!$C$6:$C$505,$B88,'NHẬP ĐƠN HÀNG'!$P$6:$P$505))</f>
        <v/>
      </c>
      <c r="J88" s="10" t="str">
        <f aca="false">IF($B88="","",SUMIF('NHẬP ĐƠN HÀNG'!$C$6:$C$505,$B88,'NHẬP ĐƠN HÀNG'!$Q$6:$Q$505))</f>
        <v/>
      </c>
      <c r="K88" s="10" t="str">
        <f aca="false">IF($B88="","",SUMIF('NHẬP ĐƠN HÀNG'!$C$6:$C$505,$B88,'NHẬP ĐƠN HÀNG'!$R$6:$R$505))</f>
        <v/>
      </c>
      <c r="L88" s="10" t="str">
        <f aca="false">IF($B88="","",SUMIF('NHẬP ĐƠN HÀNG'!$C$6:$C$505,$B88,'NHẬP ĐƠN HÀNG'!$U$6:$U$505))</f>
        <v/>
      </c>
      <c r="M88" s="34" t="str">
        <f aca="false">IF($B88="","",IF(SUMPRODUCT(MAX(('NHẬP ĐƠN HÀNG'!$C$6:$C$505=$B88)*'NHẬP ĐƠN HÀNG'!$B$6:$B$505))=0,"",SUMPRODUCT(MAX(('NHẬP ĐƠN HÀNG'!$C$6:$C$505=$B88)*'NHẬP ĐƠN HÀNG'!$B$6:$B$505))))</f>
        <v/>
      </c>
      <c r="N88" s="16" t="str">
        <f aca="false">IF($B88="","",IF($G88=0,"Chưa có đơn",IF(COUNTIFS('NHẬP ĐƠN HÀNG'!$C$6:$C$505,$B88,'NHẬP ĐƠN HÀNG'!$N$6:$N$505,"&gt;0")&gt;0,"Có lấy VAT","Không lấy VAT")))</f>
        <v/>
      </c>
    </row>
    <row r="89" customFormat="false" ht="15" hidden="false" customHeight="false" outlineLevel="0" collapsed="false">
      <c r="A89" s="16" t="str">
        <f aca="false">IF($B89="","",84)</f>
        <v/>
      </c>
      <c r="B89" s="16" t="str">
        <f aca="false">IFERROR(INDEX('NHẬP ĐƠN HÀNG'!$C$6:$C$505,MATCH(84,'NHẬP ĐƠN HÀNG'!$AB$6:$AB$505,0)),"")</f>
        <v/>
      </c>
      <c r="C89" s="16" t="str">
        <f aca="false">IF($B89="","",IFERROR(IF(INDEX('NHẬP ĐƠN HÀNG'!$D$6:$D$505,MATCH($B89,'NHẬP ĐƠN HÀNG'!$C$6:$C$505,0))="","",INDEX('NHẬP ĐƠN HÀNG'!$D$6:$D$505,MATCH($B89,'NHẬP ĐƠN HÀNG'!$C$6:$C$505,0))),""))</f>
        <v/>
      </c>
      <c r="D89" s="16" t="str">
        <f aca="false">IF($B89="","",IFERROR(IF(INDEX('NHẬP ĐƠN HÀNG'!$E$6:$E$505,MATCH($B89,'NHẬP ĐƠN HÀNG'!$C$6:$C$505,0))="","",INDEX('NHẬP ĐƠN HÀNG'!$E$6:$E$505,MATCH($B89,'NHẬP ĐƠN HÀNG'!$C$6:$C$505,0))),""))</f>
        <v/>
      </c>
      <c r="E89" s="16" t="str">
        <f aca="false">IF($B89="","",IFERROR(IF(INDEX('NHẬP ĐƠN HÀNG'!$F$6:$F$505,MATCH($B89,'NHẬP ĐƠN HÀNG'!$C$6:$C$505,0))="","",INDEX('NHẬP ĐƠN HÀNG'!$F$6:$F$505,MATCH($B89,'NHẬP ĐƠN HÀNG'!$C$6:$C$505,0))),""))</f>
        <v/>
      </c>
      <c r="F89" s="16" t="str">
        <f aca="false">IF($B89="","",IFERROR(IF(INDEX('NHẬP ĐƠN HÀNG'!$G$6:$G$505,MATCH($B89,'NHẬP ĐƠN HÀNG'!$C$6:$C$505,0))="","",INDEX('NHẬP ĐƠN HÀNG'!$G$6:$G$505,MATCH($B89,'NHẬP ĐƠN HÀNG'!$C$6:$C$505,0))),""))</f>
        <v/>
      </c>
      <c r="G89" s="10" t="str">
        <f aca="false">IF($B89="","",COUNTIFS('NHẬP ĐƠN HÀNG'!$C$6:$C$505,$B89,'NHẬP ĐƠN HÀNG'!$L$6:$L$505,"&gt;0"))</f>
        <v/>
      </c>
      <c r="H89" s="10" t="str">
        <f aca="false">IF($B89="","",SUMIF('NHẬP ĐƠN HÀNG'!$C$6:$C$505,$B89,'NHẬP ĐƠN HÀNG'!$L$6:$L$505))</f>
        <v/>
      </c>
      <c r="I89" s="10" t="str">
        <f aca="false">IF($B89="","",SUMIF('NHẬP ĐƠN HÀNG'!$C$6:$C$505,$B89,'NHẬP ĐƠN HÀNG'!$P$6:$P$505))</f>
        <v/>
      </c>
      <c r="J89" s="10" t="str">
        <f aca="false">IF($B89="","",SUMIF('NHẬP ĐƠN HÀNG'!$C$6:$C$505,$B89,'NHẬP ĐƠN HÀNG'!$Q$6:$Q$505))</f>
        <v/>
      </c>
      <c r="K89" s="10" t="str">
        <f aca="false">IF($B89="","",SUMIF('NHẬP ĐƠN HÀNG'!$C$6:$C$505,$B89,'NHẬP ĐƠN HÀNG'!$R$6:$R$505))</f>
        <v/>
      </c>
      <c r="L89" s="10" t="str">
        <f aca="false">IF($B89="","",SUMIF('NHẬP ĐƠN HÀNG'!$C$6:$C$505,$B89,'NHẬP ĐƠN HÀNG'!$U$6:$U$505))</f>
        <v/>
      </c>
      <c r="M89" s="34" t="str">
        <f aca="false">IF($B89="","",IF(SUMPRODUCT(MAX(('NHẬP ĐƠN HÀNG'!$C$6:$C$505=$B89)*'NHẬP ĐƠN HÀNG'!$B$6:$B$505))=0,"",SUMPRODUCT(MAX(('NHẬP ĐƠN HÀNG'!$C$6:$C$505=$B89)*'NHẬP ĐƠN HÀNG'!$B$6:$B$505))))</f>
        <v/>
      </c>
      <c r="N89" s="16" t="str">
        <f aca="false">IF($B89="","",IF($G89=0,"Chưa có đơn",IF(COUNTIFS('NHẬP ĐƠN HÀNG'!$C$6:$C$505,$B89,'NHẬP ĐƠN HÀNG'!$N$6:$N$505,"&gt;0")&gt;0,"Có lấy VAT","Không lấy VAT")))</f>
        <v/>
      </c>
    </row>
    <row r="90" customFormat="false" ht="15" hidden="false" customHeight="false" outlineLevel="0" collapsed="false">
      <c r="A90" s="16" t="str">
        <f aca="false">IF($B90="","",85)</f>
        <v/>
      </c>
      <c r="B90" s="16" t="str">
        <f aca="false">IFERROR(INDEX('NHẬP ĐƠN HÀNG'!$C$6:$C$505,MATCH(85,'NHẬP ĐƠN HÀNG'!$AB$6:$AB$505,0)),"")</f>
        <v/>
      </c>
      <c r="C90" s="16" t="str">
        <f aca="false">IF($B90="","",IFERROR(IF(INDEX('NHẬP ĐƠN HÀNG'!$D$6:$D$505,MATCH($B90,'NHẬP ĐƠN HÀNG'!$C$6:$C$505,0))="","",INDEX('NHẬP ĐƠN HÀNG'!$D$6:$D$505,MATCH($B90,'NHẬP ĐƠN HÀNG'!$C$6:$C$505,0))),""))</f>
        <v/>
      </c>
      <c r="D90" s="16" t="str">
        <f aca="false">IF($B90="","",IFERROR(IF(INDEX('NHẬP ĐƠN HÀNG'!$E$6:$E$505,MATCH($B90,'NHẬP ĐƠN HÀNG'!$C$6:$C$505,0))="","",INDEX('NHẬP ĐƠN HÀNG'!$E$6:$E$505,MATCH($B90,'NHẬP ĐƠN HÀNG'!$C$6:$C$505,0))),""))</f>
        <v/>
      </c>
      <c r="E90" s="16" t="str">
        <f aca="false">IF($B90="","",IFERROR(IF(INDEX('NHẬP ĐƠN HÀNG'!$F$6:$F$505,MATCH($B90,'NHẬP ĐƠN HÀNG'!$C$6:$C$505,0))="","",INDEX('NHẬP ĐƠN HÀNG'!$F$6:$F$505,MATCH($B90,'NHẬP ĐƠN HÀNG'!$C$6:$C$505,0))),""))</f>
        <v/>
      </c>
      <c r="F90" s="16" t="str">
        <f aca="false">IF($B90="","",IFERROR(IF(INDEX('NHẬP ĐƠN HÀNG'!$G$6:$G$505,MATCH($B90,'NHẬP ĐƠN HÀNG'!$C$6:$C$505,0))="","",INDEX('NHẬP ĐƠN HÀNG'!$G$6:$G$505,MATCH($B90,'NHẬP ĐƠN HÀNG'!$C$6:$C$505,0))),""))</f>
        <v/>
      </c>
      <c r="G90" s="10" t="str">
        <f aca="false">IF($B90="","",COUNTIFS('NHẬP ĐƠN HÀNG'!$C$6:$C$505,$B90,'NHẬP ĐƠN HÀNG'!$L$6:$L$505,"&gt;0"))</f>
        <v/>
      </c>
      <c r="H90" s="10" t="str">
        <f aca="false">IF($B90="","",SUMIF('NHẬP ĐƠN HÀNG'!$C$6:$C$505,$B90,'NHẬP ĐƠN HÀNG'!$L$6:$L$505))</f>
        <v/>
      </c>
      <c r="I90" s="10" t="str">
        <f aca="false">IF($B90="","",SUMIF('NHẬP ĐƠN HÀNG'!$C$6:$C$505,$B90,'NHẬP ĐƠN HÀNG'!$P$6:$P$505))</f>
        <v/>
      </c>
      <c r="J90" s="10" t="str">
        <f aca="false">IF($B90="","",SUMIF('NHẬP ĐƠN HÀNG'!$C$6:$C$505,$B90,'NHẬP ĐƠN HÀNG'!$Q$6:$Q$505))</f>
        <v/>
      </c>
      <c r="K90" s="10" t="str">
        <f aca="false">IF($B90="","",SUMIF('NHẬP ĐƠN HÀNG'!$C$6:$C$505,$B90,'NHẬP ĐƠN HÀNG'!$R$6:$R$505))</f>
        <v/>
      </c>
      <c r="L90" s="10" t="str">
        <f aca="false">IF($B90="","",SUMIF('NHẬP ĐƠN HÀNG'!$C$6:$C$505,$B90,'NHẬP ĐƠN HÀNG'!$U$6:$U$505))</f>
        <v/>
      </c>
      <c r="M90" s="34" t="str">
        <f aca="false">IF($B90="","",IF(SUMPRODUCT(MAX(('NHẬP ĐƠN HÀNG'!$C$6:$C$505=$B90)*'NHẬP ĐƠN HÀNG'!$B$6:$B$505))=0,"",SUMPRODUCT(MAX(('NHẬP ĐƠN HÀNG'!$C$6:$C$505=$B90)*'NHẬP ĐƠN HÀNG'!$B$6:$B$505))))</f>
        <v/>
      </c>
      <c r="N90" s="16" t="str">
        <f aca="false">IF($B90="","",IF($G90=0,"Chưa có đơn",IF(COUNTIFS('NHẬP ĐƠN HÀNG'!$C$6:$C$505,$B90,'NHẬP ĐƠN HÀNG'!$N$6:$N$505,"&gt;0")&gt;0,"Có lấy VAT","Không lấy VAT")))</f>
        <v/>
      </c>
    </row>
    <row r="91" customFormat="false" ht="15" hidden="false" customHeight="false" outlineLevel="0" collapsed="false">
      <c r="A91" s="16" t="str">
        <f aca="false">IF($B91="","",86)</f>
        <v/>
      </c>
      <c r="B91" s="16" t="str">
        <f aca="false">IFERROR(INDEX('NHẬP ĐƠN HÀNG'!$C$6:$C$505,MATCH(86,'NHẬP ĐƠN HÀNG'!$AB$6:$AB$505,0)),"")</f>
        <v/>
      </c>
      <c r="C91" s="16" t="str">
        <f aca="false">IF($B91="","",IFERROR(IF(INDEX('NHẬP ĐƠN HÀNG'!$D$6:$D$505,MATCH($B91,'NHẬP ĐƠN HÀNG'!$C$6:$C$505,0))="","",INDEX('NHẬP ĐƠN HÀNG'!$D$6:$D$505,MATCH($B91,'NHẬP ĐƠN HÀNG'!$C$6:$C$505,0))),""))</f>
        <v/>
      </c>
      <c r="D91" s="16" t="str">
        <f aca="false">IF($B91="","",IFERROR(IF(INDEX('NHẬP ĐƠN HÀNG'!$E$6:$E$505,MATCH($B91,'NHẬP ĐƠN HÀNG'!$C$6:$C$505,0))="","",INDEX('NHẬP ĐƠN HÀNG'!$E$6:$E$505,MATCH($B91,'NHẬP ĐƠN HÀNG'!$C$6:$C$505,0))),""))</f>
        <v/>
      </c>
      <c r="E91" s="16" t="str">
        <f aca="false">IF($B91="","",IFERROR(IF(INDEX('NHẬP ĐƠN HÀNG'!$F$6:$F$505,MATCH($B91,'NHẬP ĐƠN HÀNG'!$C$6:$C$505,0))="","",INDEX('NHẬP ĐƠN HÀNG'!$F$6:$F$505,MATCH($B91,'NHẬP ĐƠN HÀNG'!$C$6:$C$505,0))),""))</f>
        <v/>
      </c>
      <c r="F91" s="16" t="str">
        <f aca="false">IF($B91="","",IFERROR(IF(INDEX('NHẬP ĐƠN HÀNG'!$G$6:$G$505,MATCH($B91,'NHẬP ĐƠN HÀNG'!$C$6:$C$505,0))="","",INDEX('NHẬP ĐƠN HÀNG'!$G$6:$G$505,MATCH($B91,'NHẬP ĐƠN HÀNG'!$C$6:$C$505,0))),""))</f>
        <v/>
      </c>
      <c r="G91" s="10" t="str">
        <f aca="false">IF($B91="","",COUNTIFS('NHẬP ĐƠN HÀNG'!$C$6:$C$505,$B91,'NHẬP ĐƠN HÀNG'!$L$6:$L$505,"&gt;0"))</f>
        <v/>
      </c>
      <c r="H91" s="10" t="str">
        <f aca="false">IF($B91="","",SUMIF('NHẬP ĐƠN HÀNG'!$C$6:$C$505,$B91,'NHẬP ĐƠN HÀNG'!$L$6:$L$505))</f>
        <v/>
      </c>
      <c r="I91" s="10" t="str">
        <f aca="false">IF($B91="","",SUMIF('NHẬP ĐƠN HÀNG'!$C$6:$C$505,$B91,'NHẬP ĐƠN HÀNG'!$P$6:$P$505))</f>
        <v/>
      </c>
      <c r="J91" s="10" t="str">
        <f aca="false">IF($B91="","",SUMIF('NHẬP ĐƠN HÀNG'!$C$6:$C$505,$B91,'NHẬP ĐƠN HÀNG'!$Q$6:$Q$505))</f>
        <v/>
      </c>
      <c r="K91" s="10" t="str">
        <f aca="false">IF($B91="","",SUMIF('NHẬP ĐƠN HÀNG'!$C$6:$C$505,$B91,'NHẬP ĐƠN HÀNG'!$R$6:$R$505))</f>
        <v/>
      </c>
      <c r="L91" s="10" t="str">
        <f aca="false">IF($B91="","",SUMIF('NHẬP ĐƠN HÀNG'!$C$6:$C$505,$B91,'NHẬP ĐƠN HÀNG'!$U$6:$U$505))</f>
        <v/>
      </c>
      <c r="M91" s="34" t="str">
        <f aca="false">IF($B91="","",IF(SUMPRODUCT(MAX(('NHẬP ĐƠN HÀNG'!$C$6:$C$505=$B91)*'NHẬP ĐƠN HÀNG'!$B$6:$B$505))=0,"",SUMPRODUCT(MAX(('NHẬP ĐƠN HÀNG'!$C$6:$C$505=$B91)*'NHẬP ĐƠN HÀNG'!$B$6:$B$505))))</f>
        <v/>
      </c>
      <c r="N91" s="16" t="str">
        <f aca="false">IF($B91="","",IF($G91=0,"Chưa có đơn",IF(COUNTIFS('NHẬP ĐƠN HÀNG'!$C$6:$C$505,$B91,'NHẬP ĐƠN HÀNG'!$N$6:$N$505,"&gt;0")&gt;0,"Có lấy VAT","Không lấy VAT")))</f>
        <v/>
      </c>
    </row>
    <row r="92" customFormat="false" ht="15" hidden="false" customHeight="false" outlineLevel="0" collapsed="false">
      <c r="A92" s="16" t="str">
        <f aca="false">IF($B92="","",87)</f>
        <v/>
      </c>
      <c r="B92" s="16" t="str">
        <f aca="false">IFERROR(INDEX('NHẬP ĐƠN HÀNG'!$C$6:$C$505,MATCH(87,'NHẬP ĐƠN HÀNG'!$AB$6:$AB$505,0)),"")</f>
        <v/>
      </c>
      <c r="C92" s="16" t="str">
        <f aca="false">IF($B92="","",IFERROR(IF(INDEX('NHẬP ĐƠN HÀNG'!$D$6:$D$505,MATCH($B92,'NHẬP ĐƠN HÀNG'!$C$6:$C$505,0))="","",INDEX('NHẬP ĐƠN HÀNG'!$D$6:$D$505,MATCH($B92,'NHẬP ĐƠN HÀNG'!$C$6:$C$505,0))),""))</f>
        <v/>
      </c>
      <c r="D92" s="16" t="str">
        <f aca="false">IF($B92="","",IFERROR(IF(INDEX('NHẬP ĐƠN HÀNG'!$E$6:$E$505,MATCH($B92,'NHẬP ĐƠN HÀNG'!$C$6:$C$505,0))="","",INDEX('NHẬP ĐƠN HÀNG'!$E$6:$E$505,MATCH($B92,'NHẬP ĐƠN HÀNG'!$C$6:$C$505,0))),""))</f>
        <v/>
      </c>
      <c r="E92" s="16" t="str">
        <f aca="false">IF($B92="","",IFERROR(IF(INDEX('NHẬP ĐƠN HÀNG'!$F$6:$F$505,MATCH($B92,'NHẬP ĐƠN HÀNG'!$C$6:$C$505,0))="","",INDEX('NHẬP ĐƠN HÀNG'!$F$6:$F$505,MATCH($B92,'NHẬP ĐƠN HÀNG'!$C$6:$C$505,0))),""))</f>
        <v/>
      </c>
      <c r="F92" s="16" t="str">
        <f aca="false">IF($B92="","",IFERROR(IF(INDEX('NHẬP ĐƠN HÀNG'!$G$6:$G$505,MATCH($B92,'NHẬP ĐƠN HÀNG'!$C$6:$C$505,0))="","",INDEX('NHẬP ĐƠN HÀNG'!$G$6:$G$505,MATCH($B92,'NHẬP ĐƠN HÀNG'!$C$6:$C$505,0))),""))</f>
        <v/>
      </c>
      <c r="G92" s="10" t="str">
        <f aca="false">IF($B92="","",COUNTIFS('NHẬP ĐƠN HÀNG'!$C$6:$C$505,$B92,'NHẬP ĐƠN HÀNG'!$L$6:$L$505,"&gt;0"))</f>
        <v/>
      </c>
      <c r="H92" s="10" t="str">
        <f aca="false">IF($B92="","",SUMIF('NHẬP ĐƠN HÀNG'!$C$6:$C$505,$B92,'NHẬP ĐƠN HÀNG'!$L$6:$L$505))</f>
        <v/>
      </c>
      <c r="I92" s="10" t="str">
        <f aca="false">IF($B92="","",SUMIF('NHẬP ĐƠN HÀNG'!$C$6:$C$505,$B92,'NHẬP ĐƠN HÀNG'!$P$6:$P$505))</f>
        <v/>
      </c>
      <c r="J92" s="10" t="str">
        <f aca="false">IF($B92="","",SUMIF('NHẬP ĐƠN HÀNG'!$C$6:$C$505,$B92,'NHẬP ĐƠN HÀNG'!$Q$6:$Q$505))</f>
        <v/>
      </c>
      <c r="K92" s="10" t="str">
        <f aca="false">IF($B92="","",SUMIF('NHẬP ĐƠN HÀNG'!$C$6:$C$505,$B92,'NHẬP ĐƠN HÀNG'!$R$6:$R$505))</f>
        <v/>
      </c>
      <c r="L92" s="10" t="str">
        <f aca="false">IF($B92="","",SUMIF('NHẬP ĐƠN HÀNG'!$C$6:$C$505,$B92,'NHẬP ĐƠN HÀNG'!$U$6:$U$505))</f>
        <v/>
      </c>
      <c r="M92" s="34" t="str">
        <f aca="false">IF($B92="","",IF(SUMPRODUCT(MAX(('NHẬP ĐƠN HÀNG'!$C$6:$C$505=$B92)*'NHẬP ĐƠN HÀNG'!$B$6:$B$505))=0,"",SUMPRODUCT(MAX(('NHẬP ĐƠN HÀNG'!$C$6:$C$505=$B92)*'NHẬP ĐƠN HÀNG'!$B$6:$B$505))))</f>
        <v/>
      </c>
      <c r="N92" s="16" t="str">
        <f aca="false">IF($B92="","",IF($G92=0,"Chưa có đơn",IF(COUNTIFS('NHẬP ĐƠN HÀNG'!$C$6:$C$505,$B92,'NHẬP ĐƠN HÀNG'!$N$6:$N$505,"&gt;0")&gt;0,"Có lấy VAT","Không lấy VAT")))</f>
        <v/>
      </c>
    </row>
    <row r="93" customFormat="false" ht="15" hidden="false" customHeight="false" outlineLevel="0" collapsed="false">
      <c r="A93" s="16" t="str">
        <f aca="false">IF($B93="","",88)</f>
        <v/>
      </c>
      <c r="B93" s="16" t="str">
        <f aca="false">IFERROR(INDEX('NHẬP ĐƠN HÀNG'!$C$6:$C$505,MATCH(88,'NHẬP ĐƠN HÀNG'!$AB$6:$AB$505,0)),"")</f>
        <v/>
      </c>
      <c r="C93" s="16" t="str">
        <f aca="false">IF($B93="","",IFERROR(IF(INDEX('NHẬP ĐƠN HÀNG'!$D$6:$D$505,MATCH($B93,'NHẬP ĐƠN HÀNG'!$C$6:$C$505,0))="","",INDEX('NHẬP ĐƠN HÀNG'!$D$6:$D$505,MATCH($B93,'NHẬP ĐƠN HÀNG'!$C$6:$C$505,0))),""))</f>
        <v/>
      </c>
      <c r="D93" s="16" t="str">
        <f aca="false">IF($B93="","",IFERROR(IF(INDEX('NHẬP ĐƠN HÀNG'!$E$6:$E$505,MATCH($B93,'NHẬP ĐƠN HÀNG'!$C$6:$C$505,0))="","",INDEX('NHẬP ĐƠN HÀNG'!$E$6:$E$505,MATCH($B93,'NHẬP ĐƠN HÀNG'!$C$6:$C$505,0))),""))</f>
        <v/>
      </c>
      <c r="E93" s="16" t="str">
        <f aca="false">IF($B93="","",IFERROR(IF(INDEX('NHẬP ĐƠN HÀNG'!$F$6:$F$505,MATCH($B93,'NHẬP ĐƠN HÀNG'!$C$6:$C$505,0))="","",INDEX('NHẬP ĐƠN HÀNG'!$F$6:$F$505,MATCH($B93,'NHẬP ĐƠN HÀNG'!$C$6:$C$505,0))),""))</f>
        <v/>
      </c>
      <c r="F93" s="16" t="str">
        <f aca="false">IF($B93="","",IFERROR(IF(INDEX('NHẬP ĐƠN HÀNG'!$G$6:$G$505,MATCH($B93,'NHẬP ĐƠN HÀNG'!$C$6:$C$505,0))="","",INDEX('NHẬP ĐƠN HÀNG'!$G$6:$G$505,MATCH($B93,'NHẬP ĐƠN HÀNG'!$C$6:$C$505,0))),""))</f>
        <v/>
      </c>
      <c r="G93" s="10" t="str">
        <f aca="false">IF($B93="","",COUNTIFS('NHẬP ĐƠN HÀNG'!$C$6:$C$505,$B93,'NHẬP ĐƠN HÀNG'!$L$6:$L$505,"&gt;0"))</f>
        <v/>
      </c>
      <c r="H93" s="10" t="str">
        <f aca="false">IF($B93="","",SUMIF('NHẬP ĐƠN HÀNG'!$C$6:$C$505,$B93,'NHẬP ĐƠN HÀNG'!$L$6:$L$505))</f>
        <v/>
      </c>
      <c r="I93" s="10" t="str">
        <f aca="false">IF($B93="","",SUMIF('NHẬP ĐƠN HÀNG'!$C$6:$C$505,$B93,'NHẬP ĐƠN HÀNG'!$P$6:$P$505))</f>
        <v/>
      </c>
      <c r="J93" s="10" t="str">
        <f aca="false">IF($B93="","",SUMIF('NHẬP ĐƠN HÀNG'!$C$6:$C$505,$B93,'NHẬP ĐƠN HÀNG'!$Q$6:$Q$505))</f>
        <v/>
      </c>
      <c r="K93" s="10" t="str">
        <f aca="false">IF($B93="","",SUMIF('NHẬP ĐƠN HÀNG'!$C$6:$C$505,$B93,'NHẬP ĐƠN HÀNG'!$R$6:$R$505))</f>
        <v/>
      </c>
      <c r="L93" s="10" t="str">
        <f aca="false">IF($B93="","",SUMIF('NHẬP ĐƠN HÀNG'!$C$6:$C$505,$B93,'NHẬP ĐƠN HÀNG'!$U$6:$U$505))</f>
        <v/>
      </c>
      <c r="M93" s="34" t="str">
        <f aca="false">IF($B93="","",IF(SUMPRODUCT(MAX(('NHẬP ĐƠN HÀNG'!$C$6:$C$505=$B93)*'NHẬP ĐƠN HÀNG'!$B$6:$B$505))=0,"",SUMPRODUCT(MAX(('NHẬP ĐƠN HÀNG'!$C$6:$C$505=$B93)*'NHẬP ĐƠN HÀNG'!$B$6:$B$505))))</f>
        <v/>
      </c>
      <c r="N93" s="16" t="str">
        <f aca="false">IF($B93="","",IF($G93=0,"Chưa có đơn",IF(COUNTIFS('NHẬP ĐƠN HÀNG'!$C$6:$C$505,$B93,'NHẬP ĐƠN HÀNG'!$N$6:$N$505,"&gt;0")&gt;0,"Có lấy VAT","Không lấy VAT")))</f>
        <v/>
      </c>
    </row>
    <row r="94" customFormat="false" ht="15" hidden="false" customHeight="false" outlineLevel="0" collapsed="false">
      <c r="A94" s="16" t="str">
        <f aca="false">IF($B94="","",89)</f>
        <v/>
      </c>
      <c r="B94" s="16" t="str">
        <f aca="false">IFERROR(INDEX('NHẬP ĐƠN HÀNG'!$C$6:$C$505,MATCH(89,'NHẬP ĐƠN HÀNG'!$AB$6:$AB$505,0)),"")</f>
        <v/>
      </c>
      <c r="C94" s="16" t="str">
        <f aca="false">IF($B94="","",IFERROR(IF(INDEX('NHẬP ĐƠN HÀNG'!$D$6:$D$505,MATCH($B94,'NHẬP ĐƠN HÀNG'!$C$6:$C$505,0))="","",INDEX('NHẬP ĐƠN HÀNG'!$D$6:$D$505,MATCH($B94,'NHẬP ĐƠN HÀNG'!$C$6:$C$505,0))),""))</f>
        <v/>
      </c>
      <c r="D94" s="16" t="str">
        <f aca="false">IF($B94="","",IFERROR(IF(INDEX('NHẬP ĐƠN HÀNG'!$E$6:$E$505,MATCH($B94,'NHẬP ĐƠN HÀNG'!$C$6:$C$505,0))="","",INDEX('NHẬP ĐƠN HÀNG'!$E$6:$E$505,MATCH($B94,'NHẬP ĐƠN HÀNG'!$C$6:$C$505,0))),""))</f>
        <v/>
      </c>
      <c r="E94" s="16" t="str">
        <f aca="false">IF($B94="","",IFERROR(IF(INDEX('NHẬP ĐƠN HÀNG'!$F$6:$F$505,MATCH($B94,'NHẬP ĐƠN HÀNG'!$C$6:$C$505,0))="","",INDEX('NHẬP ĐƠN HÀNG'!$F$6:$F$505,MATCH($B94,'NHẬP ĐƠN HÀNG'!$C$6:$C$505,0))),""))</f>
        <v/>
      </c>
      <c r="F94" s="16" t="str">
        <f aca="false">IF($B94="","",IFERROR(IF(INDEX('NHẬP ĐƠN HÀNG'!$G$6:$G$505,MATCH($B94,'NHẬP ĐƠN HÀNG'!$C$6:$C$505,0))="","",INDEX('NHẬP ĐƠN HÀNG'!$G$6:$G$505,MATCH($B94,'NHẬP ĐƠN HÀNG'!$C$6:$C$505,0))),""))</f>
        <v/>
      </c>
      <c r="G94" s="10" t="str">
        <f aca="false">IF($B94="","",COUNTIFS('NHẬP ĐƠN HÀNG'!$C$6:$C$505,$B94,'NHẬP ĐƠN HÀNG'!$L$6:$L$505,"&gt;0"))</f>
        <v/>
      </c>
      <c r="H94" s="10" t="str">
        <f aca="false">IF($B94="","",SUMIF('NHẬP ĐƠN HÀNG'!$C$6:$C$505,$B94,'NHẬP ĐƠN HÀNG'!$L$6:$L$505))</f>
        <v/>
      </c>
      <c r="I94" s="10" t="str">
        <f aca="false">IF($B94="","",SUMIF('NHẬP ĐƠN HÀNG'!$C$6:$C$505,$B94,'NHẬP ĐƠN HÀNG'!$P$6:$P$505))</f>
        <v/>
      </c>
      <c r="J94" s="10" t="str">
        <f aca="false">IF($B94="","",SUMIF('NHẬP ĐƠN HÀNG'!$C$6:$C$505,$B94,'NHẬP ĐƠN HÀNG'!$Q$6:$Q$505))</f>
        <v/>
      </c>
      <c r="K94" s="10" t="str">
        <f aca="false">IF($B94="","",SUMIF('NHẬP ĐƠN HÀNG'!$C$6:$C$505,$B94,'NHẬP ĐƠN HÀNG'!$R$6:$R$505))</f>
        <v/>
      </c>
      <c r="L94" s="10" t="str">
        <f aca="false">IF($B94="","",SUMIF('NHẬP ĐƠN HÀNG'!$C$6:$C$505,$B94,'NHẬP ĐƠN HÀNG'!$U$6:$U$505))</f>
        <v/>
      </c>
      <c r="M94" s="34" t="str">
        <f aca="false">IF($B94="","",IF(SUMPRODUCT(MAX(('NHẬP ĐƠN HÀNG'!$C$6:$C$505=$B94)*'NHẬP ĐƠN HÀNG'!$B$6:$B$505))=0,"",SUMPRODUCT(MAX(('NHẬP ĐƠN HÀNG'!$C$6:$C$505=$B94)*'NHẬP ĐƠN HÀNG'!$B$6:$B$505))))</f>
        <v/>
      </c>
      <c r="N94" s="16" t="str">
        <f aca="false">IF($B94="","",IF($G94=0,"Chưa có đơn",IF(COUNTIFS('NHẬP ĐƠN HÀNG'!$C$6:$C$505,$B94,'NHẬP ĐƠN HÀNG'!$N$6:$N$505,"&gt;0")&gt;0,"Có lấy VAT","Không lấy VAT")))</f>
        <v/>
      </c>
    </row>
    <row r="95" customFormat="false" ht="15" hidden="false" customHeight="false" outlineLevel="0" collapsed="false">
      <c r="A95" s="16" t="str">
        <f aca="false">IF($B95="","",90)</f>
        <v/>
      </c>
      <c r="B95" s="16" t="str">
        <f aca="false">IFERROR(INDEX('NHẬP ĐƠN HÀNG'!$C$6:$C$505,MATCH(90,'NHẬP ĐƠN HÀNG'!$AB$6:$AB$505,0)),"")</f>
        <v/>
      </c>
      <c r="C95" s="16" t="str">
        <f aca="false">IF($B95="","",IFERROR(IF(INDEX('NHẬP ĐƠN HÀNG'!$D$6:$D$505,MATCH($B95,'NHẬP ĐƠN HÀNG'!$C$6:$C$505,0))="","",INDEX('NHẬP ĐƠN HÀNG'!$D$6:$D$505,MATCH($B95,'NHẬP ĐƠN HÀNG'!$C$6:$C$505,0))),""))</f>
        <v/>
      </c>
      <c r="D95" s="16" t="str">
        <f aca="false">IF($B95="","",IFERROR(IF(INDEX('NHẬP ĐƠN HÀNG'!$E$6:$E$505,MATCH($B95,'NHẬP ĐƠN HÀNG'!$C$6:$C$505,0))="","",INDEX('NHẬP ĐƠN HÀNG'!$E$6:$E$505,MATCH($B95,'NHẬP ĐƠN HÀNG'!$C$6:$C$505,0))),""))</f>
        <v/>
      </c>
      <c r="E95" s="16" t="str">
        <f aca="false">IF($B95="","",IFERROR(IF(INDEX('NHẬP ĐƠN HÀNG'!$F$6:$F$505,MATCH($B95,'NHẬP ĐƠN HÀNG'!$C$6:$C$505,0))="","",INDEX('NHẬP ĐƠN HÀNG'!$F$6:$F$505,MATCH($B95,'NHẬP ĐƠN HÀNG'!$C$6:$C$505,0))),""))</f>
        <v/>
      </c>
      <c r="F95" s="16" t="str">
        <f aca="false">IF($B95="","",IFERROR(IF(INDEX('NHẬP ĐƠN HÀNG'!$G$6:$G$505,MATCH($B95,'NHẬP ĐƠN HÀNG'!$C$6:$C$505,0))="","",INDEX('NHẬP ĐƠN HÀNG'!$G$6:$G$505,MATCH($B95,'NHẬP ĐƠN HÀNG'!$C$6:$C$505,0))),""))</f>
        <v/>
      </c>
      <c r="G95" s="10" t="str">
        <f aca="false">IF($B95="","",COUNTIFS('NHẬP ĐƠN HÀNG'!$C$6:$C$505,$B95,'NHẬP ĐƠN HÀNG'!$L$6:$L$505,"&gt;0"))</f>
        <v/>
      </c>
      <c r="H95" s="10" t="str">
        <f aca="false">IF($B95="","",SUMIF('NHẬP ĐƠN HÀNG'!$C$6:$C$505,$B95,'NHẬP ĐƠN HÀNG'!$L$6:$L$505))</f>
        <v/>
      </c>
      <c r="I95" s="10" t="str">
        <f aca="false">IF($B95="","",SUMIF('NHẬP ĐƠN HÀNG'!$C$6:$C$505,$B95,'NHẬP ĐƠN HÀNG'!$P$6:$P$505))</f>
        <v/>
      </c>
      <c r="J95" s="10" t="str">
        <f aca="false">IF($B95="","",SUMIF('NHẬP ĐƠN HÀNG'!$C$6:$C$505,$B95,'NHẬP ĐƠN HÀNG'!$Q$6:$Q$505))</f>
        <v/>
      </c>
      <c r="K95" s="10" t="str">
        <f aca="false">IF($B95="","",SUMIF('NHẬP ĐƠN HÀNG'!$C$6:$C$505,$B95,'NHẬP ĐƠN HÀNG'!$R$6:$R$505))</f>
        <v/>
      </c>
      <c r="L95" s="10" t="str">
        <f aca="false">IF($B95="","",SUMIF('NHẬP ĐƠN HÀNG'!$C$6:$C$505,$B95,'NHẬP ĐƠN HÀNG'!$U$6:$U$505))</f>
        <v/>
      </c>
      <c r="M95" s="34" t="str">
        <f aca="false">IF($B95="","",IF(SUMPRODUCT(MAX(('NHẬP ĐƠN HÀNG'!$C$6:$C$505=$B95)*'NHẬP ĐƠN HÀNG'!$B$6:$B$505))=0,"",SUMPRODUCT(MAX(('NHẬP ĐƠN HÀNG'!$C$6:$C$505=$B95)*'NHẬP ĐƠN HÀNG'!$B$6:$B$505))))</f>
        <v/>
      </c>
      <c r="N95" s="16" t="str">
        <f aca="false">IF($B95="","",IF($G95=0,"Chưa có đơn",IF(COUNTIFS('NHẬP ĐƠN HÀNG'!$C$6:$C$505,$B95,'NHẬP ĐƠN HÀNG'!$N$6:$N$505,"&gt;0")&gt;0,"Có lấy VAT","Không lấy VAT")))</f>
        <v/>
      </c>
    </row>
    <row r="96" customFormat="false" ht="15" hidden="false" customHeight="false" outlineLevel="0" collapsed="false">
      <c r="A96" s="16" t="str">
        <f aca="false">IF($B96="","",91)</f>
        <v/>
      </c>
      <c r="B96" s="16" t="str">
        <f aca="false">IFERROR(INDEX('NHẬP ĐƠN HÀNG'!$C$6:$C$505,MATCH(91,'NHẬP ĐƠN HÀNG'!$AB$6:$AB$505,0)),"")</f>
        <v/>
      </c>
      <c r="C96" s="16" t="str">
        <f aca="false">IF($B96="","",IFERROR(IF(INDEX('NHẬP ĐƠN HÀNG'!$D$6:$D$505,MATCH($B96,'NHẬP ĐƠN HÀNG'!$C$6:$C$505,0))="","",INDEX('NHẬP ĐƠN HÀNG'!$D$6:$D$505,MATCH($B96,'NHẬP ĐƠN HÀNG'!$C$6:$C$505,0))),""))</f>
        <v/>
      </c>
      <c r="D96" s="16" t="str">
        <f aca="false">IF($B96="","",IFERROR(IF(INDEX('NHẬP ĐƠN HÀNG'!$E$6:$E$505,MATCH($B96,'NHẬP ĐƠN HÀNG'!$C$6:$C$505,0))="","",INDEX('NHẬP ĐƠN HÀNG'!$E$6:$E$505,MATCH($B96,'NHẬP ĐƠN HÀNG'!$C$6:$C$505,0))),""))</f>
        <v/>
      </c>
      <c r="E96" s="16" t="str">
        <f aca="false">IF($B96="","",IFERROR(IF(INDEX('NHẬP ĐƠN HÀNG'!$F$6:$F$505,MATCH($B96,'NHẬP ĐƠN HÀNG'!$C$6:$C$505,0))="","",INDEX('NHẬP ĐƠN HÀNG'!$F$6:$F$505,MATCH($B96,'NHẬP ĐƠN HÀNG'!$C$6:$C$505,0))),""))</f>
        <v/>
      </c>
      <c r="F96" s="16" t="str">
        <f aca="false">IF($B96="","",IFERROR(IF(INDEX('NHẬP ĐƠN HÀNG'!$G$6:$G$505,MATCH($B96,'NHẬP ĐƠN HÀNG'!$C$6:$C$505,0))="","",INDEX('NHẬP ĐƠN HÀNG'!$G$6:$G$505,MATCH($B96,'NHẬP ĐƠN HÀNG'!$C$6:$C$505,0))),""))</f>
        <v/>
      </c>
      <c r="G96" s="10" t="str">
        <f aca="false">IF($B96="","",COUNTIFS('NHẬP ĐƠN HÀNG'!$C$6:$C$505,$B96,'NHẬP ĐƠN HÀNG'!$L$6:$L$505,"&gt;0"))</f>
        <v/>
      </c>
      <c r="H96" s="10" t="str">
        <f aca="false">IF($B96="","",SUMIF('NHẬP ĐƠN HÀNG'!$C$6:$C$505,$B96,'NHẬP ĐƠN HÀNG'!$L$6:$L$505))</f>
        <v/>
      </c>
      <c r="I96" s="10" t="str">
        <f aca="false">IF($B96="","",SUMIF('NHẬP ĐƠN HÀNG'!$C$6:$C$505,$B96,'NHẬP ĐƠN HÀNG'!$P$6:$P$505))</f>
        <v/>
      </c>
      <c r="J96" s="10" t="str">
        <f aca="false">IF($B96="","",SUMIF('NHẬP ĐƠN HÀNG'!$C$6:$C$505,$B96,'NHẬP ĐƠN HÀNG'!$Q$6:$Q$505))</f>
        <v/>
      </c>
      <c r="K96" s="10" t="str">
        <f aca="false">IF($B96="","",SUMIF('NHẬP ĐƠN HÀNG'!$C$6:$C$505,$B96,'NHẬP ĐƠN HÀNG'!$R$6:$R$505))</f>
        <v/>
      </c>
      <c r="L96" s="10" t="str">
        <f aca="false">IF($B96="","",SUMIF('NHẬP ĐƠN HÀNG'!$C$6:$C$505,$B96,'NHẬP ĐƠN HÀNG'!$U$6:$U$505))</f>
        <v/>
      </c>
      <c r="M96" s="34" t="str">
        <f aca="false">IF($B96="","",IF(SUMPRODUCT(MAX(('NHẬP ĐƠN HÀNG'!$C$6:$C$505=$B96)*'NHẬP ĐƠN HÀNG'!$B$6:$B$505))=0,"",SUMPRODUCT(MAX(('NHẬP ĐƠN HÀNG'!$C$6:$C$505=$B96)*'NHẬP ĐƠN HÀNG'!$B$6:$B$505))))</f>
        <v/>
      </c>
      <c r="N96" s="16" t="str">
        <f aca="false">IF($B96="","",IF($G96=0,"Chưa có đơn",IF(COUNTIFS('NHẬP ĐƠN HÀNG'!$C$6:$C$505,$B96,'NHẬP ĐƠN HÀNG'!$N$6:$N$505,"&gt;0")&gt;0,"Có lấy VAT","Không lấy VAT")))</f>
        <v/>
      </c>
    </row>
    <row r="97" customFormat="false" ht="15" hidden="false" customHeight="false" outlineLevel="0" collapsed="false">
      <c r="A97" s="16" t="str">
        <f aca="false">IF($B97="","",92)</f>
        <v/>
      </c>
      <c r="B97" s="16" t="str">
        <f aca="false">IFERROR(INDEX('NHẬP ĐƠN HÀNG'!$C$6:$C$505,MATCH(92,'NHẬP ĐƠN HÀNG'!$AB$6:$AB$505,0)),"")</f>
        <v/>
      </c>
      <c r="C97" s="16" t="str">
        <f aca="false">IF($B97="","",IFERROR(IF(INDEX('NHẬP ĐƠN HÀNG'!$D$6:$D$505,MATCH($B97,'NHẬP ĐƠN HÀNG'!$C$6:$C$505,0))="","",INDEX('NHẬP ĐƠN HÀNG'!$D$6:$D$505,MATCH($B97,'NHẬP ĐƠN HÀNG'!$C$6:$C$505,0))),""))</f>
        <v/>
      </c>
      <c r="D97" s="16" t="str">
        <f aca="false">IF($B97="","",IFERROR(IF(INDEX('NHẬP ĐƠN HÀNG'!$E$6:$E$505,MATCH($B97,'NHẬP ĐƠN HÀNG'!$C$6:$C$505,0))="","",INDEX('NHẬP ĐƠN HÀNG'!$E$6:$E$505,MATCH($B97,'NHẬP ĐƠN HÀNG'!$C$6:$C$505,0))),""))</f>
        <v/>
      </c>
      <c r="E97" s="16" t="str">
        <f aca="false">IF($B97="","",IFERROR(IF(INDEX('NHẬP ĐƠN HÀNG'!$F$6:$F$505,MATCH($B97,'NHẬP ĐƠN HÀNG'!$C$6:$C$505,0))="","",INDEX('NHẬP ĐƠN HÀNG'!$F$6:$F$505,MATCH($B97,'NHẬP ĐƠN HÀNG'!$C$6:$C$505,0))),""))</f>
        <v/>
      </c>
      <c r="F97" s="16" t="str">
        <f aca="false">IF($B97="","",IFERROR(IF(INDEX('NHẬP ĐƠN HÀNG'!$G$6:$G$505,MATCH($B97,'NHẬP ĐƠN HÀNG'!$C$6:$C$505,0))="","",INDEX('NHẬP ĐƠN HÀNG'!$G$6:$G$505,MATCH($B97,'NHẬP ĐƠN HÀNG'!$C$6:$C$505,0))),""))</f>
        <v/>
      </c>
      <c r="G97" s="10" t="str">
        <f aca="false">IF($B97="","",COUNTIFS('NHẬP ĐƠN HÀNG'!$C$6:$C$505,$B97,'NHẬP ĐƠN HÀNG'!$L$6:$L$505,"&gt;0"))</f>
        <v/>
      </c>
      <c r="H97" s="10" t="str">
        <f aca="false">IF($B97="","",SUMIF('NHẬP ĐƠN HÀNG'!$C$6:$C$505,$B97,'NHẬP ĐƠN HÀNG'!$L$6:$L$505))</f>
        <v/>
      </c>
      <c r="I97" s="10" t="str">
        <f aca="false">IF($B97="","",SUMIF('NHẬP ĐƠN HÀNG'!$C$6:$C$505,$B97,'NHẬP ĐƠN HÀNG'!$P$6:$P$505))</f>
        <v/>
      </c>
      <c r="J97" s="10" t="str">
        <f aca="false">IF($B97="","",SUMIF('NHẬP ĐƠN HÀNG'!$C$6:$C$505,$B97,'NHẬP ĐƠN HÀNG'!$Q$6:$Q$505))</f>
        <v/>
      </c>
      <c r="K97" s="10" t="str">
        <f aca="false">IF($B97="","",SUMIF('NHẬP ĐƠN HÀNG'!$C$6:$C$505,$B97,'NHẬP ĐƠN HÀNG'!$R$6:$R$505))</f>
        <v/>
      </c>
      <c r="L97" s="10" t="str">
        <f aca="false">IF($B97="","",SUMIF('NHẬP ĐƠN HÀNG'!$C$6:$C$505,$B97,'NHẬP ĐƠN HÀNG'!$U$6:$U$505))</f>
        <v/>
      </c>
      <c r="M97" s="34" t="str">
        <f aca="false">IF($B97="","",IF(SUMPRODUCT(MAX(('NHẬP ĐƠN HÀNG'!$C$6:$C$505=$B97)*'NHẬP ĐƠN HÀNG'!$B$6:$B$505))=0,"",SUMPRODUCT(MAX(('NHẬP ĐƠN HÀNG'!$C$6:$C$505=$B97)*'NHẬP ĐƠN HÀNG'!$B$6:$B$505))))</f>
        <v/>
      </c>
      <c r="N97" s="16" t="str">
        <f aca="false">IF($B97="","",IF($G97=0,"Chưa có đơn",IF(COUNTIFS('NHẬP ĐƠN HÀNG'!$C$6:$C$505,$B97,'NHẬP ĐƠN HÀNG'!$N$6:$N$505,"&gt;0")&gt;0,"Có lấy VAT","Không lấy VAT")))</f>
        <v/>
      </c>
    </row>
    <row r="98" customFormat="false" ht="15" hidden="false" customHeight="false" outlineLevel="0" collapsed="false">
      <c r="A98" s="16" t="str">
        <f aca="false">IF($B98="","",93)</f>
        <v/>
      </c>
      <c r="B98" s="16" t="str">
        <f aca="false">IFERROR(INDEX('NHẬP ĐƠN HÀNG'!$C$6:$C$505,MATCH(93,'NHẬP ĐƠN HÀNG'!$AB$6:$AB$505,0)),"")</f>
        <v/>
      </c>
      <c r="C98" s="16" t="str">
        <f aca="false">IF($B98="","",IFERROR(IF(INDEX('NHẬP ĐƠN HÀNG'!$D$6:$D$505,MATCH($B98,'NHẬP ĐƠN HÀNG'!$C$6:$C$505,0))="","",INDEX('NHẬP ĐƠN HÀNG'!$D$6:$D$505,MATCH($B98,'NHẬP ĐƠN HÀNG'!$C$6:$C$505,0))),""))</f>
        <v/>
      </c>
      <c r="D98" s="16" t="str">
        <f aca="false">IF($B98="","",IFERROR(IF(INDEX('NHẬP ĐƠN HÀNG'!$E$6:$E$505,MATCH($B98,'NHẬP ĐƠN HÀNG'!$C$6:$C$505,0))="","",INDEX('NHẬP ĐƠN HÀNG'!$E$6:$E$505,MATCH($B98,'NHẬP ĐƠN HÀNG'!$C$6:$C$505,0))),""))</f>
        <v/>
      </c>
      <c r="E98" s="16" t="str">
        <f aca="false">IF($B98="","",IFERROR(IF(INDEX('NHẬP ĐƠN HÀNG'!$F$6:$F$505,MATCH($B98,'NHẬP ĐƠN HÀNG'!$C$6:$C$505,0))="","",INDEX('NHẬP ĐƠN HÀNG'!$F$6:$F$505,MATCH($B98,'NHẬP ĐƠN HÀNG'!$C$6:$C$505,0))),""))</f>
        <v/>
      </c>
      <c r="F98" s="16" t="str">
        <f aca="false">IF($B98="","",IFERROR(IF(INDEX('NHẬP ĐƠN HÀNG'!$G$6:$G$505,MATCH($B98,'NHẬP ĐƠN HÀNG'!$C$6:$C$505,0))="","",INDEX('NHẬP ĐƠN HÀNG'!$G$6:$G$505,MATCH($B98,'NHẬP ĐƠN HÀNG'!$C$6:$C$505,0))),""))</f>
        <v/>
      </c>
      <c r="G98" s="10" t="str">
        <f aca="false">IF($B98="","",COUNTIFS('NHẬP ĐƠN HÀNG'!$C$6:$C$505,$B98,'NHẬP ĐƠN HÀNG'!$L$6:$L$505,"&gt;0"))</f>
        <v/>
      </c>
      <c r="H98" s="10" t="str">
        <f aca="false">IF($B98="","",SUMIF('NHẬP ĐƠN HÀNG'!$C$6:$C$505,$B98,'NHẬP ĐƠN HÀNG'!$L$6:$L$505))</f>
        <v/>
      </c>
      <c r="I98" s="10" t="str">
        <f aca="false">IF($B98="","",SUMIF('NHẬP ĐƠN HÀNG'!$C$6:$C$505,$B98,'NHẬP ĐƠN HÀNG'!$P$6:$P$505))</f>
        <v/>
      </c>
      <c r="J98" s="10" t="str">
        <f aca="false">IF($B98="","",SUMIF('NHẬP ĐƠN HÀNG'!$C$6:$C$505,$B98,'NHẬP ĐƠN HÀNG'!$Q$6:$Q$505))</f>
        <v/>
      </c>
      <c r="K98" s="10" t="str">
        <f aca="false">IF($B98="","",SUMIF('NHẬP ĐƠN HÀNG'!$C$6:$C$505,$B98,'NHẬP ĐƠN HÀNG'!$R$6:$R$505))</f>
        <v/>
      </c>
      <c r="L98" s="10" t="str">
        <f aca="false">IF($B98="","",SUMIF('NHẬP ĐƠN HÀNG'!$C$6:$C$505,$B98,'NHẬP ĐƠN HÀNG'!$U$6:$U$505))</f>
        <v/>
      </c>
      <c r="M98" s="34" t="str">
        <f aca="false">IF($B98="","",IF(SUMPRODUCT(MAX(('NHẬP ĐƠN HÀNG'!$C$6:$C$505=$B98)*'NHẬP ĐƠN HÀNG'!$B$6:$B$505))=0,"",SUMPRODUCT(MAX(('NHẬP ĐƠN HÀNG'!$C$6:$C$505=$B98)*'NHẬP ĐƠN HÀNG'!$B$6:$B$505))))</f>
        <v/>
      </c>
      <c r="N98" s="16" t="str">
        <f aca="false">IF($B98="","",IF($G98=0,"Chưa có đơn",IF(COUNTIFS('NHẬP ĐƠN HÀNG'!$C$6:$C$505,$B98,'NHẬP ĐƠN HÀNG'!$N$6:$N$505,"&gt;0")&gt;0,"Có lấy VAT","Không lấy VAT")))</f>
        <v/>
      </c>
    </row>
    <row r="99" customFormat="false" ht="15" hidden="false" customHeight="false" outlineLevel="0" collapsed="false">
      <c r="A99" s="16" t="str">
        <f aca="false">IF($B99="","",94)</f>
        <v/>
      </c>
      <c r="B99" s="16" t="str">
        <f aca="false">IFERROR(INDEX('NHẬP ĐƠN HÀNG'!$C$6:$C$505,MATCH(94,'NHẬP ĐƠN HÀNG'!$AB$6:$AB$505,0)),"")</f>
        <v/>
      </c>
      <c r="C99" s="16" t="str">
        <f aca="false">IF($B99="","",IFERROR(IF(INDEX('NHẬP ĐƠN HÀNG'!$D$6:$D$505,MATCH($B99,'NHẬP ĐƠN HÀNG'!$C$6:$C$505,0))="","",INDEX('NHẬP ĐƠN HÀNG'!$D$6:$D$505,MATCH($B99,'NHẬP ĐƠN HÀNG'!$C$6:$C$505,0))),""))</f>
        <v/>
      </c>
      <c r="D99" s="16" t="str">
        <f aca="false">IF($B99="","",IFERROR(IF(INDEX('NHẬP ĐƠN HÀNG'!$E$6:$E$505,MATCH($B99,'NHẬP ĐƠN HÀNG'!$C$6:$C$505,0))="","",INDEX('NHẬP ĐƠN HÀNG'!$E$6:$E$505,MATCH($B99,'NHẬP ĐƠN HÀNG'!$C$6:$C$505,0))),""))</f>
        <v/>
      </c>
      <c r="E99" s="16" t="str">
        <f aca="false">IF($B99="","",IFERROR(IF(INDEX('NHẬP ĐƠN HÀNG'!$F$6:$F$505,MATCH($B99,'NHẬP ĐƠN HÀNG'!$C$6:$C$505,0))="","",INDEX('NHẬP ĐƠN HÀNG'!$F$6:$F$505,MATCH($B99,'NHẬP ĐƠN HÀNG'!$C$6:$C$505,0))),""))</f>
        <v/>
      </c>
      <c r="F99" s="16" t="str">
        <f aca="false">IF($B99="","",IFERROR(IF(INDEX('NHẬP ĐƠN HÀNG'!$G$6:$G$505,MATCH($B99,'NHẬP ĐƠN HÀNG'!$C$6:$C$505,0))="","",INDEX('NHẬP ĐƠN HÀNG'!$G$6:$G$505,MATCH($B99,'NHẬP ĐƠN HÀNG'!$C$6:$C$505,0))),""))</f>
        <v/>
      </c>
      <c r="G99" s="10" t="str">
        <f aca="false">IF($B99="","",COUNTIFS('NHẬP ĐƠN HÀNG'!$C$6:$C$505,$B99,'NHẬP ĐƠN HÀNG'!$L$6:$L$505,"&gt;0"))</f>
        <v/>
      </c>
      <c r="H99" s="10" t="str">
        <f aca="false">IF($B99="","",SUMIF('NHẬP ĐƠN HÀNG'!$C$6:$C$505,$B99,'NHẬP ĐƠN HÀNG'!$L$6:$L$505))</f>
        <v/>
      </c>
      <c r="I99" s="10" t="str">
        <f aca="false">IF($B99="","",SUMIF('NHẬP ĐƠN HÀNG'!$C$6:$C$505,$B99,'NHẬP ĐƠN HÀNG'!$P$6:$P$505))</f>
        <v/>
      </c>
      <c r="J99" s="10" t="str">
        <f aca="false">IF($B99="","",SUMIF('NHẬP ĐƠN HÀNG'!$C$6:$C$505,$B99,'NHẬP ĐƠN HÀNG'!$Q$6:$Q$505))</f>
        <v/>
      </c>
      <c r="K99" s="10" t="str">
        <f aca="false">IF($B99="","",SUMIF('NHẬP ĐƠN HÀNG'!$C$6:$C$505,$B99,'NHẬP ĐƠN HÀNG'!$R$6:$R$505))</f>
        <v/>
      </c>
      <c r="L99" s="10" t="str">
        <f aca="false">IF($B99="","",SUMIF('NHẬP ĐƠN HÀNG'!$C$6:$C$505,$B99,'NHẬP ĐƠN HÀNG'!$U$6:$U$505))</f>
        <v/>
      </c>
      <c r="M99" s="34" t="str">
        <f aca="false">IF($B99="","",IF(SUMPRODUCT(MAX(('NHẬP ĐƠN HÀNG'!$C$6:$C$505=$B99)*'NHẬP ĐƠN HÀNG'!$B$6:$B$505))=0,"",SUMPRODUCT(MAX(('NHẬP ĐƠN HÀNG'!$C$6:$C$505=$B99)*'NHẬP ĐƠN HÀNG'!$B$6:$B$505))))</f>
        <v/>
      </c>
      <c r="N99" s="16" t="str">
        <f aca="false">IF($B99="","",IF($G99=0,"Chưa có đơn",IF(COUNTIFS('NHẬP ĐƠN HÀNG'!$C$6:$C$505,$B99,'NHẬP ĐƠN HÀNG'!$N$6:$N$505,"&gt;0")&gt;0,"Có lấy VAT","Không lấy VAT")))</f>
        <v/>
      </c>
    </row>
    <row r="100" customFormat="false" ht="15" hidden="false" customHeight="false" outlineLevel="0" collapsed="false">
      <c r="A100" s="16" t="str">
        <f aca="false">IF($B100="","",95)</f>
        <v/>
      </c>
      <c r="B100" s="16" t="str">
        <f aca="false">IFERROR(INDEX('NHẬP ĐƠN HÀNG'!$C$6:$C$505,MATCH(95,'NHẬP ĐƠN HÀNG'!$AB$6:$AB$505,0)),"")</f>
        <v/>
      </c>
      <c r="C100" s="16" t="str">
        <f aca="false">IF($B100="","",IFERROR(IF(INDEX('NHẬP ĐƠN HÀNG'!$D$6:$D$505,MATCH($B100,'NHẬP ĐƠN HÀNG'!$C$6:$C$505,0))="","",INDEX('NHẬP ĐƠN HÀNG'!$D$6:$D$505,MATCH($B100,'NHẬP ĐƠN HÀNG'!$C$6:$C$505,0))),""))</f>
        <v/>
      </c>
      <c r="D100" s="16" t="str">
        <f aca="false">IF($B100="","",IFERROR(IF(INDEX('NHẬP ĐƠN HÀNG'!$E$6:$E$505,MATCH($B100,'NHẬP ĐƠN HÀNG'!$C$6:$C$505,0))="","",INDEX('NHẬP ĐƠN HÀNG'!$E$6:$E$505,MATCH($B100,'NHẬP ĐƠN HÀNG'!$C$6:$C$505,0))),""))</f>
        <v/>
      </c>
      <c r="E100" s="16" t="str">
        <f aca="false">IF($B100="","",IFERROR(IF(INDEX('NHẬP ĐƠN HÀNG'!$F$6:$F$505,MATCH($B100,'NHẬP ĐƠN HÀNG'!$C$6:$C$505,0))="","",INDEX('NHẬP ĐƠN HÀNG'!$F$6:$F$505,MATCH($B100,'NHẬP ĐƠN HÀNG'!$C$6:$C$505,0))),""))</f>
        <v/>
      </c>
      <c r="F100" s="16" t="str">
        <f aca="false">IF($B100="","",IFERROR(IF(INDEX('NHẬP ĐƠN HÀNG'!$G$6:$G$505,MATCH($B100,'NHẬP ĐƠN HÀNG'!$C$6:$C$505,0))="","",INDEX('NHẬP ĐƠN HÀNG'!$G$6:$G$505,MATCH($B100,'NHẬP ĐƠN HÀNG'!$C$6:$C$505,0))),""))</f>
        <v/>
      </c>
      <c r="G100" s="10" t="str">
        <f aca="false">IF($B100="","",COUNTIFS('NHẬP ĐƠN HÀNG'!$C$6:$C$505,$B100,'NHẬP ĐƠN HÀNG'!$L$6:$L$505,"&gt;0"))</f>
        <v/>
      </c>
      <c r="H100" s="10" t="str">
        <f aca="false">IF($B100="","",SUMIF('NHẬP ĐƠN HÀNG'!$C$6:$C$505,$B100,'NHẬP ĐƠN HÀNG'!$L$6:$L$505))</f>
        <v/>
      </c>
      <c r="I100" s="10" t="str">
        <f aca="false">IF($B100="","",SUMIF('NHẬP ĐƠN HÀNG'!$C$6:$C$505,$B100,'NHẬP ĐƠN HÀNG'!$P$6:$P$505))</f>
        <v/>
      </c>
      <c r="J100" s="10" t="str">
        <f aca="false">IF($B100="","",SUMIF('NHẬP ĐƠN HÀNG'!$C$6:$C$505,$B100,'NHẬP ĐƠN HÀNG'!$Q$6:$Q$505))</f>
        <v/>
      </c>
      <c r="K100" s="10" t="str">
        <f aca="false">IF($B100="","",SUMIF('NHẬP ĐƠN HÀNG'!$C$6:$C$505,$B100,'NHẬP ĐƠN HÀNG'!$R$6:$R$505))</f>
        <v/>
      </c>
      <c r="L100" s="10" t="str">
        <f aca="false">IF($B100="","",SUMIF('NHẬP ĐƠN HÀNG'!$C$6:$C$505,$B100,'NHẬP ĐƠN HÀNG'!$U$6:$U$505))</f>
        <v/>
      </c>
      <c r="M100" s="34" t="str">
        <f aca="false">IF($B100="","",IF(SUMPRODUCT(MAX(('NHẬP ĐƠN HÀNG'!$C$6:$C$505=$B100)*'NHẬP ĐƠN HÀNG'!$B$6:$B$505))=0,"",SUMPRODUCT(MAX(('NHẬP ĐƠN HÀNG'!$C$6:$C$505=$B100)*'NHẬP ĐƠN HÀNG'!$B$6:$B$505))))</f>
        <v/>
      </c>
      <c r="N100" s="16" t="str">
        <f aca="false">IF($B100="","",IF($G100=0,"Chưa có đơn",IF(COUNTIFS('NHẬP ĐƠN HÀNG'!$C$6:$C$505,$B100,'NHẬP ĐƠN HÀNG'!$N$6:$N$505,"&gt;0")&gt;0,"Có lấy VAT","Không lấy VAT")))</f>
        <v/>
      </c>
    </row>
    <row r="101" customFormat="false" ht="15" hidden="false" customHeight="false" outlineLevel="0" collapsed="false">
      <c r="A101" s="16" t="str">
        <f aca="false">IF($B101="","",96)</f>
        <v/>
      </c>
      <c r="B101" s="16" t="str">
        <f aca="false">IFERROR(INDEX('NHẬP ĐƠN HÀNG'!$C$6:$C$505,MATCH(96,'NHẬP ĐƠN HÀNG'!$AB$6:$AB$505,0)),"")</f>
        <v/>
      </c>
      <c r="C101" s="16" t="str">
        <f aca="false">IF($B101="","",IFERROR(IF(INDEX('NHẬP ĐƠN HÀNG'!$D$6:$D$505,MATCH($B101,'NHẬP ĐƠN HÀNG'!$C$6:$C$505,0))="","",INDEX('NHẬP ĐƠN HÀNG'!$D$6:$D$505,MATCH($B101,'NHẬP ĐƠN HÀNG'!$C$6:$C$505,0))),""))</f>
        <v/>
      </c>
      <c r="D101" s="16" t="str">
        <f aca="false">IF($B101="","",IFERROR(IF(INDEX('NHẬP ĐƠN HÀNG'!$E$6:$E$505,MATCH($B101,'NHẬP ĐƠN HÀNG'!$C$6:$C$505,0))="","",INDEX('NHẬP ĐƠN HÀNG'!$E$6:$E$505,MATCH($B101,'NHẬP ĐƠN HÀNG'!$C$6:$C$505,0))),""))</f>
        <v/>
      </c>
      <c r="E101" s="16" t="str">
        <f aca="false">IF($B101="","",IFERROR(IF(INDEX('NHẬP ĐƠN HÀNG'!$F$6:$F$505,MATCH($B101,'NHẬP ĐƠN HÀNG'!$C$6:$C$505,0))="","",INDEX('NHẬP ĐƠN HÀNG'!$F$6:$F$505,MATCH($B101,'NHẬP ĐƠN HÀNG'!$C$6:$C$505,0))),""))</f>
        <v/>
      </c>
      <c r="F101" s="16" t="str">
        <f aca="false">IF($B101="","",IFERROR(IF(INDEX('NHẬP ĐƠN HÀNG'!$G$6:$G$505,MATCH($B101,'NHẬP ĐƠN HÀNG'!$C$6:$C$505,0))="","",INDEX('NHẬP ĐƠN HÀNG'!$G$6:$G$505,MATCH($B101,'NHẬP ĐƠN HÀNG'!$C$6:$C$505,0))),""))</f>
        <v/>
      </c>
      <c r="G101" s="10" t="str">
        <f aca="false">IF($B101="","",COUNTIFS('NHẬP ĐƠN HÀNG'!$C$6:$C$505,$B101,'NHẬP ĐƠN HÀNG'!$L$6:$L$505,"&gt;0"))</f>
        <v/>
      </c>
      <c r="H101" s="10" t="str">
        <f aca="false">IF($B101="","",SUMIF('NHẬP ĐƠN HÀNG'!$C$6:$C$505,$B101,'NHẬP ĐƠN HÀNG'!$L$6:$L$505))</f>
        <v/>
      </c>
      <c r="I101" s="10" t="str">
        <f aca="false">IF($B101="","",SUMIF('NHẬP ĐƠN HÀNG'!$C$6:$C$505,$B101,'NHẬP ĐƠN HÀNG'!$P$6:$P$505))</f>
        <v/>
      </c>
      <c r="J101" s="10" t="str">
        <f aca="false">IF($B101="","",SUMIF('NHẬP ĐƠN HÀNG'!$C$6:$C$505,$B101,'NHẬP ĐƠN HÀNG'!$Q$6:$Q$505))</f>
        <v/>
      </c>
      <c r="K101" s="10" t="str">
        <f aca="false">IF($B101="","",SUMIF('NHẬP ĐƠN HÀNG'!$C$6:$C$505,$B101,'NHẬP ĐƠN HÀNG'!$R$6:$R$505))</f>
        <v/>
      </c>
      <c r="L101" s="10" t="str">
        <f aca="false">IF($B101="","",SUMIF('NHẬP ĐƠN HÀNG'!$C$6:$C$505,$B101,'NHẬP ĐƠN HÀNG'!$U$6:$U$505))</f>
        <v/>
      </c>
      <c r="M101" s="34" t="str">
        <f aca="false">IF($B101="","",IF(SUMPRODUCT(MAX(('NHẬP ĐƠN HÀNG'!$C$6:$C$505=$B101)*'NHẬP ĐƠN HÀNG'!$B$6:$B$505))=0,"",SUMPRODUCT(MAX(('NHẬP ĐƠN HÀNG'!$C$6:$C$505=$B101)*'NHẬP ĐƠN HÀNG'!$B$6:$B$505))))</f>
        <v/>
      </c>
      <c r="N101" s="16" t="str">
        <f aca="false">IF($B101="","",IF($G101=0,"Chưa có đơn",IF(COUNTIFS('NHẬP ĐƠN HÀNG'!$C$6:$C$505,$B101,'NHẬP ĐƠN HÀNG'!$N$6:$N$505,"&gt;0")&gt;0,"Có lấy VAT","Không lấy VAT")))</f>
        <v/>
      </c>
    </row>
    <row r="102" customFormat="false" ht="15" hidden="false" customHeight="false" outlineLevel="0" collapsed="false">
      <c r="A102" s="16" t="str">
        <f aca="false">IF($B102="","",97)</f>
        <v/>
      </c>
      <c r="B102" s="16" t="str">
        <f aca="false">IFERROR(INDEX('NHẬP ĐƠN HÀNG'!$C$6:$C$505,MATCH(97,'NHẬP ĐƠN HÀNG'!$AB$6:$AB$505,0)),"")</f>
        <v/>
      </c>
      <c r="C102" s="16" t="str">
        <f aca="false">IF($B102="","",IFERROR(IF(INDEX('NHẬP ĐƠN HÀNG'!$D$6:$D$505,MATCH($B102,'NHẬP ĐƠN HÀNG'!$C$6:$C$505,0))="","",INDEX('NHẬP ĐƠN HÀNG'!$D$6:$D$505,MATCH($B102,'NHẬP ĐƠN HÀNG'!$C$6:$C$505,0))),""))</f>
        <v/>
      </c>
      <c r="D102" s="16" t="str">
        <f aca="false">IF($B102="","",IFERROR(IF(INDEX('NHẬP ĐƠN HÀNG'!$E$6:$E$505,MATCH($B102,'NHẬP ĐƠN HÀNG'!$C$6:$C$505,0))="","",INDEX('NHẬP ĐƠN HÀNG'!$E$6:$E$505,MATCH($B102,'NHẬP ĐƠN HÀNG'!$C$6:$C$505,0))),""))</f>
        <v/>
      </c>
      <c r="E102" s="16" t="str">
        <f aca="false">IF($B102="","",IFERROR(IF(INDEX('NHẬP ĐƠN HÀNG'!$F$6:$F$505,MATCH($B102,'NHẬP ĐƠN HÀNG'!$C$6:$C$505,0))="","",INDEX('NHẬP ĐƠN HÀNG'!$F$6:$F$505,MATCH($B102,'NHẬP ĐƠN HÀNG'!$C$6:$C$505,0))),""))</f>
        <v/>
      </c>
      <c r="F102" s="16" t="str">
        <f aca="false">IF($B102="","",IFERROR(IF(INDEX('NHẬP ĐƠN HÀNG'!$G$6:$G$505,MATCH($B102,'NHẬP ĐƠN HÀNG'!$C$6:$C$505,0))="","",INDEX('NHẬP ĐƠN HÀNG'!$G$6:$G$505,MATCH($B102,'NHẬP ĐƠN HÀNG'!$C$6:$C$505,0))),""))</f>
        <v/>
      </c>
      <c r="G102" s="10" t="str">
        <f aca="false">IF($B102="","",COUNTIFS('NHẬP ĐƠN HÀNG'!$C$6:$C$505,$B102,'NHẬP ĐƠN HÀNG'!$L$6:$L$505,"&gt;0"))</f>
        <v/>
      </c>
      <c r="H102" s="10" t="str">
        <f aca="false">IF($B102="","",SUMIF('NHẬP ĐƠN HÀNG'!$C$6:$C$505,$B102,'NHẬP ĐƠN HÀNG'!$L$6:$L$505))</f>
        <v/>
      </c>
      <c r="I102" s="10" t="str">
        <f aca="false">IF($B102="","",SUMIF('NHẬP ĐƠN HÀNG'!$C$6:$C$505,$B102,'NHẬP ĐƠN HÀNG'!$P$6:$P$505))</f>
        <v/>
      </c>
      <c r="J102" s="10" t="str">
        <f aca="false">IF($B102="","",SUMIF('NHẬP ĐƠN HÀNG'!$C$6:$C$505,$B102,'NHẬP ĐƠN HÀNG'!$Q$6:$Q$505))</f>
        <v/>
      </c>
      <c r="K102" s="10" t="str">
        <f aca="false">IF($B102="","",SUMIF('NHẬP ĐƠN HÀNG'!$C$6:$C$505,$B102,'NHẬP ĐƠN HÀNG'!$R$6:$R$505))</f>
        <v/>
      </c>
      <c r="L102" s="10" t="str">
        <f aca="false">IF($B102="","",SUMIF('NHẬP ĐƠN HÀNG'!$C$6:$C$505,$B102,'NHẬP ĐƠN HÀNG'!$U$6:$U$505))</f>
        <v/>
      </c>
      <c r="M102" s="34" t="str">
        <f aca="false">IF($B102="","",IF(SUMPRODUCT(MAX(('NHẬP ĐƠN HÀNG'!$C$6:$C$505=$B102)*'NHẬP ĐƠN HÀNG'!$B$6:$B$505))=0,"",SUMPRODUCT(MAX(('NHẬP ĐƠN HÀNG'!$C$6:$C$505=$B102)*'NHẬP ĐƠN HÀNG'!$B$6:$B$505))))</f>
        <v/>
      </c>
      <c r="N102" s="16" t="str">
        <f aca="false">IF($B102="","",IF($G102=0,"Chưa có đơn",IF(COUNTIFS('NHẬP ĐƠN HÀNG'!$C$6:$C$505,$B102,'NHẬP ĐƠN HÀNG'!$N$6:$N$505,"&gt;0")&gt;0,"Có lấy VAT","Không lấy VAT")))</f>
        <v/>
      </c>
    </row>
    <row r="103" customFormat="false" ht="15" hidden="false" customHeight="false" outlineLevel="0" collapsed="false">
      <c r="A103" s="16" t="str">
        <f aca="false">IF($B103="","",98)</f>
        <v/>
      </c>
      <c r="B103" s="16" t="str">
        <f aca="false">IFERROR(INDEX('NHẬP ĐƠN HÀNG'!$C$6:$C$505,MATCH(98,'NHẬP ĐƠN HÀNG'!$AB$6:$AB$505,0)),"")</f>
        <v/>
      </c>
      <c r="C103" s="16" t="str">
        <f aca="false">IF($B103="","",IFERROR(IF(INDEX('NHẬP ĐƠN HÀNG'!$D$6:$D$505,MATCH($B103,'NHẬP ĐƠN HÀNG'!$C$6:$C$505,0))="","",INDEX('NHẬP ĐƠN HÀNG'!$D$6:$D$505,MATCH($B103,'NHẬP ĐƠN HÀNG'!$C$6:$C$505,0))),""))</f>
        <v/>
      </c>
      <c r="D103" s="16" t="str">
        <f aca="false">IF($B103="","",IFERROR(IF(INDEX('NHẬP ĐƠN HÀNG'!$E$6:$E$505,MATCH($B103,'NHẬP ĐƠN HÀNG'!$C$6:$C$505,0))="","",INDEX('NHẬP ĐƠN HÀNG'!$E$6:$E$505,MATCH($B103,'NHẬP ĐƠN HÀNG'!$C$6:$C$505,0))),""))</f>
        <v/>
      </c>
      <c r="E103" s="16" t="str">
        <f aca="false">IF($B103="","",IFERROR(IF(INDEX('NHẬP ĐƠN HÀNG'!$F$6:$F$505,MATCH($B103,'NHẬP ĐƠN HÀNG'!$C$6:$C$505,0))="","",INDEX('NHẬP ĐƠN HÀNG'!$F$6:$F$505,MATCH($B103,'NHẬP ĐƠN HÀNG'!$C$6:$C$505,0))),""))</f>
        <v/>
      </c>
      <c r="F103" s="16" t="str">
        <f aca="false">IF($B103="","",IFERROR(IF(INDEX('NHẬP ĐƠN HÀNG'!$G$6:$G$505,MATCH($B103,'NHẬP ĐƠN HÀNG'!$C$6:$C$505,0))="","",INDEX('NHẬP ĐƠN HÀNG'!$G$6:$G$505,MATCH($B103,'NHẬP ĐƠN HÀNG'!$C$6:$C$505,0))),""))</f>
        <v/>
      </c>
      <c r="G103" s="10" t="str">
        <f aca="false">IF($B103="","",COUNTIFS('NHẬP ĐƠN HÀNG'!$C$6:$C$505,$B103,'NHẬP ĐƠN HÀNG'!$L$6:$L$505,"&gt;0"))</f>
        <v/>
      </c>
      <c r="H103" s="10" t="str">
        <f aca="false">IF($B103="","",SUMIF('NHẬP ĐƠN HÀNG'!$C$6:$C$505,$B103,'NHẬP ĐƠN HÀNG'!$L$6:$L$505))</f>
        <v/>
      </c>
      <c r="I103" s="10" t="str">
        <f aca="false">IF($B103="","",SUMIF('NHẬP ĐƠN HÀNG'!$C$6:$C$505,$B103,'NHẬP ĐƠN HÀNG'!$P$6:$P$505))</f>
        <v/>
      </c>
      <c r="J103" s="10" t="str">
        <f aca="false">IF($B103="","",SUMIF('NHẬP ĐƠN HÀNG'!$C$6:$C$505,$B103,'NHẬP ĐƠN HÀNG'!$Q$6:$Q$505))</f>
        <v/>
      </c>
      <c r="K103" s="10" t="str">
        <f aca="false">IF($B103="","",SUMIF('NHẬP ĐƠN HÀNG'!$C$6:$C$505,$B103,'NHẬP ĐƠN HÀNG'!$R$6:$R$505))</f>
        <v/>
      </c>
      <c r="L103" s="10" t="str">
        <f aca="false">IF($B103="","",SUMIF('NHẬP ĐƠN HÀNG'!$C$6:$C$505,$B103,'NHẬP ĐƠN HÀNG'!$U$6:$U$505))</f>
        <v/>
      </c>
      <c r="M103" s="34" t="str">
        <f aca="false">IF($B103="","",IF(SUMPRODUCT(MAX(('NHẬP ĐƠN HÀNG'!$C$6:$C$505=$B103)*'NHẬP ĐƠN HÀNG'!$B$6:$B$505))=0,"",SUMPRODUCT(MAX(('NHẬP ĐƠN HÀNG'!$C$6:$C$505=$B103)*'NHẬP ĐƠN HÀNG'!$B$6:$B$505))))</f>
        <v/>
      </c>
      <c r="N103" s="16" t="str">
        <f aca="false">IF($B103="","",IF($G103=0,"Chưa có đơn",IF(COUNTIFS('NHẬP ĐƠN HÀNG'!$C$6:$C$505,$B103,'NHẬP ĐƠN HÀNG'!$N$6:$N$505,"&gt;0")&gt;0,"Có lấy VAT","Không lấy VAT")))</f>
        <v/>
      </c>
    </row>
    <row r="104" customFormat="false" ht="15" hidden="false" customHeight="false" outlineLevel="0" collapsed="false">
      <c r="A104" s="16" t="str">
        <f aca="false">IF($B104="","",99)</f>
        <v/>
      </c>
      <c r="B104" s="16" t="str">
        <f aca="false">IFERROR(INDEX('NHẬP ĐƠN HÀNG'!$C$6:$C$505,MATCH(99,'NHẬP ĐƠN HÀNG'!$AB$6:$AB$505,0)),"")</f>
        <v/>
      </c>
      <c r="C104" s="16" t="str">
        <f aca="false">IF($B104="","",IFERROR(IF(INDEX('NHẬP ĐƠN HÀNG'!$D$6:$D$505,MATCH($B104,'NHẬP ĐƠN HÀNG'!$C$6:$C$505,0))="","",INDEX('NHẬP ĐƠN HÀNG'!$D$6:$D$505,MATCH($B104,'NHẬP ĐƠN HÀNG'!$C$6:$C$505,0))),""))</f>
        <v/>
      </c>
      <c r="D104" s="16" t="str">
        <f aca="false">IF($B104="","",IFERROR(IF(INDEX('NHẬP ĐƠN HÀNG'!$E$6:$E$505,MATCH($B104,'NHẬP ĐƠN HÀNG'!$C$6:$C$505,0))="","",INDEX('NHẬP ĐƠN HÀNG'!$E$6:$E$505,MATCH($B104,'NHẬP ĐƠN HÀNG'!$C$6:$C$505,0))),""))</f>
        <v/>
      </c>
      <c r="E104" s="16" t="str">
        <f aca="false">IF($B104="","",IFERROR(IF(INDEX('NHẬP ĐƠN HÀNG'!$F$6:$F$505,MATCH($B104,'NHẬP ĐƠN HÀNG'!$C$6:$C$505,0))="","",INDEX('NHẬP ĐƠN HÀNG'!$F$6:$F$505,MATCH($B104,'NHẬP ĐƠN HÀNG'!$C$6:$C$505,0))),""))</f>
        <v/>
      </c>
      <c r="F104" s="16" t="str">
        <f aca="false">IF($B104="","",IFERROR(IF(INDEX('NHẬP ĐƠN HÀNG'!$G$6:$G$505,MATCH($B104,'NHẬP ĐƠN HÀNG'!$C$6:$C$505,0))="","",INDEX('NHẬP ĐƠN HÀNG'!$G$6:$G$505,MATCH($B104,'NHẬP ĐƠN HÀNG'!$C$6:$C$505,0))),""))</f>
        <v/>
      </c>
      <c r="G104" s="10" t="str">
        <f aca="false">IF($B104="","",COUNTIFS('NHẬP ĐƠN HÀNG'!$C$6:$C$505,$B104,'NHẬP ĐƠN HÀNG'!$L$6:$L$505,"&gt;0"))</f>
        <v/>
      </c>
      <c r="H104" s="10" t="str">
        <f aca="false">IF($B104="","",SUMIF('NHẬP ĐƠN HÀNG'!$C$6:$C$505,$B104,'NHẬP ĐƠN HÀNG'!$L$6:$L$505))</f>
        <v/>
      </c>
      <c r="I104" s="10" t="str">
        <f aca="false">IF($B104="","",SUMIF('NHẬP ĐƠN HÀNG'!$C$6:$C$505,$B104,'NHẬP ĐƠN HÀNG'!$P$6:$P$505))</f>
        <v/>
      </c>
      <c r="J104" s="10" t="str">
        <f aca="false">IF($B104="","",SUMIF('NHẬP ĐƠN HÀNG'!$C$6:$C$505,$B104,'NHẬP ĐƠN HÀNG'!$Q$6:$Q$505))</f>
        <v/>
      </c>
      <c r="K104" s="10" t="str">
        <f aca="false">IF($B104="","",SUMIF('NHẬP ĐƠN HÀNG'!$C$6:$C$505,$B104,'NHẬP ĐƠN HÀNG'!$R$6:$R$505))</f>
        <v/>
      </c>
      <c r="L104" s="10" t="str">
        <f aca="false">IF($B104="","",SUMIF('NHẬP ĐƠN HÀNG'!$C$6:$C$505,$B104,'NHẬP ĐƠN HÀNG'!$U$6:$U$505))</f>
        <v/>
      </c>
      <c r="M104" s="34" t="str">
        <f aca="false">IF($B104="","",IF(SUMPRODUCT(MAX(('NHẬP ĐƠN HÀNG'!$C$6:$C$505=$B104)*'NHẬP ĐƠN HÀNG'!$B$6:$B$505))=0,"",SUMPRODUCT(MAX(('NHẬP ĐƠN HÀNG'!$C$6:$C$505=$B104)*'NHẬP ĐƠN HÀNG'!$B$6:$B$505))))</f>
        <v/>
      </c>
      <c r="N104" s="16" t="str">
        <f aca="false">IF($B104="","",IF($G104=0,"Chưa có đơn",IF(COUNTIFS('NHẬP ĐƠN HÀNG'!$C$6:$C$505,$B104,'NHẬP ĐƠN HÀNG'!$N$6:$N$505,"&gt;0")&gt;0,"Có lấy VAT","Không lấy VAT")))</f>
        <v/>
      </c>
    </row>
    <row r="105" customFormat="false" ht="15" hidden="false" customHeight="false" outlineLevel="0" collapsed="false">
      <c r="A105" s="16" t="str">
        <f aca="false">IF($B105="","",100)</f>
        <v/>
      </c>
      <c r="B105" s="16" t="str">
        <f aca="false">IFERROR(INDEX('NHẬP ĐƠN HÀNG'!$C$6:$C$505,MATCH(100,'NHẬP ĐƠN HÀNG'!$AB$6:$AB$505,0)),"")</f>
        <v/>
      </c>
      <c r="C105" s="16" t="str">
        <f aca="false">IF($B105="","",IFERROR(IF(INDEX('NHẬP ĐƠN HÀNG'!$D$6:$D$505,MATCH($B105,'NHẬP ĐƠN HÀNG'!$C$6:$C$505,0))="","",INDEX('NHẬP ĐƠN HÀNG'!$D$6:$D$505,MATCH($B105,'NHẬP ĐƠN HÀNG'!$C$6:$C$505,0))),""))</f>
        <v/>
      </c>
      <c r="D105" s="16" t="str">
        <f aca="false">IF($B105="","",IFERROR(IF(INDEX('NHẬP ĐƠN HÀNG'!$E$6:$E$505,MATCH($B105,'NHẬP ĐƠN HÀNG'!$C$6:$C$505,0))="","",INDEX('NHẬP ĐƠN HÀNG'!$E$6:$E$505,MATCH($B105,'NHẬP ĐƠN HÀNG'!$C$6:$C$505,0))),""))</f>
        <v/>
      </c>
      <c r="E105" s="16" t="str">
        <f aca="false">IF($B105="","",IFERROR(IF(INDEX('NHẬP ĐƠN HÀNG'!$F$6:$F$505,MATCH($B105,'NHẬP ĐƠN HÀNG'!$C$6:$C$505,0))="","",INDEX('NHẬP ĐƠN HÀNG'!$F$6:$F$505,MATCH($B105,'NHẬP ĐƠN HÀNG'!$C$6:$C$505,0))),""))</f>
        <v/>
      </c>
      <c r="F105" s="16" t="str">
        <f aca="false">IF($B105="","",IFERROR(IF(INDEX('NHẬP ĐƠN HÀNG'!$G$6:$G$505,MATCH($B105,'NHẬP ĐƠN HÀNG'!$C$6:$C$505,0))="","",INDEX('NHẬP ĐƠN HÀNG'!$G$6:$G$505,MATCH($B105,'NHẬP ĐƠN HÀNG'!$C$6:$C$505,0))),""))</f>
        <v/>
      </c>
      <c r="G105" s="10" t="str">
        <f aca="false">IF($B105="","",COUNTIFS('NHẬP ĐƠN HÀNG'!$C$6:$C$505,$B105,'NHẬP ĐƠN HÀNG'!$L$6:$L$505,"&gt;0"))</f>
        <v/>
      </c>
      <c r="H105" s="10" t="str">
        <f aca="false">IF($B105="","",SUMIF('NHẬP ĐƠN HÀNG'!$C$6:$C$505,$B105,'NHẬP ĐƠN HÀNG'!$L$6:$L$505))</f>
        <v/>
      </c>
      <c r="I105" s="10" t="str">
        <f aca="false">IF($B105="","",SUMIF('NHẬP ĐƠN HÀNG'!$C$6:$C$505,$B105,'NHẬP ĐƠN HÀNG'!$P$6:$P$505))</f>
        <v/>
      </c>
      <c r="J105" s="10" t="str">
        <f aca="false">IF($B105="","",SUMIF('NHẬP ĐƠN HÀNG'!$C$6:$C$505,$B105,'NHẬP ĐƠN HÀNG'!$Q$6:$Q$505))</f>
        <v/>
      </c>
      <c r="K105" s="10" t="str">
        <f aca="false">IF($B105="","",SUMIF('NHẬP ĐƠN HÀNG'!$C$6:$C$505,$B105,'NHẬP ĐƠN HÀNG'!$R$6:$R$505))</f>
        <v/>
      </c>
      <c r="L105" s="10" t="str">
        <f aca="false">IF($B105="","",SUMIF('NHẬP ĐƠN HÀNG'!$C$6:$C$505,$B105,'NHẬP ĐƠN HÀNG'!$U$6:$U$505))</f>
        <v/>
      </c>
      <c r="M105" s="34" t="str">
        <f aca="false">IF($B105="","",IF(SUMPRODUCT(MAX(('NHẬP ĐƠN HÀNG'!$C$6:$C$505=$B105)*'NHẬP ĐƠN HÀNG'!$B$6:$B$505))=0,"",SUMPRODUCT(MAX(('NHẬP ĐƠN HÀNG'!$C$6:$C$505=$B105)*'NHẬP ĐƠN HÀNG'!$B$6:$B$505))))</f>
        <v/>
      </c>
      <c r="N105" s="16" t="str">
        <f aca="false">IF($B105="","",IF($G105=0,"Chưa có đơn",IF(COUNTIFS('NHẬP ĐƠN HÀNG'!$C$6:$C$505,$B105,'NHẬP ĐƠN HÀNG'!$N$6:$N$505,"&gt;0")&gt;0,"Có lấy VAT","Không lấy VAT")))</f>
        <v/>
      </c>
    </row>
    <row r="106" customFormat="false" ht="15" hidden="false" customHeight="false" outlineLevel="0" collapsed="false">
      <c r="A106" s="16" t="str">
        <f aca="false">IF($B106="","",101)</f>
        <v/>
      </c>
      <c r="B106" s="16" t="str">
        <f aca="false">IFERROR(INDEX('NHẬP ĐƠN HÀNG'!$C$6:$C$505,MATCH(101,'NHẬP ĐƠN HÀNG'!$AB$6:$AB$505,0)),"")</f>
        <v/>
      </c>
      <c r="C106" s="16" t="str">
        <f aca="false">IF($B106="","",IFERROR(IF(INDEX('NHẬP ĐƠN HÀNG'!$D$6:$D$505,MATCH($B106,'NHẬP ĐƠN HÀNG'!$C$6:$C$505,0))="","",INDEX('NHẬP ĐƠN HÀNG'!$D$6:$D$505,MATCH($B106,'NHẬP ĐƠN HÀNG'!$C$6:$C$505,0))),""))</f>
        <v/>
      </c>
      <c r="D106" s="16" t="str">
        <f aca="false">IF($B106="","",IFERROR(IF(INDEX('NHẬP ĐƠN HÀNG'!$E$6:$E$505,MATCH($B106,'NHẬP ĐƠN HÀNG'!$C$6:$C$505,0))="","",INDEX('NHẬP ĐƠN HÀNG'!$E$6:$E$505,MATCH($B106,'NHẬP ĐƠN HÀNG'!$C$6:$C$505,0))),""))</f>
        <v/>
      </c>
      <c r="E106" s="16" t="str">
        <f aca="false">IF($B106="","",IFERROR(IF(INDEX('NHẬP ĐƠN HÀNG'!$F$6:$F$505,MATCH($B106,'NHẬP ĐƠN HÀNG'!$C$6:$C$505,0))="","",INDEX('NHẬP ĐƠN HÀNG'!$F$6:$F$505,MATCH($B106,'NHẬP ĐƠN HÀNG'!$C$6:$C$505,0))),""))</f>
        <v/>
      </c>
      <c r="F106" s="16" t="str">
        <f aca="false">IF($B106="","",IFERROR(IF(INDEX('NHẬP ĐƠN HÀNG'!$G$6:$G$505,MATCH($B106,'NHẬP ĐƠN HÀNG'!$C$6:$C$505,0))="","",INDEX('NHẬP ĐƠN HÀNG'!$G$6:$G$505,MATCH($B106,'NHẬP ĐƠN HÀNG'!$C$6:$C$505,0))),""))</f>
        <v/>
      </c>
      <c r="G106" s="10" t="str">
        <f aca="false">IF($B106="","",COUNTIFS('NHẬP ĐƠN HÀNG'!$C$6:$C$505,$B106,'NHẬP ĐƠN HÀNG'!$L$6:$L$505,"&gt;0"))</f>
        <v/>
      </c>
      <c r="H106" s="10" t="str">
        <f aca="false">IF($B106="","",SUMIF('NHẬP ĐƠN HÀNG'!$C$6:$C$505,$B106,'NHẬP ĐƠN HÀNG'!$L$6:$L$505))</f>
        <v/>
      </c>
      <c r="I106" s="10" t="str">
        <f aca="false">IF($B106="","",SUMIF('NHẬP ĐƠN HÀNG'!$C$6:$C$505,$B106,'NHẬP ĐƠN HÀNG'!$P$6:$P$505))</f>
        <v/>
      </c>
      <c r="J106" s="10" t="str">
        <f aca="false">IF($B106="","",SUMIF('NHẬP ĐƠN HÀNG'!$C$6:$C$505,$B106,'NHẬP ĐƠN HÀNG'!$Q$6:$Q$505))</f>
        <v/>
      </c>
      <c r="K106" s="10" t="str">
        <f aca="false">IF($B106="","",SUMIF('NHẬP ĐƠN HÀNG'!$C$6:$C$505,$B106,'NHẬP ĐƠN HÀNG'!$R$6:$R$505))</f>
        <v/>
      </c>
      <c r="L106" s="10" t="str">
        <f aca="false">IF($B106="","",SUMIF('NHẬP ĐƠN HÀNG'!$C$6:$C$505,$B106,'NHẬP ĐƠN HÀNG'!$U$6:$U$505))</f>
        <v/>
      </c>
      <c r="M106" s="34" t="str">
        <f aca="false">IF($B106="","",IF(SUMPRODUCT(MAX(('NHẬP ĐƠN HÀNG'!$C$6:$C$505=$B106)*'NHẬP ĐƠN HÀNG'!$B$6:$B$505))=0,"",SUMPRODUCT(MAX(('NHẬP ĐƠN HÀNG'!$C$6:$C$505=$B106)*'NHẬP ĐƠN HÀNG'!$B$6:$B$505))))</f>
        <v/>
      </c>
      <c r="N106" s="16" t="str">
        <f aca="false">IF($B106="","",IF($G106=0,"Chưa có đơn",IF(COUNTIFS('NHẬP ĐƠN HÀNG'!$C$6:$C$505,$B106,'NHẬP ĐƠN HÀNG'!$N$6:$N$505,"&gt;0")&gt;0,"Có lấy VAT","Không lấy VAT")))</f>
        <v/>
      </c>
    </row>
    <row r="107" customFormat="false" ht="15" hidden="false" customHeight="false" outlineLevel="0" collapsed="false">
      <c r="A107" s="16" t="str">
        <f aca="false">IF($B107="","",102)</f>
        <v/>
      </c>
      <c r="B107" s="16" t="str">
        <f aca="false">IFERROR(INDEX('NHẬP ĐƠN HÀNG'!$C$6:$C$505,MATCH(102,'NHẬP ĐƠN HÀNG'!$AB$6:$AB$505,0)),"")</f>
        <v/>
      </c>
      <c r="C107" s="16" t="str">
        <f aca="false">IF($B107="","",IFERROR(IF(INDEX('NHẬP ĐƠN HÀNG'!$D$6:$D$505,MATCH($B107,'NHẬP ĐƠN HÀNG'!$C$6:$C$505,0))="","",INDEX('NHẬP ĐƠN HÀNG'!$D$6:$D$505,MATCH($B107,'NHẬP ĐƠN HÀNG'!$C$6:$C$505,0))),""))</f>
        <v/>
      </c>
      <c r="D107" s="16" t="str">
        <f aca="false">IF($B107="","",IFERROR(IF(INDEX('NHẬP ĐƠN HÀNG'!$E$6:$E$505,MATCH($B107,'NHẬP ĐƠN HÀNG'!$C$6:$C$505,0))="","",INDEX('NHẬP ĐƠN HÀNG'!$E$6:$E$505,MATCH($B107,'NHẬP ĐƠN HÀNG'!$C$6:$C$505,0))),""))</f>
        <v/>
      </c>
      <c r="E107" s="16" t="str">
        <f aca="false">IF($B107="","",IFERROR(IF(INDEX('NHẬP ĐƠN HÀNG'!$F$6:$F$505,MATCH($B107,'NHẬP ĐƠN HÀNG'!$C$6:$C$505,0))="","",INDEX('NHẬP ĐƠN HÀNG'!$F$6:$F$505,MATCH($B107,'NHẬP ĐƠN HÀNG'!$C$6:$C$505,0))),""))</f>
        <v/>
      </c>
      <c r="F107" s="16" t="str">
        <f aca="false">IF($B107="","",IFERROR(IF(INDEX('NHẬP ĐƠN HÀNG'!$G$6:$G$505,MATCH($B107,'NHẬP ĐƠN HÀNG'!$C$6:$C$505,0))="","",INDEX('NHẬP ĐƠN HÀNG'!$G$6:$G$505,MATCH($B107,'NHẬP ĐƠN HÀNG'!$C$6:$C$505,0))),""))</f>
        <v/>
      </c>
      <c r="G107" s="10" t="str">
        <f aca="false">IF($B107="","",COUNTIFS('NHẬP ĐƠN HÀNG'!$C$6:$C$505,$B107,'NHẬP ĐƠN HÀNG'!$L$6:$L$505,"&gt;0"))</f>
        <v/>
      </c>
      <c r="H107" s="10" t="str">
        <f aca="false">IF($B107="","",SUMIF('NHẬP ĐƠN HÀNG'!$C$6:$C$505,$B107,'NHẬP ĐƠN HÀNG'!$L$6:$L$505))</f>
        <v/>
      </c>
      <c r="I107" s="10" t="str">
        <f aca="false">IF($B107="","",SUMIF('NHẬP ĐƠN HÀNG'!$C$6:$C$505,$B107,'NHẬP ĐƠN HÀNG'!$P$6:$P$505))</f>
        <v/>
      </c>
      <c r="J107" s="10" t="str">
        <f aca="false">IF($B107="","",SUMIF('NHẬP ĐƠN HÀNG'!$C$6:$C$505,$B107,'NHẬP ĐƠN HÀNG'!$Q$6:$Q$505))</f>
        <v/>
      </c>
      <c r="K107" s="10" t="str">
        <f aca="false">IF($B107="","",SUMIF('NHẬP ĐƠN HÀNG'!$C$6:$C$505,$B107,'NHẬP ĐƠN HÀNG'!$R$6:$R$505))</f>
        <v/>
      </c>
      <c r="L107" s="10" t="str">
        <f aca="false">IF($B107="","",SUMIF('NHẬP ĐƠN HÀNG'!$C$6:$C$505,$B107,'NHẬP ĐƠN HÀNG'!$U$6:$U$505))</f>
        <v/>
      </c>
      <c r="M107" s="34" t="str">
        <f aca="false">IF($B107="","",IF(SUMPRODUCT(MAX(('NHẬP ĐƠN HÀNG'!$C$6:$C$505=$B107)*'NHẬP ĐƠN HÀNG'!$B$6:$B$505))=0,"",SUMPRODUCT(MAX(('NHẬP ĐƠN HÀNG'!$C$6:$C$505=$B107)*'NHẬP ĐƠN HÀNG'!$B$6:$B$505))))</f>
        <v/>
      </c>
      <c r="N107" s="16" t="str">
        <f aca="false">IF($B107="","",IF($G107=0,"Chưa có đơn",IF(COUNTIFS('NHẬP ĐƠN HÀNG'!$C$6:$C$505,$B107,'NHẬP ĐƠN HÀNG'!$N$6:$N$505,"&gt;0")&gt;0,"Có lấy VAT","Không lấy VAT")))</f>
        <v/>
      </c>
    </row>
    <row r="108" customFormat="false" ht="15" hidden="false" customHeight="false" outlineLevel="0" collapsed="false">
      <c r="A108" s="16" t="str">
        <f aca="false">IF($B108="","",103)</f>
        <v/>
      </c>
      <c r="B108" s="16" t="str">
        <f aca="false">IFERROR(INDEX('NHẬP ĐƠN HÀNG'!$C$6:$C$505,MATCH(103,'NHẬP ĐƠN HÀNG'!$AB$6:$AB$505,0)),"")</f>
        <v/>
      </c>
      <c r="C108" s="16" t="str">
        <f aca="false">IF($B108="","",IFERROR(IF(INDEX('NHẬP ĐƠN HÀNG'!$D$6:$D$505,MATCH($B108,'NHẬP ĐƠN HÀNG'!$C$6:$C$505,0))="","",INDEX('NHẬP ĐƠN HÀNG'!$D$6:$D$505,MATCH($B108,'NHẬP ĐƠN HÀNG'!$C$6:$C$505,0))),""))</f>
        <v/>
      </c>
      <c r="D108" s="16" t="str">
        <f aca="false">IF($B108="","",IFERROR(IF(INDEX('NHẬP ĐƠN HÀNG'!$E$6:$E$505,MATCH($B108,'NHẬP ĐƠN HÀNG'!$C$6:$C$505,0))="","",INDEX('NHẬP ĐƠN HÀNG'!$E$6:$E$505,MATCH($B108,'NHẬP ĐƠN HÀNG'!$C$6:$C$505,0))),""))</f>
        <v/>
      </c>
      <c r="E108" s="16" t="str">
        <f aca="false">IF($B108="","",IFERROR(IF(INDEX('NHẬP ĐƠN HÀNG'!$F$6:$F$505,MATCH($B108,'NHẬP ĐƠN HÀNG'!$C$6:$C$505,0))="","",INDEX('NHẬP ĐƠN HÀNG'!$F$6:$F$505,MATCH($B108,'NHẬP ĐƠN HÀNG'!$C$6:$C$505,0))),""))</f>
        <v/>
      </c>
      <c r="F108" s="16" t="str">
        <f aca="false">IF($B108="","",IFERROR(IF(INDEX('NHẬP ĐƠN HÀNG'!$G$6:$G$505,MATCH($B108,'NHẬP ĐƠN HÀNG'!$C$6:$C$505,0))="","",INDEX('NHẬP ĐƠN HÀNG'!$G$6:$G$505,MATCH($B108,'NHẬP ĐƠN HÀNG'!$C$6:$C$505,0))),""))</f>
        <v/>
      </c>
      <c r="G108" s="10" t="str">
        <f aca="false">IF($B108="","",COUNTIFS('NHẬP ĐƠN HÀNG'!$C$6:$C$505,$B108,'NHẬP ĐƠN HÀNG'!$L$6:$L$505,"&gt;0"))</f>
        <v/>
      </c>
      <c r="H108" s="10" t="str">
        <f aca="false">IF($B108="","",SUMIF('NHẬP ĐƠN HÀNG'!$C$6:$C$505,$B108,'NHẬP ĐƠN HÀNG'!$L$6:$L$505))</f>
        <v/>
      </c>
      <c r="I108" s="10" t="str">
        <f aca="false">IF($B108="","",SUMIF('NHẬP ĐƠN HÀNG'!$C$6:$C$505,$B108,'NHẬP ĐƠN HÀNG'!$P$6:$P$505))</f>
        <v/>
      </c>
      <c r="J108" s="10" t="str">
        <f aca="false">IF($B108="","",SUMIF('NHẬP ĐƠN HÀNG'!$C$6:$C$505,$B108,'NHẬP ĐƠN HÀNG'!$Q$6:$Q$505))</f>
        <v/>
      </c>
      <c r="K108" s="10" t="str">
        <f aca="false">IF($B108="","",SUMIF('NHẬP ĐƠN HÀNG'!$C$6:$C$505,$B108,'NHẬP ĐƠN HÀNG'!$R$6:$R$505))</f>
        <v/>
      </c>
      <c r="L108" s="10" t="str">
        <f aca="false">IF($B108="","",SUMIF('NHẬP ĐƠN HÀNG'!$C$6:$C$505,$B108,'NHẬP ĐƠN HÀNG'!$U$6:$U$505))</f>
        <v/>
      </c>
      <c r="M108" s="34" t="str">
        <f aca="false">IF($B108="","",IF(SUMPRODUCT(MAX(('NHẬP ĐƠN HÀNG'!$C$6:$C$505=$B108)*'NHẬP ĐƠN HÀNG'!$B$6:$B$505))=0,"",SUMPRODUCT(MAX(('NHẬP ĐƠN HÀNG'!$C$6:$C$505=$B108)*'NHẬP ĐƠN HÀNG'!$B$6:$B$505))))</f>
        <v/>
      </c>
      <c r="N108" s="16" t="str">
        <f aca="false">IF($B108="","",IF($G108=0,"Chưa có đơn",IF(COUNTIFS('NHẬP ĐƠN HÀNG'!$C$6:$C$505,$B108,'NHẬP ĐƠN HÀNG'!$N$6:$N$505,"&gt;0")&gt;0,"Có lấy VAT","Không lấy VAT")))</f>
        <v/>
      </c>
    </row>
    <row r="109" customFormat="false" ht="15" hidden="false" customHeight="false" outlineLevel="0" collapsed="false">
      <c r="A109" s="16" t="str">
        <f aca="false">IF($B109="","",104)</f>
        <v/>
      </c>
      <c r="B109" s="16" t="str">
        <f aca="false">IFERROR(INDEX('NHẬP ĐƠN HÀNG'!$C$6:$C$505,MATCH(104,'NHẬP ĐƠN HÀNG'!$AB$6:$AB$505,0)),"")</f>
        <v/>
      </c>
      <c r="C109" s="16" t="str">
        <f aca="false">IF($B109="","",IFERROR(IF(INDEX('NHẬP ĐƠN HÀNG'!$D$6:$D$505,MATCH($B109,'NHẬP ĐƠN HÀNG'!$C$6:$C$505,0))="","",INDEX('NHẬP ĐƠN HÀNG'!$D$6:$D$505,MATCH($B109,'NHẬP ĐƠN HÀNG'!$C$6:$C$505,0))),""))</f>
        <v/>
      </c>
      <c r="D109" s="16" t="str">
        <f aca="false">IF($B109="","",IFERROR(IF(INDEX('NHẬP ĐƠN HÀNG'!$E$6:$E$505,MATCH($B109,'NHẬP ĐƠN HÀNG'!$C$6:$C$505,0))="","",INDEX('NHẬP ĐƠN HÀNG'!$E$6:$E$505,MATCH($B109,'NHẬP ĐƠN HÀNG'!$C$6:$C$505,0))),""))</f>
        <v/>
      </c>
      <c r="E109" s="16" t="str">
        <f aca="false">IF($B109="","",IFERROR(IF(INDEX('NHẬP ĐƠN HÀNG'!$F$6:$F$505,MATCH($B109,'NHẬP ĐƠN HÀNG'!$C$6:$C$505,0))="","",INDEX('NHẬP ĐƠN HÀNG'!$F$6:$F$505,MATCH($B109,'NHẬP ĐƠN HÀNG'!$C$6:$C$505,0))),""))</f>
        <v/>
      </c>
      <c r="F109" s="16" t="str">
        <f aca="false">IF($B109="","",IFERROR(IF(INDEX('NHẬP ĐƠN HÀNG'!$G$6:$G$505,MATCH($B109,'NHẬP ĐƠN HÀNG'!$C$6:$C$505,0))="","",INDEX('NHẬP ĐƠN HÀNG'!$G$6:$G$505,MATCH($B109,'NHẬP ĐƠN HÀNG'!$C$6:$C$505,0))),""))</f>
        <v/>
      </c>
      <c r="G109" s="10" t="str">
        <f aca="false">IF($B109="","",COUNTIFS('NHẬP ĐƠN HÀNG'!$C$6:$C$505,$B109,'NHẬP ĐƠN HÀNG'!$L$6:$L$505,"&gt;0"))</f>
        <v/>
      </c>
      <c r="H109" s="10" t="str">
        <f aca="false">IF($B109="","",SUMIF('NHẬP ĐƠN HÀNG'!$C$6:$C$505,$B109,'NHẬP ĐƠN HÀNG'!$L$6:$L$505))</f>
        <v/>
      </c>
      <c r="I109" s="10" t="str">
        <f aca="false">IF($B109="","",SUMIF('NHẬP ĐƠN HÀNG'!$C$6:$C$505,$B109,'NHẬP ĐƠN HÀNG'!$P$6:$P$505))</f>
        <v/>
      </c>
      <c r="J109" s="10" t="str">
        <f aca="false">IF($B109="","",SUMIF('NHẬP ĐƠN HÀNG'!$C$6:$C$505,$B109,'NHẬP ĐƠN HÀNG'!$Q$6:$Q$505))</f>
        <v/>
      </c>
      <c r="K109" s="10" t="str">
        <f aca="false">IF($B109="","",SUMIF('NHẬP ĐƠN HÀNG'!$C$6:$C$505,$B109,'NHẬP ĐƠN HÀNG'!$R$6:$R$505))</f>
        <v/>
      </c>
      <c r="L109" s="10" t="str">
        <f aca="false">IF($B109="","",SUMIF('NHẬP ĐƠN HÀNG'!$C$6:$C$505,$B109,'NHẬP ĐƠN HÀNG'!$U$6:$U$505))</f>
        <v/>
      </c>
      <c r="M109" s="34" t="str">
        <f aca="false">IF($B109="","",IF(SUMPRODUCT(MAX(('NHẬP ĐƠN HÀNG'!$C$6:$C$505=$B109)*'NHẬP ĐƠN HÀNG'!$B$6:$B$505))=0,"",SUMPRODUCT(MAX(('NHẬP ĐƠN HÀNG'!$C$6:$C$505=$B109)*'NHẬP ĐƠN HÀNG'!$B$6:$B$505))))</f>
        <v/>
      </c>
      <c r="N109" s="16" t="str">
        <f aca="false">IF($B109="","",IF($G109=0,"Chưa có đơn",IF(COUNTIFS('NHẬP ĐƠN HÀNG'!$C$6:$C$505,$B109,'NHẬP ĐƠN HÀNG'!$N$6:$N$505,"&gt;0")&gt;0,"Có lấy VAT","Không lấy VAT")))</f>
        <v/>
      </c>
    </row>
    <row r="110" customFormat="false" ht="15" hidden="false" customHeight="false" outlineLevel="0" collapsed="false">
      <c r="A110" s="16" t="str">
        <f aca="false">IF($B110="","",105)</f>
        <v/>
      </c>
      <c r="B110" s="16" t="str">
        <f aca="false">IFERROR(INDEX('NHẬP ĐƠN HÀNG'!$C$6:$C$505,MATCH(105,'NHẬP ĐƠN HÀNG'!$AB$6:$AB$505,0)),"")</f>
        <v/>
      </c>
      <c r="C110" s="16" t="str">
        <f aca="false">IF($B110="","",IFERROR(IF(INDEX('NHẬP ĐƠN HÀNG'!$D$6:$D$505,MATCH($B110,'NHẬP ĐƠN HÀNG'!$C$6:$C$505,0))="","",INDEX('NHẬP ĐƠN HÀNG'!$D$6:$D$505,MATCH($B110,'NHẬP ĐƠN HÀNG'!$C$6:$C$505,0))),""))</f>
        <v/>
      </c>
      <c r="D110" s="16" t="str">
        <f aca="false">IF($B110="","",IFERROR(IF(INDEX('NHẬP ĐƠN HÀNG'!$E$6:$E$505,MATCH($B110,'NHẬP ĐƠN HÀNG'!$C$6:$C$505,0))="","",INDEX('NHẬP ĐƠN HÀNG'!$E$6:$E$505,MATCH($B110,'NHẬP ĐƠN HÀNG'!$C$6:$C$505,0))),""))</f>
        <v/>
      </c>
      <c r="E110" s="16" t="str">
        <f aca="false">IF($B110="","",IFERROR(IF(INDEX('NHẬP ĐƠN HÀNG'!$F$6:$F$505,MATCH($B110,'NHẬP ĐƠN HÀNG'!$C$6:$C$505,0))="","",INDEX('NHẬP ĐƠN HÀNG'!$F$6:$F$505,MATCH($B110,'NHẬP ĐƠN HÀNG'!$C$6:$C$505,0))),""))</f>
        <v/>
      </c>
      <c r="F110" s="16" t="str">
        <f aca="false">IF($B110="","",IFERROR(IF(INDEX('NHẬP ĐƠN HÀNG'!$G$6:$G$505,MATCH($B110,'NHẬP ĐƠN HÀNG'!$C$6:$C$505,0))="","",INDEX('NHẬP ĐƠN HÀNG'!$G$6:$G$505,MATCH($B110,'NHẬP ĐƠN HÀNG'!$C$6:$C$505,0))),""))</f>
        <v/>
      </c>
      <c r="G110" s="10" t="str">
        <f aca="false">IF($B110="","",COUNTIFS('NHẬP ĐƠN HÀNG'!$C$6:$C$505,$B110,'NHẬP ĐƠN HÀNG'!$L$6:$L$505,"&gt;0"))</f>
        <v/>
      </c>
      <c r="H110" s="10" t="str">
        <f aca="false">IF($B110="","",SUMIF('NHẬP ĐƠN HÀNG'!$C$6:$C$505,$B110,'NHẬP ĐƠN HÀNG'!$L$6:$L$505))</f>
        <v/>
      </c>
      <c r="I110" s="10" t="str">
        <f aca="false">IF($B110="","",SUMIF('NHẬP ĐƠN HÀNG'!$C$6:$C$505,$B110,'NHẬP ĐƠN HÀNG'!$P$6:$P$505))</f>
        <v/>
      </c>
      <c r="J110" s="10" t="str">
        <f aca="false">IF($B110="","",SUMIF('NHẬP ĐƠN HÀNG'!$C$6:$C$505,$B110,'NHẬP ĐƠN HÀNG'!$Q$6:$Q$505))</f>
        <v/>
      </c>
      <c r="K110" s="10" t="str">
        <f aca="false">IF($B110="","",SUMIF('NHẬP ĐƠN HÀNG'!$C$6:$C$505,$B110,'NHẬP ĐƠN HÀNG'!$R$6:$R$505))</f>
        <v/>
      </c>
      <c r="L110" s="10" t="str">
        <f aca="false">IF($B110="","",SUMIF('NHẬP ĐƠN HÀNG'!$C$6:$C$505,$B110,'NHẬP ĐƠN HÀNG'!$U$6:$U$505))</f>
        <v/>
      </c>
      <c r="M110" s="34" t="str">
        <f aca="false">IF($B110="","",IF(SUMPRODUCT(MAX(('NHẬP ĐƠN HÀNG'!$C$6:$C$505=$B110)*'NHẬP ĐƠN HÀNG'!$B$6:$B$505))=0,"",SUMPRODUCT(MAX(('NHẬP ĐƠN HÀNG'!$C$6:$C$505=$B110)*'NHẬP ĐƠN HÀNG'!$B$6:$B$505))))</f>
        <v/>
      </c>
      <c r="N110" s="16" t="str">
        <f aca="false">IF($B110="","",IF($G110=0,"Chưa có đơn",IF(COUNTIFS('NHẬP ĐƠN HÀNG'!$C$6:$C$505,$B110,'NHẬP ĐƠN HÀNG'!$N$6:$N$505,"&gt;0")&gt;0,"Có lấy VAT","Không lấy VAT")))</f>
        <v/>
      </c>
    </row>
    <row r="111" customFormat="false" ht="15" hidden="false" customHeight="false" outlineLevel="0" collapsed="false">
      <c r="A111" s="16" t="str">
        <f aca="false">IF($B111="","",106)</f>
        <v/>
      </c>
      <c r="B111" s="16" t="str">
        <f aca="false">IFERROR(INDEX('NHẬP ĐƠN HÀNG'!$C$6:$C$505,MATCH(106,'NHẬP ĐƠN HÀNG'!$AB$6:$AB$505,0)),"")</f>
        <v/>
      </c>
      <c r="C111" s="16" t="str">
        <f aca="false">IF($B111="","",IFERROR(IF(INDEX('NHẬP ĐƠN HÀNG'!$D$6:$D$505,MATCH($B111,'NHẬP ĐƠN HÀNG'!$C$6:$C$505,0))="","",INDEX('NHẬP ĐƠN HÀNG'!$D$6:$D$505,MATCH($B111,'NHẬP ĐƠN HÀNG'!$C$6:$C$505,0))),""))</f>
        <v/>
      </c>
      <c r="D111" s="16" t="str">
        <f aca="false">IF($B111="","",IFERROR(IF(INDEX('NHẬP ĐƠN HÀNG'!$E$6:$E$505,MATCH($B111,'NHẬP ĐƠN HÀNG'!$C$6:$C$505,0))="","",INDEX('NHẬP ĐƠN HÀNG'!$E$6:$E$505,MATCH($B111,'NHẬP ĐƠN HÀNG'!$C$6:$C$505,0))),""))</f>
        <v/>
      </c>
      <c r="E111" s="16" t="str">
        <f aca="false">IF($B111="","",IFERROR(IF(INDEX('NHẬP ĐƠN HÀNG'!$F$6:$F$505,MATCH($B111,'NHẬP ĐƠN HÀNG'!$C$6:$C$505,0))="","",INDEX('NHẬP ĐƠN HÀNG'!$F$6:$F$505,MATCH($B111,'NHẬP ĐƠN HÀNG'!$C$6:$C$505,0))),""))</f>
        <v/>
      </c>
      <c r="F111" s="16" t="str">
        <f aca="false">IF($B111="","",IFERROR(IF(INDEX('NHẬP ĐƠN HÀNG'!$G$6:$G$505,MATCH($B111,'NHẬP ĐƠN HÀNG'!$C$6:$C$505,0))="","",INDEX('NHẬP ĐƠN HÀNG'!$G$6:$G$505,MATCH($B111,'NHẬP ĐƠN HÀNG'!$C$6:$C$505,0))),""))</f>
        <v/>
      </c>
      <c r="G111" s="10" t="str">
        <f aca="false">IF($B111="","",COUNTIFS('NHẬP ĐƠN HÀNG'!$C$6:$C$505,$B111,'NHẬP ĐƠN HÀNG'!$L$6:$L$505,"&gt;0"))</f>
        <v/>
      </c>
      <c r="H111" s="10" t="str">
        <f aca="false">IF($B111="","",SUMIF('NHẬP ĐƠN HÀNG'!$C$6:$C$505,$B111,'NHẬP ĐƠN HÀNG'!$L$6:$L$505))</f>
        <v/>
      </c>
      <c r="I111" s="10" t="str">
        <f aca="false">IF($B111="","",SUMIF('NHẬP ĐƠN HÀNG'!$C$6:$C$505,$B111,'NHẬP ĐƠN HÀNG'!$P$6:$P$505))</f>
        <v/>
      </c>
      <c r="J111" s="10" t="str">
        <f aca="false">IF($B111="","",SUMIF('NHẬP ĐƠN HÀNG'!$C$6:$C$505,$B111,'NHẬP ĐƠN HÀNG'!$Q$6:$Q$505))</f>
        <v/>
      </c>
      <c r="K111" s="10" t="str">
        <f aca="false">IF($B111="","",SUMIF('NHẬP ĐƠN HÀNG'!$C$6:$C$505,$B111,'NHẬP ĐƠN HÀNG'!$R$6:$R$505))</f>
        <v/>
      </c>
      <c r="L111" s="10" t="str">
        <f aca="false">IF($B111="","",SUMIF('NHẬP ĐƠN HÀNG'!$C$6:$C$505,$B111,'NHẬP ĐƠN HÀNG'!$U$6:$U$505))</f>
        <v/>
      </c>
      <c r="M111" s="34" t="str">
        <f aca="false">IF($B111="","",IF(SUMPRODUCT(MAX(('NHẬP ĐƠN HÀNG'!$C$6:$C$505=$B111)*'NHẬP ĐƠN HÀNG'!$B$6:$B$505))=0,"",SUMPRODUCT(MAX(('NHẬP ĐƠN HÀNG'!$C$6:$C$505=$B111)*'NHẬP ĐƠN HÀNG'!$B$6:$B$505))))</f>
        <v/>
      </c>
      <c r="N111" s="16" t="str">
        <f aca="false">IF($B111="","",IF($G111=0,"Chưa có đơn",IF(COUNTIFS('NHẬP ĐƠN HÀNG'!$C$6:$C$505,$B111,'NHẬP ĐƠN HÀNG'!$N$6:$N$505,"&gt;0")&gt;0,"Có lấy VAT","Không lấy VAT")))</f>
        <v/>
      </c>
    </row>
    <row r="112" customFormat="false" ht="15" hidden="false" customHeight="false" outlineLevel="0" collapsed="false">
      <c r="A112" s="16" t="str">
        <f aca="false">IF($B112="","",107)</f>
        <v/>
      </c>
      <c r="B112" s="16" t="str">
        <f aca="false">IFERROR(INDEX('NHẬP ĐƠN HÀNG'!$C$6:$C$505,MATCH(107,'NHẬP ĐƠN HÀNG'!$AB$6:$AB$505,0)),"")</f>
        <v/>
      </c>
      <c r="C112" s="16" t="str">
        <f aca="false">IF($B112="","",IFERROR(IF(INDEX('NHẬP ĐƠN HÀNG'!$D$6:$D$505,MATCH($B112,'NHẬP ĐƠN HÀNG'!$C$6:$C$505,0))="","",INDEX('NHẬP ĐƠN HÀNG'!$D$6:$D$505,MATCH($B112,'NHẬP ĐƠN HÀNG'!$C$6:$C$505,0))),""))</f>
        <v/>
      </c>
      <c r="D112" s="16" t="str">
        <f aca="false">IF($B112="","",IFERROR(IF(INDEX('NHẬP ĐƠN HÀNG'!$E$6:$E$505,MATCH($B112,'NHẬP ĐƠN HÀNG'!$C$6:$C$505,0))="","",INDEX('NHẬP ĐƠN HÀNG'!$E$6:$E$505,MATCH($B112,'NHẬP ĐƠN HÀNG'!$C$6:$C$505,0))),""))</f>
        <v/>
      </c>
      <c r="E112" s="16" t="str">
        <f aca="false">IF($B112="","",IFERROR(IF(INDEX('NHẬP ĐƠN HÀNG'!$F$6:$F$505,MATCH($B112,'NHẬP ĐƠN HÀNG'!$C$6:$C$505,0))="","",INDEX('NHẬP ĐƠN HÀNG'!$F$6:$F$505,MATCH($B112,'NHẬP ĐƠN HÀNG'!$C$6:$C$505,0))),""))</f>
        <v/>
      </c>
      <c r="F112" s="16" t="str">
        <f aca="false">IF($B112="","",IFERROR(IF(INDEX('NHẬP ĐƠN HÀNG'!$G$6:$G$505,MATCH($B112,'NHẬP ĐƠN HÀNG'!$C$6:$C$505,0))="","",INDEX('NHẬP ĐƠN HÀNG'!$G$6:$G$505,MATCH($B112,'NHẬP ĐƠN HÀNG'!$C$6:$C$505,0))),""))</f>
        <v/>
      </c>
      <c r="G112" s="10" t="str">
        <f aca="false">IF($B112="","",COUNTIFS('NHẬP ĐƠN HÀNG'!$C$6:$C$505,$B112,'NHẬP ĐƠN HÀNG'!$L$6:$L$505,"&gt;0"))</f>
        <v/>
      </c>
      <c r="H112" s="10" t="str">
        <f aca="false">IF($B112="","",SUMIF('NHẬP ĐƠN HÀNG'!$C$6:$C$505,$B112,'NHẬP ĐƠN HÀNG'!$L$6:$L$505))</f>
        <v/>
      </c>
      <c r="I112" s="10" t="str">
        <f aca="false">IF($B112="","",SUMIF('NHẬP ĐƠN HÀNG'!$C$6:$C$505,$B112,'NHẬP ĐƠN HÀNG'!$P$6:$P$505))</f>
        <v/>
      </c>
      <c r="J112" s="10" t="str">
        <f aca="false">IF($B112="","",SUMIF('NHẬP ĐƠN HÀNG'!$C$6:$C$505,$B112,'NHẬP ĐƠN HÀNG'!$Q$6:$Q$505))</f>
        <v/>
      </c>
      <c r="K112" s="10" t="str">
        <f aca="false">IF($B112="","",SUMIF('NHẬP ĐƠN HÀNG'!$C$6:$C$505,$B112,'NHẬP ĐƠN HÀNG'!$R$6:$R$505))</f>
        <v/>
      </c>
      <c r="L112" s="10" t="str">
        <f aca="false">IF($B112="","",SUMIF('NHẬP ĐƠN HÀNG'!$C$6:$C$505,$B112,'NHẬP ĐƠN HÀNG'!$U$6:$U$505))</f>
        <v/>
      </c>
      <c r="M112" s="34" t="str">
        <f aca="false">IF($B112="","",IF(SUMPRODUCT(MAX(('NHẬP ĐƠN HÀNG'!$C$6:$C$505=$B112)*'NHẬP ĐƠN HÀNG'!$B$6:$B$505))=0,"",SUMPRODUCT(MAX(('NHẬP ĐƠN HÀNG'!$C$6:$C$505=$B112)*'NHẬP ĐƠN HÀNG'!$B$6:$B$505))))</f>
        <v/>
      </c>
      <c r="N112" s="16" t="str">
        <f aca="false">IF($B112="","",IF($G112=0,"Chưa có đơn",IF(COUNTIFS('NHẬP ĐƠN HÀNG'!$C$6:$C$505,$B112,'NHẬP ĐƠN HÀNG'!$N$6:$N$505,"&gt;0")&gt;0,"Có lấy VAT","Không lấy VAT")))</f>
        <v/>
      </c>
    </row>
    <row r="113" customFormat="false" ht="15" hidden="false" customHeight="false" outlineLevel="0" collapsed="false">
      <c r="A113" s="16" t="str">
        <f aca="false">IF($B113="","",108)</f>
        <v/>
      </c>
      <c r="B113" s="16" t="str">
        <f aca="false">IFERROR(INDEX('NHẬP ĐƠN HÀNG'!$C$6:$C$505,MATCH(108,'NHẬP ĐƠN HÀNG'!$AB$6:$AB$505,0)),"")</f>
        <v/>
      </c>
      <c r="C113" s="16" t="str">
        <f aca="false">IF($B113="","",IFERROR(IF(INDEX('NHẬP ĐƠN HÀNG'!$D$6:$D$505,MATCH($B113,'NHẬP ĐƠN HÀNG'!$C$6:$C$505,0))="","",INDEX('NHẬP ĐƠN HÀNG'!$D$6:$D$505,MATCH($B113,'NHẬP ĐƠN HÀNG'!$C$6:$C$505,0))),""))</f>
        <v/>
      </c>
      <c r="D113" s="16" t="str">
        <f aca="false">IF($B113="","",IFERROR(IF(INDEX('NHẬP ĐƠN HÀNG'!$E$6:$E$505,MATCH($B113,'NHẬP ĐƠN HÀNG'!$C$6:$C$505,0))="","",INDEX('NHẬP ĐƠN HÀNG'!$E$6:$E$505,MATCH($B113,'NHẬP ĐƠN HÀNG'!$C$6:$C$505,0))),""))</f>
        <v/>
      </c>
      <c r="E113" s="16" t="str">
        <f aca="false">IF($B113="","",IFERROR(IF(INDEX('NHẬP ĐƠN HÀNG'!$F$6:$F$505,MATCH($B113,'NHẬP ĐƠN HÀNG'!$C$6:$C$505,0))="","",INDEX('NHẬP ĐƠN HÀNG'!$F$6:$F$505,MATCH($B113,'NHẬP ĐƠN HÀNG'!$C$6:$C$505,0))),""))</f>
        <v/>
      </c>
      <c r="F113" s="16" t="str">
        <f aca="false">IF($B113="","",IFERROR(IF(INDEX('NHẬP ĐƠN HÀNG'!$G$6:$G$505,MATCH($B113,'NHẬP ĐƠN HÀNG'!$C$6:$C$505,0))="","",INDEX('NHẬP ĐƠN HÀNG'!$G$6:$G$505,MATCH($B113,'NHẬP ĐƠN HÀNG'!$C$6:$C$505,0))),""))</f>
        <v/>
      </c>
      <c r="G113" s="10" t="str">
        <f aca="false">IF($B113="","",COUNTIFS('NHẬP ĐƠN HÀNG'!$C$6:$C$505,$B113,'NHẬP ĐƠN HÀNG'!$L$6:$L$505,"&gt;0"))</f>
        <v/>
      </c>
      <c r="H113" s="10" t="str">
        <f aca="false">IF($B113="","",SUMIF('NHẬP ĐƠN HÀNG'!$C$6:$C$505,$B113,'NHẬP ĐƠN HÀNG'!$L$6:$L$505))</f>
        <v/>
      </c>
      <c r="I113" s="10" t="str">
        <f aca="false">IF($B113="","",SUMIF('NHẬP ĐƠN HÀNG'!$C$6:$C$505,$B113,'NHẬP ĐƠN HÀNG'!$P$6:$P$505))</f>
        <v/>
      </c>
      <c r="J113" s="10" t="str">
        <f aca="false">IF($B113="","",SUMIF('NHẬP ĐƠN HÀNG'!$C$6:$C$505,$B113,'NHẬP ĐƠN HÀNG'!$Q$6:$Q$505))</f>
        <v/>
      </c>
      <c r="K113" s="10" t="str">
        <f aca="false">IF($B113="","",SUMIF('NHẬP ĐƠN HÀNG'!$C$6:$C$505,$B113,'NHẬP ĐƠN HÀNG'!$R$6:$R$505))</f>
        <v/>
      </c>
      <c r="L113" s="10" t="str">
        <f aca="false">IF($B113="","",SUMIF('NHẬP ĐƠN HÀNG'!$C$6:$C$505,$B113,'NHẬP ĐƠN HÀNG'!$U$6:$U$505))</f>
        <v/>
      </c>
      <c r="M113" s="34" t="str">
        <f aca="false">IF($B113="","",IF(SUMPRODUCT(MAX(('NHẬP ĐƠN HÀNG'!$C$6:$C$505=$B113)*'NHẬP ĐƠN HÀNG'!$B$6:$B$505))=0,"",SUMPRODUCT(MAX(('NHẬP ĐƠN HÀNG'!$C$6:$C$505=$B113)*'NHẬP ĐƠN HÀNG'!$B$6:$B$505))))</f>
        <v/>
      </c>
      <c r="N113" s="16" t="str">
        <f aca="false">IF($B113="","",IF($G113=0,"Chưa có đơn",IF(COUNTIFS('NHẬP ĐƠN HÀNG'!$C$6:$C$505,$B113,'NHẬP ĐƠN HÀNG'!$N$6:$N$505,"&gt;0")&gt;0,"Có lấy VAT","Không lấy VAT")))</f>
        <v/>
      </c>
    </row>
    <row r="114" customFormat="false" ht="15" hidden="false" customHeight="false" outlineLevel="0" collapsed="false">
      <c r="A114" s="16" t="str">
        <f aca="false">IF($B114="","",109)</f>
        <v/>
      </c>
      <c r="B114" s="16" t="str">
        <f aca="false">IFERROR(INDEX('NHẬP ĐƠN HÀNG'!$C$6:$C$505,MATCH(109,'NHẬP ĐƠN HÀNG'!$AB$6:$AB$505,0)),"")</f>
        <v/>
      </c>
      <c r="C114" s="16" t="str">
        <f aca="false">IF($B114="","",IFERROR(IF(INDEX('NHẬP ĐƠN HÀNG'!$D$6:$D$505,MATCH($B114,'NHẬP ĐƠN HÀNG'!$C$6:$C$505,0))="","",INDEX('NHẬP ĐƠN HÀNG'!$D$6:$D$505,MATCH($B114,'NHẬP ĐƠN HÀNG'!$C$6:$C$505,0))),""))</f>
        <v/>
      </c>
      <c r="D114" s="16" t="str">
        <f aca="false">IF($B114="","",IFERROR(IF(INDEX('NHẬP ĐƠN HÀNG'!$E$6:$E$505,MATCH($B114,'NHẬP ĐƠN HÀNG'!$C$6:$C$505,0))="","",INDEX('NHẬP ĐƠN HÀNG'!$E$6:$E$505,MATCH($B114,'NHẬP ĐƠN HÀNG'!$C$6:$C$505,0))),""))</f>
        <v/>
      </c>
      <c r="E114" s="16" t="str">
        <f aca="false">IF($B114="","",IFERROR(IF(INDEX('NHẬP ĐƠN HÀNG'!$F$6:$F$505,MATCH($B114,'NHẬP ĐƠN HÀNG'!$C$6:$C$505,0))="","",INDEX('NHẬP ĐƠN HÀNG'!$F$6:$F$505,MATCH($B114,'NHẬP ĐƠN HÀNG'!$C$6:$C$505,0))),""))</f>
        <v/>
      </c>
      <c r="F114" s="16" t="str">
        <f aca="false">IF($B114="","",IFERROR(IF(INDEX('NHẬP ĐƠN HÀNG'!$G$6:$G$505,MATCH($B114,'NHẬP ĐƠN HÀNG'!$C$6:$C$505,0))="","",INDEX('NHẬP ĐƠN HÀNG'!$G$6:$G$505,MATCH($B114,'NHẬP ĐƠN HÀNG'!$C$6:$C$505,0))),""))</f>
        <v/>
      </c>
      <c r="G114" s="10" t="str">
        <f aca="false">IF($B114="","",COUNTIFS('NHẬP ĐƠN HÀNG'!$C$6:$C$505,$B114,'NHẬP ĐƠN HÀNG'!$L$6:$L$505,"&gt;0"))</f>
        <v/>
      </c>
      <c r="H114" s="10" t="str">
        <f aca="false">IF($B114="","",SUMIF('NHẬP ĐƠN HÀNG'!$C$6:$C$505,$B114,'NHẬP ĐƠN HÀNG'!$L$6:$L$505))</f>
        <v/>
      </c>
      <c r="I114" s="10" t="str">
        <f aca="false">IF($B114="","",SUMIF('NHẬP ĐƠN HÀNG'!$C$6:$C$505,$B114,'NHẬP ĐƠN HÀNG'!$P$6:$P$505))</f>
        <v/>
      </c>
      <c r="J114" s="10" t="str">
        <f aca="false">IF($B114="","",SUMIF('NHẬP ĐƠN HÀNG'!$C$6:$C$505,$B114,'NHẬP ĐƠN HÀNG'!$Q$6:$Q$505))</f>
        <v/>
      </c>
      <c r="K114" s="10" t="str">
        <f aca="false">IF($B114="","",SUMIF('NHẬP ĐƠN HÀNG'!$C$6:$C$505,$B114,'NHẬP ĐƠN HÀNG'!$R$6:$R$505))</f>
        <v/>
      </c>
      <c r="L114" s="10" t="str">
        <f aca="false">IF($B114="","",SUMIF('NHẬP ĐƠN HÀNG'!$C$6:$C$505,$B114,'NHẬP ĐƠN HÀNG'!$U$6:$U$505))</f>
        <v/>
      </c>
      <c r="M114" s="34" t="str">
        <f aca="false">IF($B114="","",IF(SUMPRODUCT(MAX(('NHẬP ĐƠN HÀNG'!$C$6:$C$505=$B114)*'NHẬP ĐƠN HÀNG'!$B$6:$B$505))=0,"",SUMPRODUCT(MAX(('NHẬP ĐƠN HÀNG'!$C$6:$C$505=$B114)*'NHẬP ĐƠN HÀNG'!$B$6:$B$505))))</f>
        <v/>
      </c>
      <c r="N114" s="16" t="str">
        <f aca="false">IF($B114="","",IF($G114=0,"Chưa có đơn",IF(COUNTIFS('NHẬP ĐƠN HÀNG'!$C$6:$C$505,$B114,'NHẬP ĐƠN HÀNG'!$N$6:$N$505,"&gt;0")&gt;0,"Có lấy VAT","Không lấy VAT")))</f>
        <v/>
      </c>
    </row>
    <row r="115" customFormat="false" ht="15" hidden="false" customHeight="false" outlineLevel="0" collapsed="false">
      <c r="A115" s="16" t="str">
        <f aca="false">IF($B115="","",110)</f>
        <v/>
      </c>
      <c r="B115" s="16" t="str">
        <f aca="false">IFERROR(INDEX('NHẬP ĐƠN HÀNG'!$C$6:$C$505,MATCH(110,'NHẬP ĐƠN HÀNG'!$AB$6:$AB$505,0)),"")</f>
        <v/>
      </c>
      <c r="C115" s="16" t="str">
        <f aca="false">IF($B115="","",IFERROR(IF(INDEX('NHẬP ĐƠN HÀNG'!$D$6:$D$505,MATCH($B115,'NHẬP ĐƠN HÀNG'!$C$6:$C$505,0))="","",INDEX('NHẬP ĐƠN HÀNG'!$D$6:$D$505,MATCH($B115,'NHẬP ĐƠN HÀNG'!$C$6:$C$505,0))),""))</f>
        <v/>
      </c>
      <c r="D115" s="16" t="str">
        <f aca="false">IF($B115="","",IFERROR(IF(INDEX('NHẬP ĐƠN HÀNG'!$E$6:$E$505,MATCH($B115,'NHẬP ĐƠN HÀNG'!$C$6:$C$505,0))="","",INDEX('NHẬP ĐƠN HÀNG'!$E$6:$E$505,MATCH($B115,'NHẬP ĐƠN HÀNG'!$C$6:$C$505,0))),""))</f>
        <v/>
      </c>
      <c r="E115" s="16" t="str">
        <f aca="false">IF($B115="","",IFERROR(IF(INDEX('NHẬP ĐƠN HÀNG'!$F$6:$F$505,MATCH($B115,'NHẬP ĐƠN HÀNG'!$C$6:$C$505,0))="","",INDEX('NHẬP ĐƠN HÀNG'!$F$6:$F$505,MATCH($B115,'NHẬP ĐƠN HÀNG'!$C$6:$C$505,0))),""))</f>
        <v/>
      </c>
      <c r="F115" s="16" t="str">
        <f aca="false">IF($B115="","",IFERROR(IF(INDEX('NHẬP ĐƠN HÀNG'!$G$6:$G$505,MATCH($B115,'NHẬP ĐƠN HÀNG'!$C$6:$C$505,0))="","",INDEX('NHẬP ĐƠN HÀNG'!$G$6:$G$505,MATCH($B115,'NHẬP ĐƠN HÀNG'!$C$6:$C$505,0))),""))</f>
        <v/>
      </c>
      <c r="G115" s="10" t="str">
        <f aca="false">IF($B115="","",COUNTIFS('NHẬP ĐƠN HÀNG'!$C$6:$C$505,$B115,'NHẬP ĐƠN HÀNG'!$L$6:$L$505,"&gt;0"))</f>
        <v/>
      </c>
      <c r="H115" s="10" t="str">
        <f aca="false">IF($B115="","",SUMIF('NHẬP ĐƠN HÀNG'!$C$6:$C$505,$B115,'NHẬP ĐƠN HÀNG'!$L$6:$L$505))</f>
        <v/>
      </c>
      <c r="I115" s="10" t="str">
        <f aca="false">IF($B115="","",SUMIF('NHẬP ĐƠN HÀNG'!$C$6:$C$505,$B115,'NHẬP ĐƠN HÀNG'!$P$6:$P$505))</f>
        <v/>
      </c>
      <c r="J115" s="10" t="str">
        <f aca="false">IF($B115="","",SUMIF('NHẬP ĐƠN HÀNG'!$C$6:$C$505,$B115,'NHẬP ĐƠN HÀNG'!$Q$6:$Q$505))</f>
        <v/>
      </c>
      <c r="K115" s="10" t="str">
        <f aca="false">IF($B115="","",SUMIF('NHẬP ĐƠN HÀNG'!$C$6:$C$505,$B115,'NHẬP ĐƠN HÀNG'!$R$6:$R$505))</f>
        <v/>
      </c>
      <c r="L115" s="10" t="str">
        <f aca="false">IF($B115="","",SUMIF('NHẬP ĐƠN HÀNG'!$C$6:$C$505,$B115,'NHẬP ĐƠN HÀNG'!$U$6:$U$505))</f>
        <v/>
      </c>
      <c r="M115" s="34" t="str">
        <f aca="false">IF($B115="","",IF(SUMPRODUCT(MAX(('NHẬP ĐƠN HÀNG'!$C$6:$C$505=$B115)*'NHẬP ĐƠN HÀNG'!$B$6:$B$505))=0,"",SUMPRODUCT(MAX(('NHẬP ĐƠN HÀNG'!$C$6:$C$505=$B115)*'NHẬP ĐƠN HÀNG'!$B$6:$B$505))))</f>
        <v/>
      </c>
      <c r="N115" s="16" t="str">
        <f aca="false">IF($B115="","",IF($G115=0,"Chưa có đơn",IF(COUNTIFS('NHẬP ĐƠN HÀNG'!$C$6:$C$505,$B115,'NHẬP ĐƠN HÀNG'!$N$6:$N$505,"&gt;0")&gt;0,"Có lấy VAT","Không lấy VAT")))</f>
        <v/>
      </c>
    </row>
    <row r="116" customFormat="false" ht="15" hidden="false" customHeight="false" outlineLevel="0" collapsed="false">
      <c r="A116" s="16" t="str">
        <f aca="false">IF($B116="","",111)</f>
        <v/>
      </c>
      <c r="B116" s="16" t="str">
        <f aca="false">IFERROR(INDEX('NHẬP ĐƠN HÀNG'!$C$6:$C$505,MATCH(111,'NHẬP ĐƠN HÀNG'!$AB$6:$AB$505,0)),"")</f>
        <v/>
      </c>
      <c r="C116" s="16" t="str">
        <f aca="false">IF($B116="","",IFERROR(IF(INDEX('NHẬP ĐƠN HÀNG'!$D$6:$D$505,MATCH($B116,'NHẬP ĐƠN HÀNG'!$C$6:$C$505,0))="","",INDEX('NHẬP ĐƠN HÀNG'!$D$6:$D$505,MATCH($B116,'NHẬP ĐƠN HÀNG'!$C$6:$C$505,0))),""))</f>
        <v/>
      </c>
      <c r="D116" s="16" t="str">
        <f aca="false">IF($B116="","",IFERROR(IF(INDEX('NHẬP ĐƠN HÀNG'!$E$6:$E$505,MATCH($B116,'NHẬP ĐƠN HÀNG'!$C$6:$C$505,0))="","",INDEX('NHẬP ĐƠN HÀNG'!$E$6:$E$505,MATCH($B116,'NHẬP ĐƠN HÀNG'!$C$6:$C$505,0))),""))</f>
        <v/>
      </c>
      <c r="E116" s="16" t="str">
        <f aca="false">IF($B116="","",IFERROR(IF(INDEX('NHẬP ĐƠN HÀNG'!$F$6:$F$505,MATCH($B116,'NHẬP ĐƠN HÀNG'!$C$6:$C$505,0))="","",INDEX('NHẬP ĐƠN HÀNG'!$F$6:$F$505,MATCH($B116,'NHẬP ĐƠN HÀNG'!$C$6:$C$505,0))),""))</f>
        <v/>
      </c>
      <c r="F116" s="16" t="str">
        <f aca="false">IF($B116="","",IFERROR(IF(INDEX('NHẬP ĐƠN HÀNG'!$G$6:$G$505,MATCH($B116,'NHẬP ĐƠN HÀNG'!$C$6:$C$505,0))="","",INDEX('NHẬP ĐƠN HÀNG'!$G$6:$G$505,MATCH($B116,'NHẬP ĐƠN HÀNG'!$C$6:$C$505,0))),""))</f>
        <v/>
      </c>
      <c r="G116" s="10" t="str">
        <f aca="false">IF($B116="","",COUNTIFS('NHẬP ĐƠN HÀNG'!$C$6:$C$505,$B116,'NHẬP ĐƠN HÀNG'!$L$6:$L$505,"&gt;0"))</f>
        <v/>
      </c>
      <c r="H116" s="10" t="str">
        <f aca="false">IF($B116="","",SUMIF('NHẬP ĐƠN HÀNG'!$C$6:$C$505,$B116,'NHẬP ĐƠN HÀNG'!$L$6:$L$505))</f>
        <v/>
      </c>
      <c r="I116" s="10" t="str">
        <f aca="false">IF($B116="","",SUMIF('NHẬP ĐƠN HÀNG'!$C$6:$C$505,$B116,'NHẬP ĐƠN HÀNG'!$P$6:$P$505))</f>
        <v/>
      </c>
      <c r="J116" s="10" t="str">
        <f aca="false">IF($B116="","",SUMIF('NHẬP ĐƠN HÀNG'!$C$6:$C$505,$B116,'NHẬP ĐƠN HÀNG'!$Q$6:$Q$505))</f>
        <v/>
      </c>
      <c r="K116" s="10" t="str">
        <f aca="false">IF($B116="","",SUMIF('NHẬP ĐƠN HÀNG'!$C$6:$C$505,$B116,'NHẬP ĐƠN HÀNG'!$R$6:$R$505))</f>
        <v/>
      </c>
      <c r="L116" s="10" t="str">
        <f aca="false">IF($B116="","",SUMIF('NHẬP ĐƠN HÀNG'!$C$6:$C$505,$B116,'NHẬP ĐƠN HÀNG'!$U$6:$U$505))</f>
        <v/>
      </c>
      <c r="M116" s="34" t="str">
        <f aca="false">IF($B116="","",IF(SUMPRODUCT(MAX(('NHẬP ĐƠN HÀNG'!$C$6:$C$505=$B116)*'NHẬP ĐƠN HÀNG'!$B$6:$B$505))=0,"",SUMPRODUCT(MAX(('NHẬP ĐƠN HÀNG'!$C$6:$C$505=$B116)*'NHẬP ĐƠN HÀNG'!$B$6:$B$505))))</f>
        <v/>
      </c>
      <c r="N116" s="16" t="str">
        <f aca="false">IF($B116="","",IF($G116=0,"Chưa có đơn",IF(COUNTIFS('NHẬP ĐƠN HÀNG'!$C$6:$C$505,$B116,'NHẬP ĐƠN HÀNG'!$N$6:$N$505,"&gt;0")&gt;0,"Có lấy VAT","Không lấy VAT")))</f>
        <v/>
      </c>
    </row>
    <row r="117" customFormat="false" ht="15" hidden="false" customHeight="false" outlineLevel="0" collapsed="false">
      <c r="A117" s="16" t="str">
        <f aca="false">IF($B117="","",112)</f>
        <v/>
      </c>
      <c r="B117" s="16" t="str">
        <f aca="false">IFERROR(INDEX('NHẬP ĐƠN HÀNG'!$C$6:$C$505,MATCH(112,'NHẬP ĐƠN HÀNG'!$AB$6:$AB$505,0)),"")</f>
        <v/>
      </c>
      <c r="C117" s="16" t="str">
        <f aca="false">IF($B117="","",IFERROR(IF(INDEX('NHẬP ĐƠN HÀNG'!$D$6:$D$505,MATCH($B117,'NHẬP ĐƠN HÀNG'!$C$6:$C$505,0))="","",INDEX('NHẬP ĐƠN HÀNG'!$D$6:$D$505,MATCH($B117,'NHẬP ĐƠN HÀNG'!$C$6:$C$505,0))),""))</f>
        <v/>
      </c>
      <c r="D117" s="16" t="str">
        <f aca="false">IF($B117="","",IFERROR(IF(INDEX('NHẬP ĐƠN HÀNG'!$E$6:$E$505,MATCH($B117,'NHẬP ĐƠN HÀNG'!$C$6:$C$505,0))="","",INDEX('NHẬP ĐƠN HÀNG'!$E$6:$E$505,MATCH($B117,'NHẬP ĐƠN HÀNG'!$C$6:$C$505,0))),""))</f>
        <v/>
      </c>
      <c r="E117" s="16" t="str">
        <f aca="false">IF($B117="","",IFERROR(IF(INDEX('NHẬP ĐƠN HÀNG'!$F$6:$F$505,MATCH($B117,'NHẬP ĐƠN HÀNG'!$C$6:$C$505,0))="","",INDEX('NHẬP ĐƠN HÀNG'!$F$6:$F$505,MATCH($B117,'NHẬP ĐƠN HÀNG'!$C$6:$C$505,0))),""))</f>
        <v/>
      </c>
      <c r="F117" s="16" t="str">
        <f aca="false">IF($B117="","",IFERROR(IF(INDEX('NHẬP ĐƠN HÀNG'!$G$6:$G$505,MATCH($B117,'NHẬP ĐƠN HÀNG'!$C$6:$C$505,0))="","",INDEX('NHẬP ĐƠN HÀNG'!$G$6:$G$505,MATCH($B117,'NHẬP ĐƠN HÀNG'!$C$6:$C$505,0))),""))</f>
        <v/>
      </c>
      <c r="G117" s="10" t="str">
        <f aca="false">IF($B117="","",COUNTIFS('NHẬP ĐƠN HÀNG'!$C$6:$C$505,$B117,'NHẬP ĐƠN HÀNG'!$L$6:$L$505,"&gt;0"))</f>
        <v/>
      </c>
      <c r="H117" s="10" t="str">
        <f aca="false">IF($B117="","",SUMIF('NHẬP ĐƠN HÀNG'!$C$6:$C$505,$B117,'NHẬP ĐƠN HÀNG'!$L$6:$L$505))</f>
        <v/>
      </c>
      <c r="I117" s="10" t="str">
        <f aca="false">IF($B117="","",SUMIF('NHẬP ĐƠN HÀNG'!$C$6:$C$505,$B117,'NHẬP ĐƠN HÀNG'!$P$6:$P$505))</f>
        <v/>
      </c>
      <c r="J117" s="10" t="str">
        <f aca="false">IF($B117="","",SUMIF('NHẬP ĐƠN HÀNG'!$C$6:$C$505,$B117,'NHẬP ĐƠN HÀNG'!$Q$6:$Q$505))</f>
        <v/>
      </c>
      <c r="K117" s="10" t="str">
        <f aca="false">IF($B117="","",SUMIF('NHẬP ĐƠN HÀNG'!$C$6:$C$505,$B117,'NHẬP ĐƠN HÀNG'!$R$6:$R$505))</f>
        <v/>
      </c>
      <c r="L117" s="10" t="str">
        <f aca="false">IF($B117="","",SUMIF('NHẬP ĐƠN HÀNG'!$C$6:$C$505,$B117,'NHẬP ĐƠN HÀNG'!$U$6:$U$505))</f>
        <v/>
      </c>
      <c r="M117" s="34" t="str">
        <f aca="false">IF($B117="","",IF(SUMPRODUCT(MAX(('NHẬP ĐƠN HÀNG'!$C$6:$C$505=$B117)*'NHẬP ĐƠN HÀNG'!$B$6:$B$505))=0,"",SUMPRODUCT(MAX(('NHẬP ĐƠN HÀNG'!$C$6:$C$505=$B117)*'NHẬP ĐƠN HÀNG'!$B$6:$B$505))))</f>
        <v/>
      </c>
      <c r="N117" s="16" t="str">
        <f aca="false">IF($B117="","",IF($G117=0,"Chưa có đơn",IF(COUNTIFS('NHẬP ĐƠN HÀNG'!$C$6:$C$505,$B117,'NHẬP ĐƠN HÀNG'!$N$6:$N$505,"&gt;0")&gt;0,"Có lấy VAT","Không lấy VAT")))</f>
        <v/>
      </c>
    </row>
    <row r="118" customFormat="false" ht="15" hidden="false" customHeight="false" outlineLevel="0" collapsed="false">
      <c r="A118" s="16" t="str">
        <f aca="false">IF($B118="","",113)</f>
        <v/>
      </c>
      <c r="B118" s="16" t="str">
        <f aca="false">IFERROR(INDEX('NHẬP ĐƠN HÀNG'!$C$6:$C$505,MATCH(113,'NHẬP ĐƠN HÀNG'!$AB$6:$AB$505,0)),"")</f>
        <v/>
      </c>
      <c r="C118" s="16" t="str">
        <f aca="false">IF($B118="","",IFERROR(IF(INDEX('NHẬP ĐƠN HÀNG'!$D$6:$D$505,MATCH($B118,'NHẬP ĐƠN HÀNG'!$C$6:$C$505,0))="","",INDEX('NHẬP ĐƠN HÀNG'!$D$6:$D$505,MATCH($B118,'NHẬP ĐƠN HÀNG'!$C$6:$C$505,0))),""))</f>
        <v/>
      </c>
      <c r="D118" s="16" t="str">
        <f aca="false">IF($B118="","",IFERROR(IF(INDEX('NHẬP ĐƠN HÀNG'!$E$6:$E$505,MATCH($B118,'NHẬP ĐƠN HÀNG'!$C$6:$C$505,0))="","",INDEX('NHẬP ĐƠN HÀNG'!$E$6:$E$505,MATCH($B118,'NHẬP ĐƠN HÀNG'!$C$6:$C$505,0))),""))</f>
        <v/>
      </c>
      <c r="E118" s="16" t="str">
        <f aca="false">IF($B118="","",IFERROR(IF(INDEX('NHẬP ĐƠN HÀNG'!$F$6:$F$505,MATCH($B118,'NHẬP ĐƠN HÀNG'!$C$6:$C$505,0))="","",INDEX('NHẬP ĐƠN HÀNG'!$F$6:$F$505,MATCH($B118,'NHẬP ĐƠN HÀNG'!$C$6:$C$505,0))),""))</f>
        <v/>
      </c>
      <c r="F118" s="16" t="str">
        <f aca="false">IF($B118="","",IFERROR(IF(INDEX('NHẬP ĐƠN HÀNG'!$G$6:$G$505,MATCH($B118,'NHẬP ĐƠN HÀNG'!$C$6:$C$505,0))="","",INDEX('NHẬP ĐƠN HÀNG'!$G$6:$G$505,MATCH($B118,'NHẬP ĐƠN HÀNG'!$C$6:$C$505,0))),""))</f>
        <v/>
      </c>
      <c r="G118" s="10" t="str">
        <f aca="false">IF($B118="","",COUNTIFS('NHẬP ĐƠN HÀNG'!$C$6:$C$505,$B118,'NHẬP ĐƠN HÀNG'!$L$6:$L$505,"&gt;0"))</f>
        <v/>
      </c>
      <c r="H118" s="10" t="str">
        <f aca="false">IF($B118="","",SUMIF('NHẬP ĐƠN HÀNG'!$C$6:$C$505,$B118,'NHẬP ĐƠN HÀNG'!$L$6:$L$505))</f>
        <v/>
      </c>
      <c r="I118" s="10" t="str">
        <f aca="false">IF($B118="","",SUMIF('NHẬP ĐƠN HÀNG'!$C$6:$C$505,$B118,'NHẬP ĐƠN HÀNG'!$P$6:$P$505))</f>
        <v/>
      </c>
      <c r="J118" s="10" t="str">
        <f aca="false">IF($B118="","",SUMIF('NHẬP ĐƠN HÀNG'!$C$6:$C$505,$B118,'NHẬP ĐƠN HÀNG'!$Q$6:$Q$505))</f>
        <v/>
      </c>
      <c r="K118" s="10" t="str">
        <f aca="false">IF($B118="","",SUMIF('NHẬP ĐƠN HÀNG'!$C$6:$C$505,$B118,'NHẬP ĐƠN HÀNG'!$R$6:$R$505))</f>
        <v/>
      </c>
      <c r="L118" s="10" t="str">
        <f aca="false">IF($B118="","",SUMIF('NHẬP ĐƠN HÀNG'!$C$6:$C$505,$B118,'NHẬP ĐƠN HÀNG'!$U$6:$U$505))</f>
        <v/>
      </c>
      <c r="M118" s="34" t="str">
        <f aca="false">IF($B118="","",IF(SUMPRODUCT(MAX(('NHẬP ĐƠN HÀNG'!$C$6:$C$505=$B118)*'NHẬP ĐƠN HÀNG'!$B$6:$B$505))=0,"",SUMPRODUCT(MAX(('NHẬP ĐƠN HÀNG'!$C$6:$C$505=$B118)*'NHẬP ĐƠN HÀNG'!$B$6:$B$505))))</f>
        <v/>
      </c>
      <c r="N118" s="16" t="str">
        <f aca="false">IF($B118="","",IF($G118=0,"Chưa có đơn",IF(COUNTIFS('NHẬP ĐƠN HÀNG'!$C$6:$C$505,$B118,'NHẬP ĐƠN HÀNG'!$N$6:$N$505,"&gt;0")&gt;0,"Có lấy VAT","Không lấy VAT")))</f>
        <v/>
      </c>
    </row>
    <row r="119" customFormat="false" ht="15" hidden="false" customHeight="false" outlineLevel="0" collapsed="false">
      <c r="A119" s="16" t="str">
        <f aca="false">IF($B119="","",114)</f>
        <v/>
      </c>
      <c r="B119" s="16" t="str">
        <f aca="false">IFERROR(INDEX('NHẬP ĐƠN HÀNG'!$C$6:$C$505,MATCH(114,'NHẬP ĐƠN HÀNG'!$AB$6:$AB$505,0)),"")</f>
        <v/>
      </c>
      <c r="C119" s="16" t="str">
        <f aca="false">IF($B119="","",IFERROR(IF(INDEX('NHẬP ĐƠN HÀNG'!$D$6:$D$505,MATCH($B119,'NHẬP ĐƠN HÀNG'!$C$6:$C$505,0))="","",INDEX('NHẬP ĐƠN HÀNG'!$D$6:$D$505,MATCH($B119,'NHẬP ĐƠN HÀNG'!$C$6:$C$505,0))),""))</f>
        <v/>
      </c>
      <c r="D119" s="16" t="str">
        <f aca="false">IF($B119="","",IFERROR(IF(INDEX('NHẬP ĐƠN HÀNG'!$E$6:$E$505,MATCH($B119,'NHẬP ĐƠN HÀNG'!$C$6:$C$505,0))="","",INDEX('NHẬP ĐƠN HÀNG'!$E$6:$E$505,MATCH($B119,'NHẬP ĐƠN HÀNG'!$C$6:$C$505,0))),""))</f>
        <v/>
      </c>
      <c r="E119" s="16" t="str">
        <f aca="false">IF($B119="","",IFERROR(IF(INDEX('NHẬP ĐƠN HÀNG'!$F$6:$F$505,MATCH($B119,'NHẬP ĐƠN HÀNG'!$C$6:$C$505,0))="","",INDEX('NHẬP ĐƠN HÀNG'!$F$6:$F$505,MATCH($B119,'NHẬP ĐƠN HÀNG'!$C$6:$C$505,0))),""))</f>
        <v/>
      </c>
      <c r="F119" s="16" t="str">
        <f aca="false">IF($B119="","",IFERROR(IF(INDEX('NHẬP ĐƠN HÀNG'!$G$6:$G$505,MATCH($B119,'NHẬP ĐƠN HÀNG'!$C$6:$C$505,0))="","",INDEX('NHẬP ĐƠN HÀNG'!$G$6:$G$505,MATCH($B119,'NHẬP ĐƠN HÀNG'!$C$6:$C$505,0))),""))</f>
        <v/>
      </c>
      <c r="G119" s="10" t="str">
        <f aca="false">IF($B119="","",COUNTIFS('NHẬP ĐƠN HÀNG'!$C$6:$C$505,$B119,'NHẬP ĐƠN HÀNG'!$L$6:$L$505,"&gt;0"))</f>
        <v/>
      </c>
      <c r="H119" s="10" t="str">
        <f aca="false">IF($B119="","",SUMIF('NHẬP ĐƠN HÀNG'!$C$6:$C$505,$B119,'NHẬP ĐƠN HÀNG'!$L$6:$L$505))</f>
        <v/>
      </c>
      <c r="I119" s="10" t="str">
        <f aca="false">IF($B119="","",SUMIF('NHẬP ĐƠN HÀNG'!$C$6:$C$505,$B119,'NHẬP ĐƠN HÀNG'!$P$6:$P$505))</f>
        <v/>
      </c>
      <c r="J119" s="10" t="str">
        <f aca="false">IF($B119="","",SUMIF('NHẬP ĐƠN HÀNG'!$C$6:$C$505,$B119,'NHẬP ĐƠN HÀNG'!$Q$6:$Q$505))</f>
        <v/>
      </c>
      <c r="K119" s="10" t="str">
        <f aca="false">IF($B119="","",SUMIF('NHẬP ĐƠN HÀNG'!$C$6:$C$505,$B119,'NHẬP ĐƠN HÀNG'!$R$6:$R$505))</f>
        <v/>
      </c>
      <c r="L119" s="10" t="str">
        <f aca="false">IF($B119="","",SUMIF('NHẬP ĐƠN HÀNG'!$C$6:$C$505,$B119,'NHẬP ĐƠN HÀNG'!$U$6:$U$505))</f>
        <v/>
      </c>
      <c r="M119" s="34" t="str">
        <f aca="false">IF($B119="","",IF(SUMPRODUCT(MAX(('NHẬP ĐƠN HÀNG'!$C$6:$C$505=$B119)*'NHẬP ĐƠN HÀNG'!$B$6:$B$505))=0,"",SUMPRODUCT(MAX(('NHẬP ĐƠN HÀNG'!$C$6:$C$505=$B119)*'NHẬP ĐƠN HÀNG'!$B$6:$B$505))))</f>
        <v/>
      </c>
      <c r="N119" s="16" t="str">
        <f aca="false">IF($B119="","",IF($G119=0,"Chưa có đơn",IF(COUNTIFS('NHẬP ĐƠN HÀNG'!$C$6:$C$505,$B119,'NHẬP ĐƠN HÀNG'!$N$6:$N$505,"&gt;0")&gt;0,"Có lấy VAT","Không lấy VAT")))</f>
        <v/>
      </c>
    </row>
    <row r="120" customFormat="false" ht="15" hidden="false" customHeight="false" outlineLevel="0" collapsed="false">
      <c r="A120" s="16" t="str">
        <f aca="false">IF($B120="","",115)</f>
        <v/>
      </c>
      <c r="B120" s="16" t="str">
        <f aca="false">IFERROR(INDEX('NHẬP ĐƠN HÀNG'!$C$6:$C$505,MATCH(115,'NHẬP ĐƠN HÀNG'!$AB$6:$AB$505,0)),"")</f>
        <v/>
      </c>
      <c r="C120" s="16" t="str">
        <f aca="false">IF($B120="","",IFERROR(IF(INDEX('NHẬP ĐƠN HÀNG'!$D$6:$D$505,MATCH($B120,'NHẬP ĐƠN HÀNG'!$C$6:$C$505,0))="","",INDEX('NHẬP ĐƠN HÀNG'!$D$6:$D$505,MATCH($B120,'NHẬP ĐƠN HÀNG'!$C$6:$C$505,0))),""))</f>
        <v/>
      </c>
      <c r="D120" s="16" t="str">
        <f aca="false">IF($B120="","",IFERROR(IF(INDEX('NHẬP ĐƠN HÀNG'!$E$6:$E$505,MATCH($B120,'NHẬP ĐƠN HÀNG'!$C$6:$C$505,0))="","",INDEX('NHẬP ĐƠN HÀNG'!$E$6:$E$505,MATCH($B120,'NHẬP ĐƠN HÀNG'!$C$6:$C$505,0))),""))</f>
        <v/>
      </c>
      <c r="E120" s="16" t="str">
        <f aca="false">IF($B120="","",IFERROR(IF(INDEX('NHẬP ĐƠN HÀNG'!$F$6:$F$505,MATCH($B120,'NHẬP ĐƠN HÀNG'!$C$6:$C$505,0))="","",INDEX('NHẬP ĐƠN HÀNG'!$F$6:$F$505,MATCH($B120,'NHẬP ĐƠN HÀNG'!$C$6:$C$505,0))),""))</f>
        <v/>
      </c>
      <c r="F120" s="16" t="str">
        <f aca="false">IF($B120="","",IFERROR(IF(INDEX('NHẬP ĐƠN HÀNG'!$G$6:$G$505,MATCH($B120,'NHẬP ĐƠN HÀNG'!$C$6:$C$505,0))="","",INDEX('NHẬP ĐƠN HÀNG'!$G$6:$G$505,MATCH($B120,'NHẬP ĐƠN HÀNG'!$C$6:$C$505,0))),""))</f>
        <v/>
      </c>
      <c r="G120" s="10" t="str">
        <f aca="false">IF($B120="","",COUNTIFS('NHẬP ĐƠN HÀNG'!$C$6:$C$505,$B120,'NHẬP ĐƠN HÀNG'!$L$6:$L$505,"&gt;0"))</f>
        <v/>
      </c>
      <c r="H120" s="10" t="str">
        <f aca="false">IF($B120="","",SUMIF('NHẬP ĐƠN HÀNG'!$C$6:$C$505,$B120,'NHẬP ĐƠN HÀNG'!$L$6:$L$505))</f>
        <v/>
      </c>
      <c r="I120" s="10" t="str">
        <f aca="false">IF($B120="","",SUMIF('NHẬP ĐƠN HÀNG'!$C$6:$C$505,$B120,'NHẬP ĐƠN HÀNG'!$P$6:$P$505))</f>
        <v/>
      </c>
      <c r="J120" s="10" t="str">
        <f aca="false">IF($B120="","",SUMIF('NHẬP ĐƠN HÀNG'!$C$6:$C$505,$B120,'NHẬP ĐƠN HÀNG'!$Q$6:$Q$505))</f>
        <v/>
      </c>
      <c r="K120" s="10" t="str">
        <f aca="false">IF($B120="","",SUMIF('NHẬP ĐƠN HÀNG'!$C$6:$C$505,$B120,'NHẬP ĐƠN HÀNG'!$R$6:$R$505))</f>
        <v/>
      </c>
      <c r="L120" s="10" t="str">
        <f aca="false">IF($B120="","",SUMIF('NHẬP ĐƠN HÀNG'!$C$6:$C$505,$B120,'NHẬP ĐƠN HÀNG'!$U$6:$U$505))</f>
        <v/>
      </c>
      <c r="M120" s="34" t="str">
        <f aca="false">IF($B120="","",IF(SUMPRODUCT(MAX(('NHẬP ĐƠN HÀNG'!$C$6:$C$505=$B120)*'NHẬP ĐƠN HÀNG'!$B$6:$B$505))=0,"",SUMPRODUCT(MAX(('NHẬP ĐƠN HÀNG'!$C$6:$C$505=$B120)*'NHẬP ĐƠN HÀNG'!$B$6:$B$505))))</f>
        <v/>
      </c>
      <c r="N120" s="16" t="str">
        <f aca="false">IF($B120="","",IF($G120=0,"Chưa có đơn",IF(COUNTIFS('NHẬP ĐƠN HÀNG'!$C$6:$C$505,$B120,'NHẬP ĐƠN HÀNG'!$N$6:$N$505,"&gt;0")&gt;0,"Có lấy VAT","Không lấy VAT")))</f>
        <v/>
      </c>
    </row>
    <row r="121" customFormat="false" ht="15" hidden="false" customHeight="false" outlineLevel="0" collapsed="false">
      <c r="A121" s="16" t="str">
        <f aca="false">IF($B121="","",116)</f>
        <v/>
      </c>
      <c r="B121" s="16" t="str">
        <f aca="false">IFERROR(INDEX('NHẬP ĐƠN HÀNG'!$C$6:$C$505,MATCH(116,'NHẬP ĐƠN HÀNG'!$AB$6:$AB$505,0)),"")</f>
        <v/>
      </c>
      <c r="C121" s="16" t="str">
        <f aca="false">IF($B121="","",IFERROR(IF(INDEX('NHẬP ĐƠN HÀNG'!$D$6:$D$505,MATCH($B121,'NHẬP ĐƠN HÀNG'!$C$6:$C$505,0))="","",INDEX('NHẬP ĐƠN HÀNG'!$D$6:$D$505,MATCH($B121,'NHẬP ĐƠN HÀNG'!$C$6:$C$505,0))),""))</f>
        <v/>
      </c>
      <c r="D121" s="16" t="str">
        <f aca="false">IF($B121="","",IFERROR(IF(INDEX('NHẬP ĐƠN HÀNG'!$E$6:$E$505,MATCH($B121,'NHẬP ĐƠN HÀNG'!$C$6:$C$505,0))="","",INDEX('NHẬP ĐƠN HÀNG'!$E$6:$E$505,MATCH($B121,'NHẬP ĐƠN HÀNG'!$C$6:$C$505,0))),""))</f>
        <v/>
      </c>
      <c r="E121" s="16" t="str">
        <f aca="false">IF($B121="","",IFERROR(IF(INDEX('NHẬP ĐƠN HÀNG'!$F$6:$F$505,MATCH($B121,'NHẬP ĐƠN HÀNG'!$C$6:$C$505,0))="","",INDEX('NHẬP ĐƠN HÀNG'!$F$6:$F$505,MATCH($B121,'NHẬP ĐƠN HÀNG'!$C$6:$C$505,0))),""))</f>
        <v/>
      </c>
      <c r="F121" s="16" t="str">
        <f aca="false">IF($B121="","",IFERROR(IF(INDEX('NHẬP ĐƠN HÀNG'!$G$6:$G$505,MATCH($B121,'NHẬP ĐƠN HÀNG'!$C$6:$C$505,0))="","",INDEX('NHẬP ĐƠN HÀNG'!$G$6:$G$505,MATCH($B121,'NHẬP ĐƠN HÀNG'!$C$6:$C$505,0))),""))</f>
        <v/>
      </c>
      <c r="G121" s="10" t="str">
        <f aca="false">IF($B121="","",COUNTIFS('NHẬP ĐƠN HÀNG'!$C$6:$C$505,$B121,'NHẬP ĐƠN HÀNG'!$L$6:$L$505,"&gt;0"))</f>
        <v/>
      </c>
      <c r="H121" s="10" t="str">
        <f aca="false">IF($B121="","",SUMIF('NHẬP ĐƠN HÀNG'!$C$6:$C$505,$B121,'NHẬP ĐƠN HÀNG'!$L$6:$L$505))</f>
        <v/>
      </c>
      <c r="I121" s="10" t="str">
        <f aca="false">IF($B121="","",SUMIF('NHẬP ĐƠN HÀNG'!$C$6:$C$505,$B121,'NHẬP ĐƠN HÀNG'!$P$6:$P$505))</f>
        <v/>
      </c>
      <c r="J121" s="10" t="str">
        <f aca="false">IF($B121="","",SUMIF('NHẬP ĐƠN HÀNG'!$C$6:$C$505,$B121,'NHẬP ĐƠN HÀNG'!$Q$6:$Q$505))</f>
        <v/>
      </c>
      <c r="K121" s="10" t="str">
        <f aca="false">IF($B121="","",SUMIF('NHẬP ĐƠN HÀNG'!$C$6:$C$505,$B121,'NHẬP ĐƠN HÀNG'!$R$6:$R$505))</f>
        <v/>
      </c>
      <c r="L121" s="10" t="str">
        <f aca="false">IF($B121="","",SUMIF('NHẬP ĐƠN HÀNG'!$C$6:$C$505,$B121,'NHẬP ĐƠN HÀNG'!$U$6:$U$505))</f>
        <v/>
      </c>
      <c r="M121" s="34" t="str">
        <f aca="false">IF($B121="","",IF(SUMPRODUCT(MAX(('NHẬP ĐƠN HÀNG'!$C$6:$C$505=$B121)*'NHẬP ĐƠN HÀNG'!$B$6:$B$505))=0,"",SUMPRODUCT(MAX(('NHẬP ĐƠN HÀNG'!$C$6:$C$505=$B121)*'NHẬP ĐƠN HÀNG'!$B$6:$B$505))))</f>
        <v/>
      </c>
      <c r="N121" s="16" t="str">
        <f aca="false">IF($B121="","",IF($G121=0,"Chưa có đơn",IF(COUNTIFS('NHẬP ĐƠN HÀNG'!$C$6:$C$505,$B121,'NHẬP ĐƠN HÀNG'!$N$6:$N$505,"&gt;0")&gt;0,"Có lấy VAT","Không lấy VAT")))</f>
        <v/>
      </c>
    </row>
    <row r="122" customFormat="false" ht="15" hidden="false" customHeight="false" outlineLevel="0" collapsed="false">
      <c r="A122" s="16" t="str">
        <f aca="false">IF($B122="","",117)</f>
        <v/>
      </c>
      <c r="B122" s="16" t="str">
        <f aca="false">IFERROR(INDEX('NHẬP ĐƠN HÀNG'!$C$6:$C$505,MATCH(117,'NHẬP ĐƠN HÀNG'!$AB$6:$AB$505,0)),"")</f>
        <v/>
      </c>
      <c r="C122" s="16" t="str">
        <f aca="false">IF($B122="","",IFERROR(IF(INDEX('NHẬP ĐƠN HÀNG'!$D$6:$D$505,MATCH($B122,'NHẬP ĐƠN HÀNG'!$C$6:$C$505,0))="","",INDEX('NHẬP ĐƠN HÀNG'!$D$6:$D$505,MATCH($B122,'NHẬP ĐƠN HÀNG'!$C$6:$C$505,0))),""))</f>
        <v/>
      </c>
      <c r="D122" s="16" t="str">
        <f aca="false">IF($B122="","",IFERROR(IF(INDEX('NHẬP ĐƠN HÀNG'!$E$6:$E$505,MATCH($B122,'NHẬP ĐƠN HÀNG'!$C$6:$C$505,0))="","",INDEX('NHẬP ĐƠN HÀNG'!$E$6:$E$505,MATCH($B122,'NHẬP ĐƠN HÀNG'!$C$6:$C$505,0))),""))</f>
        <v/>
      </c>
      <c r="E122" s="16" t="str">
        <f aca="false">IF($B122="","",IFERROR(IF(INDEX('NHẬP ĐƠN HÀNG'!$F$6:$F$505,MATCH($B122,'NHẬP ĐƠN HÀNG'!$C$6:$C$505,0))="","",INDEX('NHẬP ĐƠN HÀNG'!$F$6:$F$505,MATCH($B122,'NHẬP ĐƠN HÀNG'!$C$6:$C$505,0))),""))</f>
        <v/>
      </c>
      <c r="F122" s="16" t="str">
        <f aca="false">IF($B122="","",IFERROR(IF(INDEX('NHẬP ĐƠN HÀNG'!$G$6:$G$505,MATCH($B122,'NHẬP ĐƠN HÀNG'!$C$6:$C$505,0))="","",INDEX('NHẬP ĐƠN HÀNG'!$G$6:$G$505,MATCH($B122,'NHẬP ĐƠN HÀNG'!$C$6:$C$505,0))),""))</f>
        <v/>
      </c>
      <c r="G122" s="10" t="str">
        <f aca="false">IF($B122="","",COUNTIFS('NHẬP ĐƠN HÀNG'!$C$6:$C$505,$B122,'NHẬP ĐƠN HÀNG'!$L$6:$L$505,"&gt;0"))</f>
        <v/>
      </c>
      <c r="H122" s="10" t="str">
        <f aca="false">IF($B122="","",SUMIF('NHẬP ĐƠN HÀNG'!$C$6:$C$505,$B122,'NHẬP ĐƠN HÀNG'!$L$6:$L$505))</f>
        <v/>
      </c>
      <c r="I122" s="10" t="str">
        <f aca="false">IF($B122="","",SUMIF('NHẬP ĐƠN HÀNG'!$C$6:$C$505,$B122,'NHẬP ĐƠN HÀNG'!$P$6:$P$505))</f>
        <v/>
      </c>
      <c r="J122" s="10" t="str">
        <f aca="false">IF($B122="","",SUMIF('NHẬP ĐƠN HÀNG'!$C$6:$C$505,$B122,'NHẬP ĐƠN HÀNG'!$Q$6:$Q$505))</f>
        <v/>
      </c>
      <c r="K122" s="10" t="str">
        <f aca="false">IF($B122="","",SUMIF('NHẬP ĐƠN HÀNG'!$C$6:$C$505,$B122,'NHẬP ĐƠN HÀNG'!$R$6:$R$505))</f>
        <v/>
      </c>
      <c r="L122" s="10" t="str">
        <f aca="false">IF($B122="","",SUMIF('NHẬP ĐƠN HÀNG'!$C$6:$C$505,$B122,'NHẬP ĐƠN HÀNG'!$U$6:$U$505))</f>
        <v/>
      </c>
      <c r="M122" s="34" t="str">
        <f aca="false">IF($B122="","",IF(SUMPRODUCT(MAX(('NHẬP ĐƠN HÀNG'!$C$6:$C$505=$B122)*'NHẬP ĐƠN HÀNG'!$B$6:$B$505))=0,"",SUMPRODUCT(MAX(('NHẬP ĐƠN HÀNG'!$C$6:$C$505=$B122)*'NHẬP ĐƠN HÀNG'!$B$6:$B$505))))</f>
        <v/>
      </c>
      <c r="N122" s="16" t="str">
        <f aca="false">IF($B122="","",IF($G122=0,"Chưa có đơn",IF(COUNTIFS('NHẬP ĐƠN HÀNG'!$C$6:$C$505,$B122,'NHẬP ĐƠN HÀNG'!$N$6:$N$505,"&gt;0")&gt;0,"Có lấy VAT","Không lấy VAT")))</f>
        <v/>
      </c>
    </row>
    <row r="123" customFormat="false" ht="15" hidden="false" customHeight="false" outlineLevel="0" collapsed="false">
      <c r="A123" s="16" t="str">
        <f aca="false">IF($B123="","",118)</f>
        <v/>
      </c>
      <c r="B123" s="16" t="str">
        <f aca="false">IFERROR(INDEX('NHẬP ĐƠN HÀNG'!$C$6:$C$505,MATCH(118,'NHẬP ĐƠN HÀNG'!$AB$6:$AB$505,0)),"")</f>
        <v/>
      </c>
      <c r="C123" s="16" t="str">
        <f aca="false">IF($B123="","",IFERROR(IF(INDEX('NHẬP ĐƠN HÀNG'!$D$6:$D$505,MATCH($B123,'NHẬP ĐƠN HÀNG'!$C$6:$C$505,0))="","",INDEX('NHẬP ĐƠN HÀNG'!$D$6:$D$505,MATCH($B123,'NHẬP ĐƠN HÀNG'!$C$6:$C$505,0))),""))</f>
        <v/>
      </c>
      <c r="D123" s="16" t="str">
        <f aca="false">IF($B123="","",IFERROR(IF(INDEX('NHẬP ĐƠN HÀNG'!$E$6:$E$505,MATCH($B123,'NHẬP ĐƠN HÀNG'!$C$6:$C$505,0))="","",INDEX('NHẬP ĐƠN HÀNG'!$E$6:$E$505,MATCH($B123,'NHẬP ĐƠN HÀNG'!$C$6:$C$505,0))),""))</f>
        <v/>
      </c>
      <c r="E123" s="16" t="str">
        <f aca="false">IF($B123="","",IFERROR(IF(INDEX('NHẬP ĐƠN HÀNG'!$F$6:$F$505,MATCH($B123,'NHẬP ĐƠN HÀNG'!$C$6:$C$505,0))="","",INDEX('NHẬP ĐƠN HÀNG'!$F$6:$F$505,MATCH($B123,'NHẬP ĐƠN HÀNG'!$C$6:$C$505,0))),""))</f>
        <v/>
      </c>
      <c r="F123" s="16" t="str">
        <f aca="false">IF($B123="","",IFERROR(IF(INDEX('NHẬP ĐƠN HÀNG'!$G$6:$G$505,MATCH($B123,'NHẬP ĐƠN HÀNG'!$C$6:$C$505,0))="","",INDEX('NHẬP ĐƠN HÀNG'!$G$6:$G$505,MATCH($B123,'NHẬP ĐƠN HÀNG'!$C$6:$C$505,0))),""))</f>
        <v/>
      </c>
      <c r="G123" s="10" t="str">
        <f aca="false">IF($B123="","",COUNTIFS('NHẬP ĐƠN HÀNG'!$C$6:$C$505,$B123,'NHẬP ĐƠN HÀNG'!$L$6:$L$505,"&gt;0"))</f>
        <v/>
      </c>
      <c r="H123" s="10" t="str">
        <f aca="false">IF($B123="","",SUMIF('NHẬP ĐƠN HÀNG'!$C$6:$C$505,$B123,'NHẬP ĐƠN HÀNG'!$L$6:$L$505))</f>
        <v/>
      </c>
      <c r="I123" s="10" t="str">
        <f aca="false">IF($B123="","",SUMIF('NHẬP ĐƠN HÀNG'!$C$6:$C$505,$B123,'NHẬP ĐƠN HÀNG'!$P$6:$P$505))</f>
        <v/>
      </c>
      <c r="J123" s="10" t="str">
        <f aca="false">IF($B123="","",SUMIF('NHẬP ĐƠN HÀNG'!$C$6:$C$505,$B123,'NHẬP ĐƠN HÀNG'!$Q$6:$Q$505))</f>
        <v/>
      </c>
      <c r="K123" s="10" t="str">
        <f aca="false">IF($B123="","",SUMIF('NHẬP ĐƠN HÀNG'!$C$6:$C$505,$B123,'NHẬP ĐƠN HÀNG'!$R$6:$R$505))</f>
        <v/>
      </c>
      <c r="L123" s="10" t="str">
        <f aca="false">IF($B123="","",SUMIF('NHẬP ĐƠN HÀNG'!$C$6:$C$505,$B123,'NHẬP ĐƠN HÀNG'!$U$6:$U$505))</f>
        <v/>
      </c>
      <c r="M123" s="34" t="str">
        <f aca="false">IF($B123="","",IF(SUMPRODUCT(MAX(('NHẬP ĐƠN HÀNG'!$C$6:$C$505=$B123)*'NHẬP ĐƠN HÀNG'!$B$6:$B$505))=0,"",SUMPRODUCT(MAX(('NHẬP ĐƠN HÀNG'!$C$6:$C$505=$B123)*'NHẬP ĐƠN HÀNG'!$B$6:$B$505))))</f>
        <v/>
      </c>
      <c r="N123" s="16" t="str">
        <f aca="false">IF($B123="","",IF($G123=0,"Chưa có đơn",IF(COUNTIFS('NHẬP ĐƠN HÀNG'!$C$6:$C$505,$B123,'NHẬP ĐƠN HÀNG'!$N$6:$N$505,"&gt;0")&gt;0,"Có lấy VAT","Không lấy VAT")))</f>
        <v/>
      </c>
    </row>
    <row r="124" customFormat="false" ht="15" hidden="false" customHeight="false" outlineLevel="0" collapsed="false">
      <c r="A124" s="16" t="str">
        <f aca="false">IF($B124="","",119)</f>
        <v/>
      </c>
      <c r="B124" s="16" t="str">
        <f aca="false">IFERROR(INDEX('NHẬP ĐƠN HÀNG'!$C$6:$C$505,MATCH(119,'NHẬP ĐƠN HÀNG'!$AB$6:$AB$505,0)),"")</f>
        <v/>
      </c>
      <c r="C124" s="16" t="str">
        <f aca="false">IF($B124="","",IFERROR(IF(INDEX('NHẬP ĐƠN HÀNG'!$D$6:$D$505,MATCH($B124,'NHẬP ĐƠN HÀNG'!$C$6:$C$505,0))="","",INDEX('NHẬP ĐƠN HÀNG'!$D$6:$D$505,MATCH($B124,'NHẬP ĐƠN HÀNG'!$C$6:$C$505,0))),""))</f>
        <v/>
      </c>
      <c r="D124" s="16" t="str">
        <f aca="false">IF($B124="","",IFERROR(IF(INDEX('NHẬP ĐƠN HÀNG'!$E$6:$E$505,MATCH($B124,'NHẬP ĐƠN HÀNG'!$C$6:$C$505,0))="","",INDEX('NHẬP ĐƠN HÀNG'!$E$6:$E$505,MATCH($B124,'NHẬP ĐƠN HÀNG'!$C$6:$C$505,0))),""))</f>
        <v/>
      </c>
      <c r="E124" s="16" t="str">
        <f aca="false">IF($B124="","",IFERROR(IF(INDEX('NHẬP ĐƠN HÀNG'!$F$6:$F$505,MATCH($B124,'NHẬP ĐƠN HÀNG'!$C$6:$C$505,0))="","",INDEX('NHẬP ĐƠN HÀNG'!$F$6:$F$505,MATCH($B124,'NHẬP ĐƠN HÀNG'!$C$6:$C$505,0))),""))</f>
        <v/>
      </c>
      <c r="F124" s="16" t="str">
        <f aca="false">IF($B124="","",IFERROR(IF(INDEX('NHẬP ĐƠN HÀNG'!$G$6:$G$505,MATCH($B124,'NHẬP ĐƠN HÀNG'!$C$6:$C$505,0))="","",INDEX('NHẬP ĐƠN HÀNG'!$G$6:$G$505,MATCH($B124,'NHẬP ĐƠN HÀNG'!$C$6:$C$505,0))),""))</f>
        <v/>
      </c>
      <c r="G124" s="10" t="str">
        <f aca="false">IF($B124="","",COUNTIFS('NHẬP ĐƠN HÀNG'!$C$6:$C$505,$B124,'NHẬP ĐƠN HÀNG'!$L$6:$L$505,"&gt;0"))</f>
        <v/>
      </c>
      <c r="H124" s="10" t="str">
        <f aca="false">IF($B124="","",SUMIF('NHẬP ĐƠN HÀNG'!$C$6:$C$505,$B124,'NHẬP ĐƠN HÀNG'!$L$6:$L$505))</f>
        <v/>
      </c>
      <c r="I124" s="10" t="str">
        <f aca="false">IF($B124="","",SUMIF('NHẬP ĐƠN HÀNG'!$C$6:$C$505,$B124,'NHẬP ĐƠN HÀNG'!$P$6:$P$505))</f>
        <v/>
      </c>
      <c r="J124" s="10" t="str">
        <f aca="false">IF($B124="","",SUMIF('NHẬP ĐƠN HÀNG'!$C$6:$C$505,$B124,'NHẬP ĐƠN HÀNG'!$Q$6:$Q$505))</f>
        <v/>
      </c>
      <c r="K124" s="10" t="str">
        <f aca="false">IF($B124="","",SUMIF('NHẬP ĐƠN HÀNG'!$C$6:$C$505,$B124,'NHẬP ĐƠN HÀNG'!$R$6:$R$505))</f>
        <v/>
      </c>
      <c r="L124" s="10" t="str">
        <f aca="false">IF($B124="","",SUMIF('NHẬP ĐƠN HÀNG'!$C$6:$C$505,$B124,'NHẬP ĐƠN HÀNG'!$U$6:$U$505))</f>
        <v/>
      </c>
      <c r="M124" s="34" t="str">
        <f aca="false">IF($B124="","",IF(SUMPRODUCT(MAX(('NHẬP ĐƠN HÀNG'!$C$6:$C$505=$B124)*'NHẬP ĐƠN HÀNG'!$B$6:$B$505))=0,"",SUMPRODUCT(MAX(('NHẬP ĐƠN HÀNG'!$C$6:$C$505=$B124)*'NHẬP ĐƠN HÀNG'!$B$6:$B$505))))</f>
        <v/>
      </c>
      <c r="N124" s="16" t="str">
        <f aca="false">IF($B124="","",IF($G124=0,"Chưa có đơn",IF(COUNTIFS('NHẬP ĐƠN HÀNG'!$C$6:$C$505,$B124,'NHẬP ĐƠN HÀNG'!$N$6:$N$505,"&gt;0")&gt;0,"Có lấy VAT","Không lấy VAT")))</f>
        <v/>
      </c>
    </row>
    <row r="125" customFormat="false" ht="15" hidden="false" customHeight="false" outlineLevel="0" collapsed="false">
      <c r="A125" s="16" t="str">
        <f aca="false">IF($B125="","",120)</f>
        <v/>
      </c>
      <c r="B125" s="16" t="str">
        <f aca="false">IFERROR(INDEX('NHẬP ĐƠN HÀNG'!$C$6:$C$505,MATCH(120,'NHẬP ĐƠN HÀNG'!$AB$6:$AB$505,0)),"")</f>
        <v/>
      </c>
      <c r="C125" s="16" t="str">
        <f aca="false">IF($B125="","",IFERROR(IF(INDEX('NHẬP ĐƠN HÀNG'!$D$6:$D$505,MATCH($B125,'NHẬP ĐƠN HÀNG'!$C$6:$C$505,0))="","",INDEX('NHẬP ĐƠN HÀNG'!$D$6:$D$505,MATCH($B125,'NHẬP ĐƠN HÀNG'!$C$6:$C$505,0))),""))</f>
        <v/>
      </c>
      <c r="D125" s="16" t="str">
        <f aca="false">IF($B125="","",IFERROR(IF(INDEX('NHẬP ĐƠN HÀNG'!$E$6:$E$505,MATCH($B125,'NHẬP ĐƠN HÀNG'!$C$6:$C$505,0))="","",INDEX('NHẬP ĐƠN HÀNG'!$E$6:$E$505,MATCH($B125,'NHẬP ĐƠN HÀNG'!$C$6:$C$505,0))),""))</f>
        <v/>
      </c>
      <c r="E125" s="16" t="str">
        <f aca="false">IF($B125="","",IFERROR(IF(INDEX('NHẬP ĐƠN HÀNG'!$F$6:$F$505,MATCH($B125,'NHẬP ĐƠN HÀNG'!$C$6:$C$505,0))="","",INDEX('NHẬP ĐƠN HÀNG'!$F$6:$F$505,MATCH($B125,'NHẬP ĐƠN HÀNG'!$C$6:$C$505,0))),""))</f>
        <v/>
      </c>
      <c r="F125" s="16" t="str">
        <f aca="false">IF($B125="","",IFERROR(IF(INDEX('NHẬP ĐƠN HÀNG'!$G$6:$G$505,MATCH($B125,'NHẬP ĐƠN HÀNG'!$C$6:$C$505,0))="","",INDEX('NHẬP ĐƠN HÀNG'!$G$6:$G$505,MATCH($B125,'NHẬP ĐƠN HÀNG'!$C$6:$C$505,0))),""))</f>
        <v/>
      </c>
      <c r="G125" s="10" t="str">
        <f aca="false">IF($B125="","",COUNTIFS('NHẬP ĐƠN HÀNG'!$C$6:$C$505,$B125,'NHẬP ĐƠN HÀNG'!$L$6:$L$505,"&gt;0"))</f>
        <v/>
      </c>
      <c r="H125" s="10" t="str">
        <f aca="false">IF($B125="","",SUMIF('NHẬP ĐƠN HÀNG'!$C$6:$C$505,$B125,'NHẬP ĐƠN HÀNG'!$L$6:$L$505))</f>
        <v/>
      </c>
      <c r="I125" s="10" t="str">
        <f aca="false">IF($B125="","",SUMIF('NHẬP ĐƠN HÀNG'!$C$6:$C$505,$B125,'NHẬP ĐƠN HÀNG'!$P$6:$P$505))</f>
        <v/>
      </c>
      <c r="J125" s="10" t="str">
        <f aca="false">IF($B125="","",SUMIF('NHẬP ĐƠN HÀNG'!$C$6:$C$505,$B125,'NHẬP ĐƠN HÀNG'!$Q$6:$Q$505))</f>
        <v/>
      </c>
      <c r="K125" s="10" t="str">
        <f aca="false">IF($B125="","",SUMIF('NHẬP ĐƠN HÀNG'!$C$6:$C$505,$B125,'NHẬP ĐƠN HÀNG'!$R$6:$R$505))</f>
        <v/>
      </c>
      <c r="L125" s="10" t="str">
        <f aca="false">IF($B125="","",SUMIF('NHẬP ĐƠN HÀNG'!$C$6:$C$505,$B125,'NHẬP ĐƠN HÀNG'!$U$6:$U$505))</f>
        <v/>
      </c>
      <c r="M125" s="34" t="str">
        <f aca="false">IF($B125="","",IF(SUMPRODUCT(MAX(('NHẬP ĐƠN HÀNG'!$C$6:$C$505=$B125)*'NHẬP ĐƠN HÀNG'!$B$6:$B$505))=0,"",SUMPRODUCT(MAX(('NHẬP ĐƠN HÀNG'!$C$6:$C$505=$B125)*'NHẬP ĐƠN HÀNG'!$B$6:$B$505))))</f>
        <v/>
      </c>
      <c r="N125" s="16" t="str">
        <f aca="false">IF($B125="","",IF($G125=0,"Chưa có đơn",IF(COUNTIFS('NHẬP ĐƠN HÀNG'!$C$6:$C$505,$B125,'NHẬP ĐƠN HÀNG'!$N$6:$N$505,"&gt;0")&gt;0,"Có lấy VAT","Không lấy VAT")))</f>
        <v/>
      </c>
    </row>
    <row r="126" customFormat="false" ht="15" hidden="false" customHeight="false" outlineLevel="0" collapsed="false">
      <c r="A126" s="16" t="str">
        <f aca="false">IF($B126="","",121)</f>
        <v/>
      </c>
      <c r="B126" s="16" t="str">
        <f aca="false">IFERROR(INDEX('NHẬP ĐƠN HÀNG'!$C$6:$C$505,MATCH(121,'NHẬP ĐƠN HÀNG'!$AB$6:$AB$505,0)),"")</f>
        <v/>
      </c>
      <c r="C126" s="16" t="str">
        <f aca="false">IF($B126="","",IFERROR(IF(INDEX('NHẬP ĐƠN HÀNG'!$D$6:$D$505,MATCH($B126,'NHẬP ĐƠN HÀNG'!$C$6:$C$505,0))="","",INDEX('NHẬP ĐƠN HÀNG'!$D$6:$D$505,MATCH($B126,'NHẬP ĐƠN HÀNG'!$C$6:$C$505,0))),""))</f>
        <v/>
      </c>
      <c r="D126" s="16" t="str">
        <f aca="false">IF($B126="","",IFERROR(IF(INDEX('NHẬP ĐƠN HÀNG'!$E$6:$E$505,MATCH($B126,'NHẬP ĐƠN HÀNG'!$C$6:$C$505,0))="","",INDEX('NHẬP ĐƠN HÀNG'!$E$6:$E$505,MATCH($B126,'NHẬP ĐƠN HÀNG'!$C$6:$C$505,0))),""))</f>
        <v/>
      </c>
      <c r="E126" s="16" t="str">
        <f aca="false">IF($B126="","",IFERROR(IF(INDEX('NHẬP ĐƠN HÀNG'!$F$6:$F$505,MATCH($B126,'NHẬP ĐƠN HÀNG'!$C$6:$C$505,0))="","",INDEX('NHẬP ĐƠN HÀNG'!$F$6:$F$505,MATCH($B126,'NHẬP ĐƠN HÀNG'!$C$6:$C$505,0))),""))</f>
        <v/>
      </c>
      <c r="F126" s="16" t="str">
        <f aca="false">IF($B126="","",IFERROR(IF(INDEX('NHẬP ĐƠN HÀNG'!$G$6:$G$505,MATCH($B126,'NHẬP ĐƠN HÀNG'!$C$6:$C$505,0))="","",INDEX('NHẬP ĐƠN HÀNG'!$G$6:$G$505,MATCH($B126,'NHẬP ĐƠN HÀNG'!$C$6:$C$505,0))),""))</f>
        <v/>
      </c>
      <c r="G126" s="10" t="str">
        <f aca="false">IF($B126="","",COUNTIFS('NHẬP ĐƠN HÀNG'!$C$6:$C$505,$B126,'NHẬP ĐƠN HÀNG'!$L$6:$L$505,"&gt;0"))</f>
        <v/>
      </c>
      <c r="H126" s="10" t="str">
        <f aca="false">IF($B126="","",SUMIF('NHẬP ĐƠN HÀNG'!$C$6:$C$505,$B126,'NHẬP ĐƠN HÀNG'!$L$6:$L$505))</f>
        <v/>
      </c>
      <c r="I126" s="10" t="str">
        <f aca="false">IF($B126="","",SUMIF('NHẬP ĐƠN HÀNG'!$C$6:$C$505,$B126,'NHẬP ĐƠN HÀNG'!$P$6:$P$505))</f>
        <v/>
      </c>
      <c r="J126" s="10" t="str">
        <f aca="false">IF($B126="","",SUMIF('NHẬP ĐƠN HÀNG'!$C$6:$C$505,$B126,'NHẬP ĐƠN HÀNG'!$Q$6:$Q$505))</f>
        <v/>
      </c>
      <c r="K126" s="10" t="str">
        <f aca="false">IF($B126="","",SUMIF('NHẬP ĐƠN HÀNG'!$C$6:$C$505,$B126,'NHẬP ĐƠN HÀNG'!$R$6:$R$505))</f>
        <v/>
      </c>
      <c r="L126" s="10" t="str">
        <f aca="false">IF($B126="","",SUMIF('NHẬP ĐƠN HÀNG'!$C$6:$C$505,$B126,'NHẬP ĐƠN HÀNG'!$U$6:$U$505))</f>
        <v/>
      </c>
      <c r="M126" s="34" t="str">
        <f aca="false">IF($B126="","",IF(SUMPRODUCT(MAX(('NHẬP ĐƠN HÀNG'!$C$6:$C$505=$B126)*'NHẬP ĐƠN HÀNG'!$B$6:$B$505))=0,"",SUMPRODUCT(MAX(('NHẬP ĐƠN HÀNG'!$C$6:$C$505=$B126)*'NHẬP ĐƠN HÀNG'!$B$6:$B$505))))</f>
        <v/>
      </c>
      <c r="N126" s="16" t="str">
        <f aca="false">IF($B126="","",IF($G126=0,"Chưa có đơn",IF(COUNTIFS('NHẬP ĐƠN HÀNG'!$C$6:$C$505,$B126,'NHẬP ĐƠN HÀNG'!$N$6:$N$505,"&gt;0")&gt;0,"Có lấy VAT","Không lấy VAT")))</f>
        <v/>
      </c>
    </row>
    <row r="127" customFormat="false" ht="15" hidden="false" customHeight="false" outlineLevel="0" collapsed="false">
      <c r="A127" s="16" t="str">
        <f aca="false">IF($B127="","",122)</f>
        <v/>
      </c>
      <c r="B127" s="16" t="str">
        <f aca="false">IFERROR(INDEX('NHẬP ĐƠN HÀNG'!$C$6:$C$505,MATCH(122,'NHẬP ĐƠN HÀNG'!$AB$6:$AB$505,0)),"")</f>
        <v/>
      </c>
      <c r="C127" s="16" t="str">
        <f aca="false">IF($B127="","",IFERROR(IF(INDEX('NHẬP ĐƠN HÀNG'!$D$6:$D$505,MATCH($B127,'NHẬP ĐƠN HÀNG'!$C$6:$C$505,0))="","",INDEX('NHẬP ĐƠN HÀNG'!$D$6:$D$505,MATCH($B127,'NHẬP ĐƠN HÀNG'!$C$6:$C$505,0))),""))</f>
        <v/>
      </c>
      <c r="D127" s="16" t="str">
        <f aca="false">IF($B127="","",IFERROR(IF(INDEX('NHẬP ĐƠN HÀNG'!$E$6:$E$505,MATCH($B127,'NHẬP ĐƠN HÀNG'!$C$6:$C$505,0))="","",INDEX('NHẬP ĐƠN HÀNG'!$E$6:$E$505,MATCH($B127,'NHẬP ĐƠN HÀNG'!$C$6:$C$505,0))),""))</f>
        <v/>
      </c>
      <c r="E127" s="16" t="str">
        <f aca="false">IF($B127="","",IFERROR(IF(INDEX('NHẬP ĐƠN HÀNG'!$F$6:$F$505,MATCH($B127,'NHẬP ĐƠN HÀNG'!$C$6:$C$505,0))="","",INDEX('NHẬP ĐƠN HÀNG'!$F$6:$F$505,MATCH($B127,'NHẬP ĐƠN HÀNG'!$C$6:$C$505,0))),""))</f>
        <v/>
      </c>
      <c r="F127" s="16" t="str">
        <f aca="false">IF($B127="","",IFERROR(IF(INDEX('NHẬP ĐƠN HÀNG'!$G$6:$G$505,MATCH($B127,'NHẬP ĐƠN HÀNG'!$C$6:$C$505,0))="","",INDEX('NHẬP ĐƠN HÀNG'!$G$6:$G$505,MATCH($B127,'NHẬP ĐƠN HÀNG'!$C$6:$C$505,0))),""))</f>
        <v/>
      </c>
      <c r="G127" s="10" t="str">
        <f aca="false">IF($B127="","",COUNTIFS('NHẬP ĐƠN HÀNG'!$C$6:$C$505,$B127,'NHẬP ĐƠN HÀNG'!$L$6:$L$505,"&gt;0"))</f>
        <v/>
      </c>
      <c r="H127" s="10" t="str">
        <f aca="false">IF($B127="","",SUMIF('NHẬP ĐƠN HÀNG'!$C$6:$C$505,$B127,'NHẬP ĐƠN HÀNG'!$L$6:$L$505))</f>
        <v/>
      </c>
      <c r="I127" s="10" t="str">
        <f aca="false">IF($B127="","",SUMIF('NHẬP ĐƠN HÀNG'!$C$6:$C$505,$B127,'NHẬP ĐƠN HÀNG'!$P$6:$P$505))</f>
        <v/>
      </c>
      <c r="J127" s="10" t="str">
        <f aca="false">IF($B127="","",SUMIF('NHẬP ĐƠN HÀNG'!$C$6:$C$505,$B127,'NHẬP ĐƠN HÀNG'!$Q$6:$Q$505))</f>
        <v/>
      </c>
      <c r="K127" s="10" t="str">
        <f aca="false">IF($B127="","",SUMIF('NHẬP ĐƠN HÀNG'!$C$6:$C$505,$B127,'NHẬP ĐƠN HÀNG'!$R$6:$R$505))</f>
        <v/>
      </c>
      <c r="L127" s="10" t="str">
        <f aca="false">IF($B127="","",SUMIF('NHẬP ĐƠN HÀNG'!$C$6:$C$505,$B127,'NHẬP ĐƠN HÀNG'!$U$6:$U$505))</f>
        <v/>
      </c>
      <c r="M127" s="34" t="str">
        <f aca="false">IF($B127="","",IF(SUMPRODUCT(MAX(('NHẬP ĐƠN HÀNG'!$C$6:$C$505=$B127)*'NHẬP ĐƠN HÀNG'!$B$6:$B$505))=0,"",SUMPRODUCT(MAX(('NHẬP ĐƠN HÀNG'!$C$6:$C$505=$B127)*'NHẬP ĐƠN HÀNG'!$B$6:$B$505))))</f>
        <v/>
      </c>
      <c r="N127" s="16" t="str">
        <f aca="false">IF($B127="","",IF($G127=0,"Chưa có đơn",IF(COUNTIFS('NHẬP ĐƠN HÀNG'!$C$6:$C$505,$B127,'NHẬP ĐƠN HÀNG'!$N$6:$N$505,"&gt;0")&gt;0,"Có lấy VAT","Không lấy VAT")))</f>
        <v/>
      </c>
    </row>
    <row r="128" customFormat="false" ht="15" hidden="false" customHeight="false" outlineLevel="0" collapsed="false">
      <c r="A128" s="16" t="str">
        <f aca="false">IF($B128="","",123)</f>
        <v/>
      </c>
      <c r="B128" s="16" t="str">
        <f aca="false">IFERROR(INDEX('NHẬP ĐƠN HÀNG'!$C$6:$C$505,MATCH(123,'NHẬP ĐƠN HÀNG'!$AB$6:$AB$505,0)),"")</f>
        <v/>
      </c>
      <c r="C128" s="16" t="str">
        <f aca="false">IF($B128="","",IFERROR(IF(INDEX('NHẬP ĐƠN HÀNG'!$D$6:$D$505,MATCH($B128,'NHẬP ĐƠN HÀNG'!$C$6:$C$505,0))="","",INDEX('NHẬP ĐƠN HÀNG'!$D$6:$D$505,MATCH($B128,'NHẬP ĐƠN HÀNG'!$C$6:$C$505,0))),""))</f>
        <v/>
      </c>
      <c r="D128" s="16" t="str">
        <f aca="false">IF($B128="","",IFERROR(IF(INDEX('NHẬP ĐƠN HÀNG'!$E$6:$E$505,MATCH($B128,'NHẬP ĐƠN HÀNG'!$C$6:$C$505,0))="","",INDEX('NHẬP ĐƠN HÀNG'!$E$6:$E$505,MATCH($B128,'NHẬP ĐƠN HÀNG'!$C$6:$C$505,0))),""))</f>
        <v/>
      </c>
      <c r="E128" s="16" t="str">
        <f aca="false">IF($B128="","",IFERROR(IF(INDEX('NHẬP ĐƠN HÀNG'!$F$6:$F$505,MATCH($B128,'NHẬP ĐƠN HÀNG'!$C$6:$C$505,0))="","",INDEX('NHẬP ĐƠN HÀNG'!$F$6:$F$505,MATCH($B128,'NHẬP ĐƠN HÀNG'!$C$6:$C$505,0))),""))</f>
        <v/>
      </c>
      <c r="F128" s="16" t="str">
        <f aca="false">IF($B128="","",IFERROR(IF(INDEX('NHẬP ĐƠN HÀNG'!$G$6:$G$505,MATCH($B128,'NHẬP ĐƠN HÀNG'!$C$6:$C$505,0))="","",INDEX('NHẬP ĐƠN HÀNG'!$G$6:$G$505,MATCH($B128,'NHẬP ĐƠN HÀNG'!$C$6:$C$505,0))),""))</f>
        <v/>
      </c>
      <c r="G128" s="10" t="str">
        <f aca="false">IF($B128="","",COUNTIFS('NHẬP ĐƠN HÀNG'!$C$6:$C$505,$B128,'NHẬP ĐƠN HÀNG'!$L$6:$L$505,"&gt;0"))</f>
        <v/>
      </c>
      <c r="H128" s="10" t="str">
        <f aca="false">IF($B128="","",SUMIF('NHẬP ĐƠN HÀNG'!$C$6:$C$505,$B128,'NHẬP ĐƠN HÀNG'!$L$6:$L$505))</f>
        <v/>
      </c>
      <c r="I128" s="10" t="str">
        <f aca="false">IF($B128="","",SUMIF('NHẬP ĐƠN HÀNG'!$C$6:$C$505,$B128,'NHẬP ĐƠN HÀNG'!$P$6:$P$505))</f>
        <v/>
      </c>
      <c r="J128" s="10" t="str">
        <f aca="false">IF($B128="","",SUMIF('NHẬP ĐƠN HÀNG'!$C$6:$C$505,$B128,'NHẬP ĐƠN HÀNG'!$Q$6:$Q$505))</f>
        <v/>
      </c>
      <c r="K128" s="10" t="str">
        <f aca="false">IF($B128="","",SUMIF('NHẬP ĐƠN HÀNG'!$C$6:$C$505,$B128,'NHẬP ĐƠN HÀNG'!$R$6:$R$505))</f>
        <v/>
      </c>
      <c r="L128" s="10" t="str">
        <f aca="false">IF($B128="","",SUMIF('NHẬP ĐƠN HÀNG'!$C$6:$C$505,$B128,'NHẬP ĐƠN HÀNG'!$U$6:$U$505))</f>
        <v/>
      </c>
      <c r="M128" s="34" t="str">
        <f aca="false">IF($B128="","",IF(SUMPRODUCT(MAX(('NHẬP ĐƠN HÀNG'!$C$6:$C$505=$B128)*'NHẬP ĐƠN HÀNG'!$B$6:$B$505))=0,"",SUMPRODUCT(MAX(('NHẬP ĐƠN HÀNG'!$C$6:$C$505=$B128)*'NHẬP ĐƠN HÀNG'!$B$6:$B$505))))</f>
        <v/>
      </c>
      <c r="N128" s="16" t="str">
        <f aca="false">IF($B128="","",IF($G128=0,"Chưa có đơn",IF(COUNTIFS('NHẬP ĐƠN HÀNG'!$C$6:$C$505,$B128,'NHẬP ĐƠN HÀNG'!$N$6:$N$505,"&gt;0")&gt;0,"Có lấy VAT","Không lấy VAT")))</f>
        <v/>
      </c>
    </row>
    <row r="129" customFormat="false" ht="15" hidden="false" customHeight="false" outlineLevel="0" collapsed="false">
      <c r="A129" s="16" t="str">
        <f aca="false">IF($B129="","",124)</f>
        <v/>
      </c>
      <c r="B129" s="16" t="str">
        <f aca="false">IFERROR(INDEX('NHẬP ĐƠN HÀNG'!$C$6:$C$505,MATCH(124,'NHẬP ĐƠN HÀNG'!$AB$6:$AB$505,0)),"")</f>
        <v/>
      </c>
      <c r="C129" s="16" t="str">
        <f aca="false">IF($B129="","",IFERROR(IF(INDEX('NHẬP ĐƠN HÀNG'!$D$6:$D$505,MATCH($B129,'NHẬP ĐƠN HÀNG'!$C$6:$C$505,0))="","",INDEX('NHẬP ĐƠN HÀNG'!$D$6:$D$505,MATCH($B129,'NHẬP ĐƠN HÀNG'!$C$6:$C$505,0))),""))</f>
        <v/>
      </c>
      <c r="D129" s="16" t="str">
        <f aca="false">IF($B129="","",IFERROR(IF(INDEX('NHẬP ĐƠN HÀNG'!$E$6:$E$505,MATCH($B129,'NHẬP ĐƠN HÀNG'!$C$6:$C$505,0))="","",INDEX('NHẬP ĐƠN HÀNG'!$E$6:$E$505,MATCH($B129,'NHẬP ĐƠN HÀNG'!$C$6:$C$505,0))),""))</f>
        <v/>
      </c>
      <c r="E129" s="16" t="str">
        <f aca="false">IF($B129="","",IFERROR(IF(INDEX('NHẬP ĐƠN HÀNG'!$F$6:$F$505,MATCH($B129,'NHẬP ĐƠN HÀNG'!$C$6:$C$505,0))="","",INDEX('NHẬP ĐƠN HÀNG'!$F$6:$F$505,MATCH($B129,'NHẬP ĐƠN HÀNG'!$C$6:$C$505,0))),""))</f>
        <v/>
      </c>
      <c r="F129" s="16" t="str">
        <f aca="false">IF($B129="","",IFERROR(IF(INDEX('NHẬP ĐƠN HÀNG'!$G$6:$G$505,MATCH($B129,'NHẬP ĐƠN HÀNG'!$C$6:$C$505,0))="","",INDEX('NHẬP ĐƠN HÀNG'!$G$6:$G$505,MATCH($B129,'NHẬP ĐƠN HÀNG'!$C$6:$C$505,0))),""))</f>
        <v/>
      </c>
      <c r="G129" s="10" t="str">
        <f aca="false">IF($B129="","",COUNTIFS('NHẬP ĐƠN HÀNG'!$C$6:$C$505,$B129,'NHẬP ĐƠN HÀNG'!$L$6:$L$505,"&gt;0"))</f>
        <v/>
      </c>
      <c r="H129" s="10" t="str">
        <f aca="false">IF($B129="","",SUMIF('NHẬP ĐƠN HÀNG'!$C$6:$C$505,$B129,'NHẬP ĐƠN HÀNG'!$L$6:$L$505))</f>
        <v/>
      </c>
      <c r="I129" s="10" t="str">
        <f aca="false">IF($B129="","",SUMIF('NHẬP ĐƠN HÀNG'!$C$6:$C$505,$B129,'NHẬP ĐƠN HÀNG'!$P$6:$P$505))</f>
        <v/>
      </c>
      <c r="J129" s="10" t="str">
        <f aca="false">IF($B129="","",SUMIF('NHẬP ĐƠN HÀNG'!$C$6:$C$505,$B129,'NHẬP ĐƠN HÀNG'!$Q$6:$Q$505))</f>
        <v/>
      </c>
      <c r="K129" s="10" t="str">
        <f aca="false">IF($B129="","",SUMIF('NHẬP ĐƠN HÀNG'!$C$6:$C$505,$B129,'NHẬP ĐƠN HÀNG'!$R$6:$R$505))</f>
        <v/>
      </c>
      <c r="L129" s="10" t="str">
        <f aca="false">IF($B129="","",SUMIF('NHẬP ĐƠN HÀNG'!$C$6:$C$505,$B129,'NHẬP ĐƠN HÀNG'!$U$6:$U$505))</f>
        <v/>
      </c>
      <c r="M129" s="34" t="str">
        <f aca="false">IF($B129="","",IF(SUMPRODUCT(MAX(('NHẬP ĐƠN HÀNG'!$C$6:$C$505=$B129)*'NHẬP ĐƠN HÀNG'!$B$6:$B$505))=0,"",SUMPRODUCT(MAX(('NHẬP ĐƠN HÀNG'!$C$6:$C$505=$B129)*'NHẬP ĐƠN HÀNG'!$B$6:$B$505))))</f>
        <v/>
      </c>
      <c r="N129" s="16" t="str">
        <f aca="false">IF($B129="","",IF($G129=0,"Chưa có đơn",IF(COUNTIFS('NHẬP ĐƠN HÀNG'!$C$6:$C$505,$B129,'NHẬP ĐƠN HÀNG'!$N$6:$N$505,"&gt;0")&gt;0,"Có lấy VAT","Không lấy VAT")))</f>
        <v/>
      </c>
    </row>
    <row r="130" customFormat="false" ht="15" hidden="false" customHeight="false" outlineLevel="0" collapsed="false">
      <c r="A130" s="16" t="str">
        <f aca="false">IF($B130="","",125)</f>
        <v/>
      </c>
      <c r="B130" s="16" t="str">
        <f aca="false">IFERROR(INDEX('NHẬP ĐƠN HÀNG'!$C$6:$C$505,MATCH(125,'NHẬP ĐƠN HÀNG'!$AB$6:$AB$505,0)),"")</f>
        <v/>
      </c>
      <c r="C130" s="16" t="str">
        <f aca="false">IF($B130="","",IFERROR(IF(INDEX('NHẬP ĐƠN HÀNG'!$D$6:$D$505,MATCH($B130,'NHẬP ĐƠN HÀNG'!$C$6:$C$505,0))="","",INDEX('NHẬP ĐƠN HÀNG'!$D$6:$D$505,MATCH($B130,'NHẬP ĐƠN HÀNG'!$C$6:$C$505,0))),""))</f>
        <v/>
      </c>
      <c r="D130" s="16" t="str">
        <f aca="false">IF($B130="","",IFERROR(IF(INDEX('NHẬP ĐƠN HÀNG'!$E$6:$E$505,MATCH($B130,'NHẬP ĐƠN HÀNG'!$C$6:$C$505,0))="","",INDEX('NHẬP ĐƠN HÀNG'!$E$6:$E$505,MATCH($B130,'NHẬP ĐƠN HÀNG'!$C$6:$C$505,0))),""))</f>
        <v/>
      </c>
      <c r="E130" s="16" t="str">
        <f aca="false">IF($B130="","",IFERROR(IF(INDEX('NHẬP ĐƠN HÀNG'!$F$6:$F$505,MATCH($B130,'NHẬP ĐƠN HÀNG'!$C$6:$C$505,0))="","",INDEX('NHẬP ĐƠN HÀNG'!$F$6:$F$505,MATCH($B130,'NHẬP ĐƠN HÀNG'!$C$6:$C$505,0))),""))</f>
        <v/>
      </c>
      <c r="F130" s="16" t="str">
        <f aca="false">IF($B130="","",IFERROR(IF(INDEX('NHẬP ĐƠN HÀNG'!$G$6:$G$505,MATCH($B130,'NHẬP ĐƠN HÀNG'!$C$6:$C$505,0))="","",INDEX('NHẬP ĐƠN HÀNG'!$G$6:$G$505,MATCH($B130,'NHẬP ĐƠN HÀNG'!$C$6:$C$505,0))),""))</f>
        <v/>
      </c>
      <c r="G130" s="10" t="str">
        <f aca="false">IF($B130="","",COUNTIFS('NHẬP ĐƠN HÀNG'!$C$6:$C$505,$B130,'NHẬP ĐƠN HÀNG'!$L$6:$L$505,"&gt;0"))</f>
        <v/>
      </c>
      <c r="H130" s="10" t="str">
        <f aca="false">IF($B130="","",SUMIF('NHẬP ĐƠN HÀNG'!$C$6:$C$505,$B130,'NHẬP ĐƠN HÀNG'!$L$6:$L$505))</f>
        <v/>
      </c>
      <c r="I130" s="10" t="str">
        <f aca="false">IF($B130="","",SUMIF('NHẬP ĐƠN HÀNG'!$C$6:$C$505,$B130,'NHẬP ĐƠN HÀNG'!$P$6:$P$505))</f>
        <v/>
      </c>
      <c r="J130" s="10" t="str">
        <f aca="false">IF($B130="","",SUMIF('NHẬP ĐƠN HÀNG'!$C$6:$C$505,$B130,'NHẬP ĐƠN HÀNG'!$Q$6:$Q$505))</f>
        <v/>
      </c>
      <c r="K130" s="10" t="str">
        <f aca="false">IF($B130="","",SUMIF('NHẬP ĐƠN HÀNG'!$C$6:$C$505,$B130,'NHẬP ĐƠN HÀNG'!$R$6:$R$505))</f>
        <v/>
      </c>
      <c r="L130" s="10" t="str">
        <f aca="false">IF($B130="","",SUMIF('NHẬP ĐƠN HÀNG'!$C$6:$C$505,$B130,'NHẬP ĐƠN HÀNG'!$U$6:$U$505))</f>
        <v/>
      </c>
      <c r="M130" s="34" t="str">
        <f aca="false">IF($B130="","",IF(SUMPRODUCT(MAX(('NHẬP ĐƠN HÀNG'!$C$6:$C$505=$B130)*'NHẬP ĐƠN HÀNG'!$B$6:$B$505))=0,"",SUMPRODUCT(MAX(('NHẬP ĐƠN HÀNG'!$C$6:$C$505=$B130)*'NHẬP ĐƠN HÀNG'!$B$6:$B$505))))</f>
        <v/>
      </c>
      <c r="N130" s="16" t="str">
        <f aca="false">IF($B130="","",IF($G130=0,"Chưa có đơn",IF(COUNTIFS('NHẬP ĐƠN HÀNG'!$C$6:$C$505,$B130,'NHẬP ĐƠN HÀNG'!$N$6:$N$505,"&gt;0")&gt;0,"Có lấy VAT","Không lấy VAT")))</f>
        <v/>
      </c>
    </row>
    <row r="131" customFormat="false" ht="15" hidden="false" customHeight="false" outlineLevel="0" collapsed="false">
      <c r="A131" s="16" t="str">
        <f aca="false">IF($B131="","",126)</f>
        <v/>
      </c>
      <c r="B131" s="16" t="str">
        <f aca="false">IFERROR(INDEX('NHẬP ĐƠN HÀNG'!$C$6:$C$505,MATCH(126,'NHẬP ĐƠN HÀNG'!$AB$6:$AB$505,0)),"")</f>
        <v/>
      </c>
      <c r="C131" s="16" t="str">
        <f aca="false">IF($B131="","",IFERROR(IF(INDEX('NHẬP ĐƠN HÀNG'!$D$6:$D$505,MATCH($B131,'NHẬP ĐƠN HÀNG'!$C$6:$C$505,0))="","",INDEX('NHẬP ĐƠN HÀNG'!$D$6:$D$505,MATCH($B131,'NHẬP ĐƠN HÀNG'!$C$6:$C$505,0))),""))</f>
        <v/>
      </c>
      <c r="D131" s="16" t="str">
        <f aca="false">IF($B131="","",IFERROR(IF(INDEX('NHẬP ĐƠN HÀNG'!$E$6:$E$505,MATCH($B131,'NHẬP ĐƠN HÀNG'!$C$6:$C$505,0))="","",INDEX('NHẬP ĐƠN HÀNG'!$E$6:$E$505,MATCH($B131,'NHẬP ĐƠN HÀNG'!$C$6:$C$505,0))),""))</f>
        <v/>
      </c>
      <c r="E131" s="16" t="str">
        <f aca="false">IF($B131="","",IFERROR(IF(INDEX('NHẬP ĐƠN HÀNG'!$F$6:$F$505,MATCH($B131,'NHẬP ĐƠN HÀNG'!$C$6:$C$505,0))="","",INDEX('NHẬP ĐƠN HÀNG'!$F$6:$F$505,MATCH($B131,'NHẬP ĐƠN HÀNG'!$C$6:$C$505,0))),""))</f>
        <v/>
      </c>
      <c r="F131" s="16" t="str">
        <f aca="false">IF($B131="","",IFERROR(IF(INDEX('NHẬP ĐƠN HÀNG'!$G$6:$G$505,MATCH($B131,'NHẬP ĐƠN HÀNG'!$C$6:$C$505,0))="","",INDEX('NHẬP ĐƠN HÀNG'!$G$6:$G$505,MATCH($B131,'NHẬP ĐƠN HÀNG'!$C$6:$C$505,0))),""))</f>
        <v/>
      </c>
      <c r="G131" s="10" t="str">
        <f aca="false">IF($B131="","",COUNTIFS('NHẬP ĐƠN HÀNG'!$C$6:$C$505,$B131,'NHẬP ĐƠN HÀNG'!$L$6:$L$505,"&gt;0"))</f>
        <v/>
      </c>
      <c r="H131" s="10" t="str">
        <f aca="false">IF($B131="","",SUMIF('NHẬP ĐƠN HÀNG'!$C$6:$C$505,$B131,'NHẬP ĐƠN HÀNG'!$L$6:$L$505))</f>
        <v/>
      </c>
      <c r="I131" s="10" t="str">
        <f aca="false">IF($B131="","",SUMIF('NHẬP ĐƠN HÀNG'!$C$6:$C$505,$B131,'NHẬP ĐƠN HÀNG'!$P$6:$P$505))</f>
        <v/>
      </c>
      <c r="J131" s="10" t="str">
        <f aca="false">IF($B131="","",SUMIF('NHẬP ĐƠN HÀNG'!$C$6:$C$505,$B131,'NHẬP ĐƠN HÀNG'!$Q$6:$Q$505))</f>
        <v/>
      </c>
      <c r="K131" s="10" t="str">
        <f aca="false">IF($B131="","",SUMIF('NHẬP ĐƠN HÀNG'!$C$6:$C$505,$B131,'NHẬP ĐƠN HÀNG'!$R$6:$R$505))</f>
        <v/>
      </c>
      <c r="L131" s="10" t="str">
        <f aca="false">IF($B131="","",SUMIF('NHẬP ĐƠN HÀNG'!$C$6:$C$505,$B131,'NHẬP ĐƠN HÀNG'!$U$6:$U$505))</f>
        <v/>
      </c>
      <c r="M131" s="34" t="str">
        <f aca="false">IF($B131="","",IF(SUMPRODUCT(MAX(('NHẬP ĐƠN HÀNG'!$C$6:$C$505=$B131)*'NHẬP ĐƠN HÀNG'!$B$6:$B$505))=0,"",SUMPRODUCT(MAX(('NHẬP ĐƠN HÀNG'!$C$6:$C$505=$B131)*'NHẬP ĐƠN HÀNG'!$B$6:$B$505))))</f>
        <v/>
      </c>
      <c r="N131" s="16" t="str">
        <f aca="false">IF($B131="","",IF($G131=0,"Chưa có đơn",IF(COUNTIFS('NHẬP ĐƠN HÀNG'!$C$6:$C$505,$B131,'NHẬP ĐƠN HÀNG'!$N$6:$N$505,"&gt;0")&gt;0,"Có lấy VAT","Không lấy VAT")))</f>
        <v/>
      </c>
    </row>
    <row r="132" customFormat="false" ht="15" hidden="false" customHeight="false" outlineLevel="0" collapsed="false">
      <c r="A132" s="16" t="str">
        <f aca="false">IF($B132="","",127)</f>
        <v/>
      </c>
      <c r="B132" s="16" t="str">
        <f aca="false">IFERROR(INDEX('NHẬP ĐƠN HÀNG'!$C$6:$C$505,MATCH(127,'NHẬP ĐƠN HÀNG'!$AB$6:$AB$505,0)),"")</f>
        <v/>
      </c>
      <c r="C132" s="16" t="str">
        <f aca="false">IF($B132="","",IFERROR(IF(INDEX('NHẬP ĐƠN HÀNG'!$D$6:$D$505,MATCH($B132,'NHẬP ĐƠN HÀNG'!$C$6:$C$505,0))="","",INDEX('NHẬP ĐƠN HÀNG'!$D$6:$D$505,MATCH($B132,'NHẬP ĐƠN HÀNG'!$C$6:$C$505,0))),""))</f>
        <v/>
      </c>
      <c r="D132" s="16" t="str">
        <f aca="false">IF($B132="","",IFERROR(IF(INDEX('NHẬP ĐƠN HÀNG'!$E$6:$E$505,MATCH($B132,'NHẬP ĐƠN HÀNG'!$C$6:$C$505,0))="","",INDEX('NHẬP ĐƠN HÀNG'!$E$6:$E$505,MATCH($B132,'NHẬP ĐƠN HÀNG'!$C$6:$C$505,0))),""))</f>
        <v/>
      </c>
      <c r="E132" s="16" t="str">
        <f aca="false">IF($B132="","",IFERROR(IF(INDEX('NHẬP ĐƠN HÀNG'!$F$6:$F$505,MATCH($B132,'NHẬP ĐƠN HÀNG'!$C$6:$C$505,0))="","",INDEX('NHẬP ĐƠN HÀNG'!$F$6:$F$505,MATCH($B132,'NHẬP ĐƠN HÀNG'!$C$6:$C$505,0))),""))</f>
        <v/>
      </c>
      <c r="F132" s="16" t="str">
        <f aca="false">IF($B132="","",IFERROR(IF(INDEX('NHẬP ĐƠN HÀNG'!$G$6:$G$505,MATCH($B132,'NHẬP ĐƠN HÀNG'!$C$6:$C$505,0))="","",INDEX('NHẬP ĐƠN HÀNG'!$G$6:$G$505,MATCH($B132,'NHẬP ĐƠN HÀNG'!$C$6:$C$505,0))),""))</f>
        <v/>
      </c>
      <c r="G132" s="10" t="str">
        <f aca="false">IF($B132="","",COUNTIFS('NHẬP ĐƠN HÀNG'!$C$6:$C$505,$B132,'NHẬP ĐƠN HÀNG'!$L$6:$L$505,"&gt;0"))</f>
        <v/>
      </c>
      <c r="H132" s="10" t="str">
        <f aca="false">IF($B132="","",SUMIF('NHẬP ĐƠN HÀNG'!$C$6:$C$505,$B132,'NHẬP ĐƠN HÀNG'!$L$6:$L$505))</f>
        <v/>
      </c>
      <c r="I132" s="10" t="str">
        <f aca="false">IF($B132="","",SUMIF('NHẬP ĐƠN HÀNG'!$C$6:$C$505,$B132,'NHẬP ĐƠN HÀNG'!$P$6:$P$505))</f>
        <v/>
      </c>
      <c r="J132" s="10" t="str">
        <f aca="false">IF($B132="","",SUMIF('NHẬP ĐƠN HÀNG'!$C$6:$C$505,$B132,'NHẬP ĐƠN HÀNG'!$Q$6:$Q$505))</f>
        <v/>
      </c>
      <c r="K132" s="10" t="str">
        <f aca="false">IF($B132="","",SUMIF('NHẬP ĐƠN HÀNG'!$C$6:$C$505,$B132,'NHẬP ĐƠN HÀNG'!$R$6:$R$505))</f>
        <v/>
      </c>
      <c r="L132" s="10" t="str">
        <f aca="false">IF($B132="","",SUMIF('NHẬP ĐƠN HÀNG'!$C$6:$C$505,$B132,'NHẬP ĐƠN HÀNG'!$U$6:$U$505))</f>
        <v/>
      </c>
      <c r="M132" s="34" t="str">
        <f aca="false">IF($B132="","",IF(SUMPRODUCT(MAX(('NHẬP ĐƠN HÀNG'!$C$6:$C$505=$B132)*'NHẬP ĐƠN HÀNG'!$B$6:$B$505))=0,"",SUMPRODUCT(MAX(('NHẬP ĐƠN HÀNG'!$C$6:$C$505=$B132)*'NHẬP ĐƠN HÀNG'!$B$6:$B$505))))</f>
        <v/>
      </c>
      <c r="N132" s="16" t="str">
        <f aca="false">IF($B132="","",IF($G132=0,"Chưa có đơn",IF(COUNTIFS('NHẬP ĐƠN HÀNG'!$C$6:$C$505,$B132,'NHẬP ĐƠN HÀNG'!$N$6:$N$505,"&gt;0")&gt;0,"Có lấy VAT","Không lấy VAT")))</f>
        <v/>
      </c>
    </row>
    <row r="133" customFormat="false" ht="15" hidden="false" customHeight="false" outlineLevel="0" collapsed="false">
      <c r="A133" s="16" t="str">
        <f aca="false">IF($B133="","",128)</f>
        <v/>
      </c>
      <c r="B133" s="16" t="str">
        <f aca="false">IFERROR(INDEX('NHẬP ĐƠN HÀNG'!$C$6:$C$505,MATCH(128,'NHẬP ĐƠN HÀNG'!$AB$6:$AB$505,0)),"")</f>
        <v/>
      </c>
      <c r="C133" s="16" t="str">
        <f aca="false">IF($B133="","",IFERROR(IF(INDEX('NHẬP ĐƠN HÀNG'!$D$6:$D$505,MATCH($B133,'NHẬP ĐƠN HÀNG'!$C$6:$C$505,0))="","",INDEX('NHẬP ĐƠN HÀNG'!$D$6:$D$505,MATCH($B133,'NHẬP ĐƠN HÀNG'!$C$6:$C$505,0))),""))</f>
        <v/>
      </c>
      <c r="D133" s="16" t="str">
        <f aca="false">IF($B133="","",IFERROR(IF(INDEX('NHẬP ĐƠN HÀNG'!$E$6:$E$505,MATCH($B133,'NHẬP ĐƠN HÀNG'!$C$6:$C$505,0))="","",INDEX('NHẬP ĐƠN HÀNG'!$E$6:$E$505,MATCH($B133,'NHẬP ĐƠN HÀNG'!$C$6:$C$505,0))),""))</f>
        <v/>
      </c>
      <c r="E133" s="16" t="str">
        <f aca="false">IF($B133="","",IFERROR(IF(INDEX('NHẬP ĐƠN HÀNG'!$F$6:$F$505,MATCH($B133,'NHẬP ĐƠN HÀNG'!$C$6:$C$505,0))="","",INDEX('NHẬP ĐƠN HÀNG'!$F$6:$F$505,MATCH($B133,'NHẬP ĐƠN HÀNG'!$C$6:$C$505,0))),""))</f>
        <v/>
      </c>
      <c r="F133" s="16" t="str">
        <f aca="false">IF($B133="","",IFERROR(IF(INDEX('NHẬP ĐƠN HÀNG'!$G$6:$G$505,MATCH($B133,'NHẬP ĐƠN HÀNG'!$C$6:$C$505,0))="","",INDEX('NHẬP ĐƠN HÀNG'!$G$6:$G$505,MATCH($B133,'NHẬP ĐƠN HÀNG'!$C$6:$C$505,0))),""))</f>
        <v/>
      </c>
      <c r="G133" s="10" t="str">
        <f aca="false">IF($B133="","",COUNTIFS('NHẬP ĐƠN HÀNG'!$C$6:$C$505,$B133,'NHẬP ĐƠN HÀNG'!$L$6:$L$505,"&gt;0"))</f>
        <v/>
      </c>
      <c r="H133" s="10" t="str">
        <f aca="false">IF($B133="","",SUMIF('NHẬP ĐƠN HÀNG'!$C$6:$C$505,$B133,'NHẬP ĐƠN HÀNG'!$L$6:$L$505))</f>
        <v/>
      </c>
      <c r="I133" s="10" t="str">
        <f aca="false">IF($B133="","",SUMIF('NHẬP ĐƠN HÀNG'!$C$6:$C$505,$B133,'NHẬP ĐƠN HÀNG'!$P$6:$P$505))</f>
        <v/>
      </c>
      <c r="J133" s="10" t="str">
        <f aca="false">IF($B133="","",SUMIF('NHẬP ĐƠN HÀNG'!$C$6:$C$505,$B133,'NHẬP ĐƠN HÀNG'!$Q$6:$Q$505))</f>
        <v/>
      </c>
      <c r="K133" s="10" t="str">
        <f aca="false">IF($B133="","",SUMIF('NHẬP ĐƠN HÀNG'!$C$6:$C$505,$B133,'NHẬP ĐƠN HÀNG'!$R$6:$R$505))</f>
        <v/>
      </c>
      <c r="L133" s="10" t="str">
        <f aca="false">IF($B133="","",SUMIF('NHẬP ĐƠN HÀNG'!$C$6:$C$505,$B133,'NHẬP ĐƠN HÀNG'!$U$6:$U$505))</f>
        <v/>
      </c>
      <c r="M133" s="34" t="str">
        <f aca="false">IF($B133="","",IF(SUMPRODUCT(MAX(('NHẬP ĐƠN HÀNG'!$C$6:$C$505=$B133)*'NHẬP ĐƠN HÀNG'!$B$6:$B$505))=0,"",SUMPRODUCT(MAX(('NHẬP ĐƠN HÀNG'!$C$6:$C$505=$B133)*'NHẬP ĐƠN HÀNG'!$B$6:$B$505))))</f>
        <v/>
      </c>
      <c r="N133" s="16" t="str">
        <f aca="false">IF($B133="","",IF($G133=0,"Chưa có đơn",IF(COUNTIFS('NHẬP ĐƠN HÀNG'!$C$6:$C$505,$B133,'NHẬP ĐƠN HÀNG'!$N$6:$N$505,"&gt;0")&gt;0,"Có lấy VAT","Không lấy VAT")))</f>
        <v/>
      </c>
    </row>
    <row r="134" customFormat="false" ht="15" hidden="false" customHeight="false" outlineLevel="0" collapsed="false">
      <c r="A134" s="16" t="str">
        <f aca="false">IF($B134="","",129)</f>
        <v/>
      </c>
      <c r="B134" s="16" t="str">
        <f aca="false">IFERROR(INDEX('NHẬP ĐƠN HÀNG'!$C$6:$C$505,MATCH(129,'NHẬP ĐƠN HÀNG'!$AB$6:$AB$505,0)),"")</f>
        <v/>
      </c>
      <c r="C134" s="16" t="str">
        <f aca="false">IF($B134="","",IFERROR(IF(INDEX('NHẬP ĐƠN HÀNG'!$D$6:$D$505,MATCH($B134,'NHẬP ĐƠN HÀNG'!$C$6:$C$505,0))="","",INDEX('NHẬP ĐƠN HÀNG'!$D$6:$D$505,MATCH($B134,'NHẬP ĐƠN HÀNG'!$C$6:$C$505,0))),""))</f>
        <v/>
      </c>
      <c r="D134" s="16" t="str">
        <f aca="false">IF($B134="","",IFERROR(IF(INDEX('NHẬP ĐƠN HÀNG'!$E$6:$E$505,MATCH($B134,'NHẬP ĐƠN HÀNG'!$C$6:$C$505,0))="","",INDEX('NHẬP ĐƠN HÀNG'!$E$6:$E$505,MATCH($B134,'NHẬP ĐƠN HÀNG'!$C$6:$C$505,0))),""))</f>
        <v/>
      </c>
      <c r="E134" s="16" t="str">
        <f aca="false">IF($B134="","",IFERROR(IF(INDEX('NHẬP ĐƠN HÀNG'!$F$6:$F$505,MATCH($B134,'NHẬP ĐƠN HÀNG'!$C$6:$C$505,0))="","",INDEX('NHẬP ĐƠN HÀNG'!$F$6:$F$505,MATCH($B134,'NHẬP ĐƠN HÀNG'!$C$6:$C$505,0))),""))</f>
        <v/>
      </c>
      <c r="F134" s="16" t="str">
        <f aca="false">IF($B134="","",IFERROR(IF(INDEX('NHẬP ĐƠN HÀNG'!$G$6:$G$505,MATCH($B134,'NHẬP ĐƠN HÀNG'!$C$6:$C$505,0))="","",INDEX('NHẬP ĐƠN HÀNG'!$G$6:$G$505,MATCH($B134,'NHẬP ĐƠN HÀNG'!$C$6:$C$505,0))),""))</f>
        <v/>
      </c>
      <c r="G134" s="10" t="str">
        <f aca="false">IF($B134="","",COUNTIFS('NHẬP ĐƠN HÀNG'!$C$6:$C$505,$B134,'NHẬP ĐƠN HÀNG'!$L$6:$L$505,"&gt;0"))</f>
        <v/>
      </c>
      <c r="H134" s="10" t="str">
        <f aca="false">IF($B134="","",SUMIF('NHẬP ĐƠN HÀNG'!$C$6:$C$505,$B134,'NHẬP ĐƠN HÀNG'!$L$6:$L$505))</f>
        <v/>
      </c>
      <c r="I134" s="10" t="str">
        <f aca="false">IF($B134="","",SUMIF('NHẬP ĐƠN HÀNG'!$C$6:$C$505,$B134,'NHẬP ĐƠN HÀNG'!$P$6:$P$505))</f>
        <v/>
      </c>
      <c r="J134" s="10" t="str">
        <f aca="false">IF($B134="","",SUMIF('NHẬP ĐƠN HÀNG'!$C$6:$C$505,$B134,'NHẬP ĐƠN HÀNG'!$Q$6:$Q$505))</f>
        <v/>
      </c>
      <c r="K134" s="10" t="str">
        <f aca="false">IF($B134="","",SUMIF('NHẬP ĐƠN HÀNG'!$C$6:$C$505,$B134,'NHẬP ĐƠN HÀNG'!$R$6:$R$505))</f>
        <v/>
      </c>
      <c r="L134" s="10" t="str">
        <f aca="false">IF($B134="","",SUMIF('NHẬP ĐƠN HÀNG'!$C$6:$C$505,$B134,'NHẬP ĐƠN HÀNG'!$U$6:$U$505))</f>
        <v/>
      </c>
      <c r="M134" s="34" t="str">
        <f aca="false">IF($B134="","",IF(SUMPRODUCT(MAX(('NHẬP ĐƠN HÀNG'!$C$6:$C$505=$B134)*'NHẬP ĐƠN HÀNG'!$B$6:$B$505))=0,"",SUMPRODUCT(MAX(('NHẬP ĐƠN HÀNG'!$C$6:$C$505=$B134)*'NHẬP ĐƠN HÀNG'!$B$6:$B$505))))</f>
        <v/>
      </c>
      <c r="N134" s="16" t="str">
        <f aca="false">IF($B134="","",IF($G134=0,"Chưa có đơn",IF(COUNTIFS('NHẬP ĐƠN HÀNG'!$C$6:$C$505,$B134,'NHẬP ĐƠN HÀNG'!$N$6:$N$505,"&gt;0")&gt;0,"Có lấy VAT","Không lấy VAT")))</f>
        <v/>
      </c>
    </row>
    <row r="135" customFormat="false" ht="15" hidden="false" customHeight="false" outlineLevel="0" collapsed="false">
      <c r="A135" s="16" t="str">
        <f aca="false">IF($B135="","",130)</f>
        <v/>
      </c>
      <c r="B135" s="16" t="str">
        <f aca="false">IFERROR(INDEX('NHẬP ĐƠN HÀNG'!$C$6:$C$505,MATCH(130,'NHẬP ĐƠN HÀNG'!$AB$6:$AB$505,0)),"")</f>
        <v/>
      </c>
      <c r="C135" s="16" t="str">
        <f aca="false">IF($B135="","",IFERROR(IF(INDEX('NHẬP ĐƠN HÀNG'!$D$6:$D$505,MATCH($B135,'NHẬP ĐƠN HÀNG'!$C$6:$C$505,0))="","",INDEX('NHẬP ĐƠN HÀNG'!$D$6:$D$505,MATCH($B135,'NHẬP ĐƠN HÀNG'!$C$6:$C$505,0))),""))</f>
        <v/>
      </c>
      <c r="D135" s="16" t="str">
        <f aca="false">IF($B135="","",IFERROR(IF(INDEX('NHẬP ĐƠN HÀNG'!$E$6:$E$505,MATCH($B135,'NHẬP ĐƠN HÀNG'!$C$6:$C$505,0))="","",INDEX('NHẬP ĐƠN HÀNG'!$E$6:$E$505,MATCH($B135,'NHẬP ĐƠN HÀNG'!$C$6:$C$505,0))),""))</f>
        <v/>
      </c>
      <c r="E135" s="16" t="str">
        <f aca="false">IF($B135="","",IFERROR(IF(INDEX('NHẬP ĐƠN HÀNG'!$F$6:$F$505,MATCH($B135,'NHẬP ĐƠN HÀNG'!$C$6:$C$505,0))="","",INDEX('NHẬP ĐƠN HÀNG'!$F$6:$F$505,MATCH($B135,'NHẬP ĐƠN HÀNG'!$C$6:$C$505,0))),""))</f>
        <v/>
      </c>
      <c r="F135" s="16" t="str">
        <f aca="false">IF($B135="","",IFERROR(IF(INDEX('NHẬP ĐƠN HÀNG'!$G$6:$G$505,MATCH($B135,'NHẬP ĐƠN HÀNG'!$C$6:$C$505,0))="","",INDEX('NHẬP ĐƠN HÀNG'!$G$6:$G$505,MATCH($B135,'NHẬP ĐƠN HÀNG'!$C$6:$C$505,0))),""))</f>
        <v/>
      </c>
      <c r="G135" s="10" t="str">
        <f aca="false">IF($B135="","",COUNTIFS('NHẬP ĐƠN HÀNG'!$C$6:$C$505,$B135,'NHẬP ĐƠN HÀNG'!$L$6:$L$505,"&gt;0"))</f>
        <v/>
      </c>
      <c r="H135" s="10" t="str">
        <f aca="false">IF($B135="","",SUMIF('NHẬP ĐƠN HÀNG'!$C$6:$C$505,$B135,'NHẬP ĐƠN HÀNG'!$L$6:$L$505))</f>
        <v/>
      </c>
      <c r="I135" s="10" t="str">
        <f aca="false">IF($B135="","",SUMIF('NHẬP ĐƠN HÀNG'!$C$6:$C$505,$B135,'NHẬP ĐƠN HÀNG'!$P$6:$P$505))</f>
        <v/>
      </c>
      <c r="J135" s="10" t="str">
        <f aca="false">IF($B135="","",SUMIF('NHẬP ĐƠN HÀNG'!$C$6:$C$505,$B135,'NHẬP ĐƠN HÀNG'!$Q$6:$Q$505))</f>
        <v/>
      </c>
      <c r="K135" s="10" t="str">
        <f aca="false">IF($B135="","",SUMIF('NHẬP ĐƠN HÀNG'!$C$6:$C$505,$B135,'NHẬP ĐƠN HÀNG'!$R$6:$R$505))</f>
        <v/>
      </c>
      <c r="L135" s="10" t="str">
        <f aca="false">IF($B135="","",SUMIF('NHẬP ĐƠN HÀNG'!$C$6:$C$505,$B135,'NHẬP ĐƠN HÀNG'!$U$6:$U$505))</f>
        <v/>
      </c>
      <c r="M135" s="34" t="str">
        <f aca="false">IF($B135="","",IF(SUMPRODUCT(MAX(('NHẬP ĐƠN HÀNG'!$C$6:$C$505=$B135)*'NHẬP ĐƠN HÀNG'!$B$6:$B$505))=0,"",SUMPRODUCT(MAX(('NHẬP ĐƠN HÀNG'!$C$6:$C$505=$B135)*'NHẬP ĐƠN HÀNG'!$B$6:$B$505))))</f>
        <v/>
      </c>
      <c r="N135" s="16" t="str">
        <f aca="false">IF($B135="","",IF($G135=0,"Chưa có đơn",IF(COUNTIFS('NHẬP ĐƠN HÀNG'!$C$6:$C$505,$B135,'NHẬP ĐƠN HÀNG'!$N$6:$N$505,"&gt;0")&gt;0,"Có lấy VAT","Không lấy VAT")))</f>
        <v/>
      </c>
    </row>
    <row r="136" customFormat="false" ht="15" hidden="false" customHeight="false" outlineLevel="0" collapsed="false">
      <c r="A136" s="16" t="str">
        <f aca="false">IF($B136="","",131)</f>
        <v/>
      </c>
      <c r="B136" s="16" t="str">
        <f aca="false">IFERROR(INDEX('NHẬP ĐƠN HÀNG'!$C$6:$C$505,MATCH(131,'NHẬP ĐƠN HÀNG'!$AB$6:$AB$505,0)),"")</f>
        <v/>
      </c>
      <c r="C136" s="16" t="str">
        <f aca="false">IF($B136="","",IFERROR(IF(INDEX('NHẬP ĐƠN HÀNG'!$D$6:$D$505,MATCH($B136,'NHẬP ĐƠN HÀNG'!$C$6:$C$505,0))="","",INDEX('NHẬP ĐƠN HÀNG'!$D$6:$D$505,MATCH($B136,'NHẬP ĐƠN HÀNG'!$C$6:$C$505,0))),""))</f>
        <v/>
      </c>
      <c r="D136" s="16" t="str">
        <f aca="false">IF($B136="","",IFERROR(IF(INDEX('NHẬP ĐƠN HÀNG'!$E$6:$E$505,MATCH($B136,'NHẬP ĐƠN HÀNG'!$C$6:$C$505,0))="","",INDEX('NHẬP ĐƠN HÀNG'!$E$6:$E$505,MATCH($B136,'NHẬP ĐƠN HÀNG'!$C$6:$C$505,0))),""))</f>
        <v/>
      </c>
      <c r="E136" s="16" t="str">
        <f aca="false">IF($B136="","",IFERROR(IF(INDEX('NHẬP ĐƠN HÀNG'!$F$6:$F$505,MATCH($B136,'NHẬP ĐƠN HÀNG'!$C$6:$C$505,0))="","",INDEX('NHẬP ĐƠN HÀNG'!$F$6:$F$505,MATCH($B136,'NHẬP ĐƠN HÀNG'!$C$6:$C$505,0))),""))</f>
        <v/>
      </c>
      <c r="F136" s="16" t="str">
        <f aca="false">IF($B136="","",IFERROR(IF(INDEX('NHẬP ĐƠN HÀNG'!$G$6:$G$505,MATCH($B136,'NHẬP ĐƠN HÀNG'!$C$6:$C$505,0))="","",INDEX('NHẬP ĐƠN HÀNG'!$G$6:$G$505,MATCH($B136,'NHẬP ĐƠN HÀNG'!$C$6:$C$505,0))),""))</f>
        <v/>
      </c>
      <c r="G136" s="10" t="str">
        <f aca="false">IF($B136="","",COUNTIFS('NHẬP ĐƠN HÀNG'!$C$6:$C$505,$B136,'NHẬP ĐƠN HÀNG'!$L$6:$L$505,"&gt;0"))</f>
        <v/>
      </c>
      <c r="H136" s="10" t="str">
        <f aca="false">IF($B136="","",SUMIF('NHẬP ĐƠN HÀNG'!$C$6:$C$505,$B136,'NHẬP ĐƠN HÀNG'!$L$6:$L$505))</f>
        <v/>
      </c>
      <c r="I136" s="10" t="str">
        <f aca="false">IF($B136="","",SUMIF('NHẬP ĐƠN HÀNG'!$C$6:$C$505,$B136,'NHẬP ĐƠN HÀNG'!$P$6:$P$505))</f>
        <v/>
      </c>
      <c r="J136" s="10" t="str">
        <f aca="false">IF($B136="","",SUMIF('NHẬP ĐƠN HÀNG'!$C$6:$C$505,$B136,'NHẬP ĐƠN HÀNG'!$Q$6:$Q$505))</f>
        <v/>
      </c>
      <c r="K136" s="10" t="str">
        <f aca="false">IF($B136="","",SUMIF('NHẬP ĐƠN HÀNG'!$C$6:$C$505,$B136,'NHẬP ĐƠN HÀNG'!$R$6:$R$505))</f>
        <v/>
      </c>
      <c r="L136" s="10" t="str">
        <f aca="false">IF($B136="","",SUMIF('NHẬP ĐƠN HÀNG'!$C$6:$C$505,$B136,'NHẬP ĐƠN HÀNG'!$U$6:$U$505))</f>
        <v/>
      </c>
      <c r="M136" s="34" t="str">
        <f aca="false">IF($B136="","",IF(SUMPRODUCT(MAX(('NHẬP ĐƠN HÀNG'!$C$6:$C$505=$B136)*'NHẬP ĐƠN HÀNG'!$B$6:$B$505))=0,"",SUMPRODUCT(MAX(('NHẬP ĐƠN HÀNG'!$C$6:$C$505=$B136)*'NHẬP ĐƠN HÀNG'!$B$6:$B$505))))</f>
        <v/>
      </c>
      <c r="N136" s="16" t="str">
        <f aca="false">IF($B136="","",IF($G136=0,"Chưa có đơn",IF(COUNTIFS('NHẬP ĐƠN HÀNG'!$C$6:$C$505,$B136,'NHẬP ĐƠN HÀNG'!$N$6:$N$505,"&gt;0")&gt;0,"Có lấy VAT","Không lấy VAT")))</f>
        <v/>
      </c>
    </row>
    <row r="137" customFormat="false" ht="15" hidden="false" customHeight="false" outlineLevel="0" collapsed="false">
      <c r="A137" s="16" t="str">
        <f aca="false">IF($B137="","",132)</f>
        <v/>
      </c>
      <c r="B137" s="16" t="str">
        <f aca="false">IFERROR(INDEX('NHẬP ĐƠN HÀNG'!$C$6:$C$505,MATCH(132,'NHẬP ĐƠN HÀNG'!$AB$6:$AB$505,0)),"")</f>
        <v/>
      </c>
      <c r="C137" s="16" t="str">
        <f aca="false">IF($B137="","",IFERROR(IF(INDEX('NHẬP ĐƠN HÀNG'!$D$6:$D$505,MATCH($B137,'NHẬP ĐƠN HÀNG'!$C$6:$C$505,0))="","",INDEX('NHẬP ĐƠN HÀNG'!$D$6:$D$505,MATCH($B137,'NHẬP ĐƠN HÀNG'!$C$6:$C$505,0))),""))</f>
        <v/>
      </c>
      <c r="D137" s="16" t="str">
        <f aca="false">IF($B137="","",IFERROR(IF(INDEX('NHẬP ĐƠN HÀNG'!$E$6:$E$505,MATCH($B137,'NHẬP ĐƠN HÀNG'!$C$6:$C$505,0))="","",INDEX('NHẬP ĐƠN HÀNG'!$E$6:$E$505,MATCH($B137,'NHẬP ĐƠN HÀNG'!$C$6:$C$505,0))),""))</f>
        <v/>
      </c>
      <c r="E137" s="16" t="str">
        <f aca="false">IF($B137="","",IFERROR(IF(INDEX('NHẬP ĐƠN HÀNG'!$F$6:$F$505,MATCH($B137,'NHẬP ĐƠN HÀNG'!$C$6:$C$505,0))="","",INDEX('NHẬP ĐƠN HÀNG'!$F$6:$F$505,MATCH($B137,'NHẬP ĐƠN HÀNG'!$C$6:$C$505,0))),""))</f>
        <v/>
      </c>
      <c r="F137" s="16" t="str">
        <f aca="false">IF($B137="","",IFERROR(IF(INDEX('NHẬP ĐƠN HÀNG'!$G$6:$G$505,MATCH($B137,'NHẬP ĐƠN HÀNG'!$C$6:$C$505,0))="","",INDEX('NHẬP ĐƠN HÀNG'!$G$6:$G$505,MATCH($B137,'NHẬP ĐƠN HÀNG'!$C$6:$C$505,0))),""))</f>
        <v/>
      </c>
      <c r="G137" s="10" t="str">
        <f aca="false">IF($B137="","",COUNTIFS('NHẬP ĐƠN HÀNG'!$C$6:$C$505,$B137,'NHẬP ĐƠN HÀNG'!$L$6:$L$505,"&gt;0"))</f>
        <v/>
      </c>
      <c r="H137" s="10" t="str">
        <f aca="false">IF($B137="","",SUMIF('NHẬP ĐƠN HÀNG'!$C$6:$C$505,$B137,'NHẬP ĐƠN HÀNG'!$L$6:$L$505))</f>
        <v/>
      </c>
      <c r="I137" s="10" t="str">
        <f aca="false">IF($B137="","",SUMIF('NHẬP ĐƠN HÀNG'!$C$6:$C$505,$B137,'NHẬP ĐƠN HÀNG'!$P$6:$P$505))</f>
        <v/>
      </c>
      <c r="J137" s="10" t="str">
        <f aca="false">IF($B137="","",SUMIF('NHẬP ĐƠN HÀNG'!$C$6:$C$505,$B137,'NHẬP ĐƠN HÀNG'!$Q$6:$Q$505))</f>
        <v/>
      </c>
      <c r="K137" s="10" t="str">
        <f aca="false">IF($B137="","",SUMIF('NHẬP ĐƠN HÀNG'!$C$6:$C$505,$B137,'NHẬP ĐƠN HÀNG'!$R$6:$R$505))</f>
        <v/>
      </c>
      <c r="L137" s="10" t="str">
        <f aca="false">IF($B137="","",SUMIF('NHẬP ĐƠN HÀNG'!$C$6:$C$505,$B137,'NHẬP ĐƠN HÀNG'!$U$6:$U$505))</f>
        <v/>
      </c>
      <c r="M137" s="34" t="str">
        <f aca="false">IF($B137="","",IF(SUMPRODUCT(MAX(('NHẬP ĐƠN HÀNG'!$C$6:$C$505=$B137)*'NHẬP ĐƠN HÀNG'!$B$6:$B$505))=0,"",SUMPRODUCT(MAX(('NHẬP ĐƠN HÀNG'!$C$6:$C$505=$B137)*'NHẬP ĐƠN HÀNG'!$B$6:$B$505))))</f>
        <v/>
      </c>
      <c r="N137" s="16" t="str">
        <f aca="false">IF($B137="","",IF($G137=0,"Chưa có đơn",IF(COUNTIFS('NHẬP ĐƠN HÀNG'!$C$6:$C$505,$B137,'NHẬP ĐƠN HÀNG'!$N$6:$N$505,"&gt;0")&gt;0,"Có lấy VAT","Không lấy VAT")))</f>
        <v/>
      </c>
    </row>
    <row r="138" customFormat="false" ht="15" hidden="false" customHeight="false" outlineLevel="0" collapsed="false">
      <c r="A138" s="16" t="str">
        <f aca="false">IF($B138="","",133)</f>
        <v/>
      </c>
      <c r="B138" s="16" t="str">
        <f aca="false">IFERROR(INDEX('NHẬP ĐƠN HÀNG'!$C$6:$C$505,MATCH(133,'NHẬP ĐƠN HÀNG'!$AB$6:$AB$505,0)),"")</f>
        <v/>
      </c>
      <c r="C138" s="16" t="str">
        <f aca="false">IF($B138="","",IFERROR(IF(INDEX('NHẬP ĐƠN HÀNG'!$D$6:$D$505,MATCH($B138,'NHẬP ĐƠN HÀNG'!$C$6:$C$505,0))="","",INDEX('NHẬP ĐƠN HÀNG'!$D$6:$D$505,MATCH($B138,'NHẬP ĐƠN HÀNG'!$C$6:$C$505,0))),""))</f>
        <v/>
      </c>
      <c r="D138" s="16" t="str">
        <f aca="false">IF($B138="","",IFERROR(IF(INDEX('NHẬP ĐƠN HÀNG'!$E$6:$E$505,MATCH($B138,'NHẬP ĐƠN HÀNG'!$C$6:$C$505,0))="","",INDEX('NHẬP ĐƠN HÀNG'!$E$6:$E$505,MATCH($B138,'NHẬP ĐƠN HÀNG'!$C$6:$C$505,0))),""))</f>
        <v/>
      </c>
      <c r="E138" s="16" t="str">
        <f aca="false">IF($B138="","",IFERROR(IF(INDEX('NHẬP ĐƠN HÀNG'!$F$6:$F$505,MATCH($B138,'NHẬP ĐƠN HÀNG'!$C$6:$C$505,0))="","",INDEX('NHẬP ĐƠN HÀNG'!$F$6:$F$505,MATCH($B138,'NHẬP ĐƠN HÀNG'!$C$6:$C$505,0))),""))</f>
        <v/>
      </c>
      <c r="F138" s="16" t="str">
        <f aca="false">IF($B138="","",IFERROR(IF(INDEX('NHẬP ĐƠN HÀNG'!$G$6:$G$505,MATCH($B138,'NHẬP ĐƠN HÀNG'!$C$6:$C$505,0))="","",INDEX('NHẬP ĐƠN HÀNG'!$G$6:$G$505,MATCH($B138,'NHẬP ĐƠN HÀNG'!$C$6:$C$505,0))),""))</f>
        <v/>
      </c>
      <c r="G138" s="10" t="str">
        <f aca="false">IF($B138="","",COUNTIFS('NHẬP ĐƠN HÀNG'!$C$6:$C$505,$B138,'NHẬP ĐƠN HÀNG'!$L$6:$L$505,"&gt;0"))</f>
        <v/>
      </c>
      <c r="H138" s="10" t="str">
        <f aca="false">IF($B138="","",SUMIF('NHẬP ĐƠN HÀNG'!$C$6:$C$505,$B138,'NHẬP ĐƠN HÀNG'!$L$6:$L$505))</f>
        <v/>
      </c>
      <c r="I138" s="10" t="str">
        <f aca="false">IF($B138="","",SUMIF('NHẬP ĐƠN HÀNG'!$C$6:$C$505,$B138,'NHẬP ĐƠN HÀNG'!$P$6:$P$505))</f>
        <v/>
      </c>
      <c r="J138" s="10" t="str">
        <f aca="false">IF($B138="","",SUMIF('NHẬP ĐƠN HÀNG'!$C$6:$C$505,$B138,'NHẬP ĐƠN HÀNG'!$Q$6:$Q$505))</f>
        <v/>
      </c>
      <c r="K138" s="10" t="str">
        <f aca="false">IF($B138="","",SUMIF('NHẬP ĐƠN HÀNG'!$C$6:$C$505,$B138,'NHẬP ĐƠN HÀNG'!$R$6:$R$505))</f>
        <v/>
      </c>
      <c r="L138" s="10" t="str">
        <f aca="false">IF($B138="","",SUMIF('NHẬP ĐƠN HÀNG'!$C$6:$C$505,$B138,'NHẬP ĐƠN HÀNG'!$U$6:$U$505))</f>
        <v/>
      </c>
      <c r="M138" s="34" t="str">
        <f aca="false">IF($B138="","",IF(SUMPRODUCT(MAX(('NHẬP ĐƠN HÀNG'!$C$6:$C$505=$B138)*'NHẬP ĐƠN HÀNG'!$B$6:$B$505))=0,"",SUMPRODUCT(MAX(('NHẬP ĐƠN HÀNG'!$C$6:$C$505=$B138)*'NHẬP ĐƠN HÀNG'!$B$6:$B$505))))</f>
        <v/>
      </c>
      <c r="N138" s="16" t="str">
        <f aca="false">IF($B138="","",IF($G138=0,"Chưa có đơn",IF(COUNTIFS('NHẬP ĐƠN HÀNG'!$C$6:$C$505,$B138,'NHẬP ĐƠN HÀNG'!$N$6:$N$505,"&gt;0")&gt;0,"Có lấy VAT","Không lấy VAT")))</f>
        <v/>
      </c>
    </row>
    <row r="139" customFormat="false" ht="15" hidden="false" customHeight="false" outlineLevel="0" collapsed="false">
      <c r="A139" s="16" t="str">
        <f aca="false">IF($B139="","",134)</f>
        <v/>
      </c>
      <c r="B139" s="16" t="str">
        <f aca="false">IFERROR(INDEX('NHẬP ĐƠN HÀNG'!$C$6:$C$505,MATCH(134,'NHẬP ĐƠN HÀNG'!$AB$6:$AB$505,0)),"")</f>
        <v/>
      </c>
      <c r="C139" s="16" t="str">
        <f aca="false">IF($B139="","",IFERROR(IF(INDEX('NHẬP ĐƠN HÀNG'!$D$6:$D$505,MATCH($B139,'NHẬP ĐƠN HÀNG'!$C$6:$C$505,0))="","",INDEX('NHẬP ĐƠN HÀNG'!$D$6:$D$505,MATCH($B139,'NHẬP ĐƠN HÀNG'!$C$6:$C$505,0))),""))</f>
        <v/>
      </c>
      <c r="D139" s="16" t="str">
        <f aca="false">IF($B139="","",IFERROR(IF(INDEX('NHẬP ĐƠN HÀNG'!$E$6:$E$505,MATCH($B139,'NHẬP ĐƠN HÀNG'!$C$6:$C$505,0))="","",INDEX('NHẬP ĐƠN HÀNG'!$E$6:$E$505,MATCH($B139,'NHẬP ĐƠN HÀNG'!$C$6:$C$505,0))),""))</f>
        <v/>
      </c>
      <c r="E139" s="16" t="str">
        <f aca="false">IF($B139="","",IFERROR(IF(INDEX('NHẬP ĐƠN HÀNG'!$F$6:$F$505,MATCH($B139,'NHẬP ĐƠN HÀNG'!$C$6:$C$505,0))="","",INDEX('NHẬP ĐƠN HÀNG'!$F$6:$F$505,MATCH($B139,'NHẬP ĐƠN HÀNG'!$C$6:$C$505,0))),""))</f>
        <v/>
      </c>
      <c r="F139" s="16" t="str">
        <f aca="false">IF($B139="","",IFERROR(IF(INDEX('NHẬP ĐƠN HÀNG'!$G$6:$G$505,MATCH($B139,'NHẬP ĐƠN HÀNG'!$C$6:$C$505,0))="","",INDEX('NHẬP ĐƠN HÀNG'!$G$6:$G$505,MATCH($B139,'NHẬP ĐƠN HÀNG'!$C$6:$C$505,0))),""))</f>
        <v/>
      </c>
      <c r="G139" s="10" t="str">
        <f aca="false">IF($B139="","",COUNTIFS('NHẬP ĐƠN HÀNG'!$C$6:$C$505,$B139,'NHẬP ĐƠN HÀNG'!$L$6:$L$505,"&gt;0"))</f>
        <v/>
      </c>
      <c r="H139" s="10" t="str">
        <f aca="false">IF($B139="","",SUMIF('NHẬP ĐƠN HÀNG'!$C$6:$C$505,$B139,'NHẬP ĐƠN HÀNG'!$L$6:$L$505))</f>
        <v/>
      </c>
      <c r="I139" s="10" t="str">
        <f aca="false">IF($B139="","",SUMIF('NHẬP ĐƠN HÀNG'!$C$6:$C$505,$B139,'NHẬP ĐƠN HÀNG'!$P$6:$P$505))</f>
        <v/>
      </c>
      <c r="J139" s="10" t="str">
        <f aca="false">IF($B139="","",SUMIF('NHẬP ĐƠN HÀNG'!$C$6:$C$505,$B139,'NHẬP ĐƠN HÀNG'!$Q$6:$Q$505))</f>
        <v/>
      </c>
      <c r="K139" s="10" t="str">
        <f aca="false">IF($B139="","",SUMIF('NHẬP ĐƠN HÀNG'!$C$6:$C$505,$B139,'NHẬP ĐƠN HÀNG'!$R$6:$R$505))</f>
        <v/>
      </c>
      <c r="L139" s="10" t="str">
        <f aca="false">IF($B139="","",SUMIF('NHẬP ĐƠN HÀNG'!$C$6:$C$505,$B139,'NHẬP ĐƠN HÀNG'!$U$6:$U$505))</f>
        <v/>
      </c>
      <c r="M139" s="34" t="str">
        <f aca="false">IF($B139="","",IF(SUMPRODUCT(MAX(('NHẬP ĐƠN HÀNG'!$C$6:$C$505=$B139)*'NHẬP ĐƠN HÀNG'!$B$6:$B$505))=0,"",SUMPRODUCT(MAX(('NHẬP ĐƠN HÀNG'!$C$6:$C$505=$B139)*'NHẬP ĐƠN HÀNG'!$B$6:$B$505))))</f>
        <v/>
      </c>
      <c r="N139" s="16" t="str">
        <f aca="false">IF($B139="","",IF($G139=0,"Chưa có đơn",IF(COUNTIFS('NHẬP ĐƠN HÀNG'!$C$6:$C$505,$B139,'NHẬP ĐƠN HÀNG'!$N$6:$N$505,"&gt;0")&gt;0,"Có lấy VAT","Không lấy VAT")))</f>
        <v/>
      </c>
    </row>
    <row r="140" customFormat="false" ht="15" hidden="false" customHeight="false" outlineLevel="0" collapsed="false">
      <c r="A140" s="16" t="str">
        <f aca="false">IF($B140="","",135)</f>
        <v/>
      </c>
      <c r="B140" s="16" t="str">
        <f aca="false">IFERROR(INDEX('NHẬP ĐƠN HÀNG'!$C$6:$C$505,MATCH(135,'NHẬP ĐƠN HÀNG'!$AB$6:$AB$505,0)),"")</f>
        <v/>
      </c>
      <c r="C140" s="16" t="str">
        <f aca="false">IF($B140="","",IFERROR(IF(INDEX('NHẬP ĐƠN HÀNG'!$D$6:$D$505,MATCH($B140,'NHẬP ĐƠN HÀNG'!$C$6:$C$505,0))="","",INDEX('NHẬP ĐƠN HÀNG'!$D$6:$D$505,MATCH($B140,'NHẬP ĐƠN HÀNG'!$C$6:$C$505,0))),""))</f>
        <v/>
      </c>
      <c r="D140" s="16" t="str">
        <f aca="false">IF($B140="","",IFERROR(IF(INDEX('NHẬP ĐƠN HÀNG'!$E$6:$E$505,MATCH($B140,'NHẬP ĐƠN HÀNG'!$C$6:$C$505,0))="","",INDEX('NHẬP ĐƠN HÀNG'!$E$6:$E$505,MATCH($B140,'NHẬP ĐƠN HÀNG'!$C$6:$C$505,0))),""))</f>
        <v/>
      </c>
      <c r="E140" s="16" t="str">
        <f aca="false">IF($B140="","",IFERROR(IF(INDEX('NHẬP ĐƠN HÀNG'!$F$6:$F$505,MATCH($B140,'NHẬP ĐƠN HÀNG'!$C$6:$C$505,0))="","",INDEX('NHẬP ĐƠN HÀNG'!$F$6:$F$505,MATCH($B140,'NHẬP ĐƠN HÀNG'!$C$6:$C$505,0))),""))</f>
        <v/>
      </c>
      <c r="F140" s="16" t="str">
        <f aca="false">IF($B140="","",IFERROR(IF(INDEX('NHẬP ĐƠN HÀNG'!$G$6:$G$505,MATCH($B140,'NHẬP ĐƠN HÀNG'!$C$6:$C$505,0))="","",INDEX('NHẬP ĐƠN HÀNG'!$G$6:$G$505,MATCH($B140,'NHẬP ĐƠN HÀNG'!$C$6:$C$505,0))),""))</f>
        <v/>
      </c>
      <c r="G140" s="10" t="str">
        <f aca="false">IF($B140="","",COUNTIFS('NHẬP ĐƠN HÀNG'!$C$6:$C$505,$B140,'NHẬP ĐƠN HÀNG'!$L$6:$L$505,"&gt;0"))</f>
        <v/>
      </c>
      <c r="H140" s="10" t="str">
        <f aca="false">IF($B140="","",SUMIF('NHẬP ĐƠN HÀNG'!$C$6:$C$505,$B140,'NHẬP ĐƠN HÀNG'!$L$6:$L$505))</f>
        <v/>
      </c>
      <c r="I140" s="10" t="str">
        <f aca="false">IF($B140="","",SUMIF('NHẬP ĐƠN HÀNG'!$C$6:$C$505,$B140,'NHẬP ĐƠN HÀNG'!$P$6:$P$505))</f>
        <v/>
      </c>
      <c r="J140" s="10" t="str">
        <f aca="false">IF($B140="","",SUMIF('NHẬP ĐƠN HÀNG'!$C$6:$C$505,$B140,'NHẬP ĐƠN HÀNG'!$Q$6:$Q$505))</f>
        <v/>
      </c>
      <c r="K140" s="10" t="str">
        <f aca="false">IF($B140="","",SUMIF('NHẬP ĐƠN HÀNG'!$C$6:$C$505,$B140,'NHẬP ĐƠN HÀNG'!$R$6:$R$505))</f>
        <v/>
      </c>
      <c r="L140" s="10" t="str">
        <f aca="false">IF($B140="","",SUMIF('NHẬP ĐƠN HÀNG'!$C$6:$C$505,$B140,'NHẬP ĐƠN HÀNG'!$U$6:$U$505))</f>
        <v/>
      </c>
      <c r="M140" s="34" t="str">
        <f aca="false">IF($B140="","",IF(SUMPRODUCT(MAX(('NHẬP ĐƠN HÀNG'!$C$6:$C$505=$B140)*'NHẬP ĐƠN HÀNG'!$B$6:$B$505))=0,"",SUMPRODUCT(MAX(('NHẬP ĐƠN HÀNG'!$C$6:$C$505=$B140)*'NHẬP ĐƠN HÀNG'!$B$6:$B$505))))</f>
        <v/>
      </c>
      <c r="N140" s="16" t="str">
        <f aca="false">IF($B140="","",IF($G140=0,"Chưa có đơn",IF(COUNTIFS('NHẬP ĐƠN HÀNG'!$C$6:$C$505,$B140,'NHẬP ĐƠN HÀNG'!$N$6:$N$505,"&gt;0")&gt;0,"Có lấy VAT","Không lấy VAT")))</f>
        <v/>
      </c>
    </row>
    <row r="141" customFormat="false" ht="15" hidden="false" customHeight="false" outlineLevel="0" collapsed="false">
      <c r="A141" s="16" t="str">
        <f aca="false">IF($B141="","",136)</f>
        <v/>
      </c>
      <c r="B141" s="16" t="str">
        <f aca="false">IFERROR(INDEX('NHẬP ĐƠN HÀNG'!$C$6:$C$505,MATCH(136,'NHẬP ĐƠN HÀNG'!$AB$6:$AB$505,0)),"")</f>
        <v/>
      </c>
      <c r="C141" s="16" t="str">
        <f aca="false">IF($B141="","",IFERROR(IF(INDEX('NHẬP ĐƠN HÀNG'!$D$6:$D$505,MATCH($B141,'NHẬP ĐƠN HÀNG'!$C$6:$C$505,0))="","",INDEX('NHẬP ĐƠN HÀNG'!$D$6:$D$505,MATCH($B141,'NHẬP ĐƠN HÀNG'!$C$6:$C$505,0))),""))</f>
        <v/>
      </c>
      <c r="D141" s="16" t="str">
        <f aca="false">IF($B141="","",IFERROR(IF(INDEX('NHẬP ĐƠN HÀNG'!$E$6:$E$505,MATCH($B141,'NHẬP ĐƠN HÀNG'!$C$6:$C$505,0))="","",INDEX('NHẬP ĐƠN HÀNG'!$E$6:$E$505,MATCH($B141,'NHẬP ĐƠN HÀNG'!$C$6:$C$505,0))),""))</f>
        <v/>
      </c>
      <c r="E141" s="16" t="str">
        <f aca="false">IF($B141="","",IFERROR(IF(INDEX('NHẬP ĐƠN HÀNG'!$F$6:$F$505,MATCH($B141,'NHẬP ĐƠN HÀNG'!$C$6:$C$505,0))="","",INDEX('NHẬP ĐƠN HÀNG'!$F$6:$F$505,MATCH($B141,'NHẬP ĐƠN HÀNG'!$C$6:$C$505,0))),""))</f>
        <v/>
      </c>
      <c r="F141" s="16" t="str">
        <f aca="false">IF($B141="","",IFERROR(IF(INDEX('NHẬP ĐƠN HÀNG'!$G$6:$G$505,MATCH($B141,'NHẬP ĐƠN HÀNG'!$C$6:$C$505,0))="","",INDEX('NHẬP ĐƠN HÀNG'!$G$6:$G$505,MATCH($B141,'NHẬP ĐƠN HÀNG'!$C$6:$C$505,0))),""))</f>
        <v/>
      </c>
      <c r="G141" s="10" t="str">
        <f aca="false">IF($B141="","",COUNTIFS('NHẬP ĐƠN HÀNG'!$C$6:$C$505,$B141,'NHẬP ĐƠN HÀNG'!$L$6:$L$505,"&gt;0"))</f>
        <v/>
      </c>
      <c r="H141" s="10" t="str">
        <f aca="false">IF($B141="","",SUMIF('NHẬP ĐƠN HÀNG'!$C$6:$C$505,$B141,'NHẬP ĐƠN HÀNG'!$L$6:$L$505))</f>
        <v/>
      </c>
      <c r="I141" s="10" t="str">
        <f aca="false">IF($B141="","",SUMIF('NHẬP ĐƠN HÀNG'!$C$6:$C$505,$B141,'NHẬP ĐƠN HÀNG'!$P$6:$P$505))</f>
        <v/>
      </c>
      <c r="J141" s="10" t="str">
        <f aca="false">IF($B141="","",SUMIF('NHẬP ĐƠN HÀNG'!$C$6:$C$505,$B141,'NHẬP ĐƠN HÀNG'!$Q$6:$Q$505))</f>
        <v/>
      </c>
      <c r="K141" s="10" t="str">
        <f aca="false">IF($B141="","",SUMIF('NHẬP ĐƠN HÀNG'!$C$6:$C$505,$B141,'NHẬP ĐƠN HÀNG'!$R$6:$R$505))</f>
        <v/>
      </c>
      <c r="L141" s="10" t="str">
        <f aca="false">IF($B141="","",SUMIF('NHẬP ĐƠN HÀNG'!$C$6:$C$505,$B141,'NHẬP ĐƠN HÀNG'!$U$6:$U$505))</f>
        <v/>
      </c>
      <c r="M141" s="34" t="str">
        <f aca="false">IF($B141="","",IF(SUMPRODUCT(MAX(('NHẬP ĐƠN HÀNG'!$C$6:$C$505=$B141)*'NHẬP ĐƠN HÀNG'!$B$6:$B$505))=0,"",SUMPRODUCT(MAX(('NHẬP ĐƠN HÀNG'!$C$6:$C$505=$B141)*'NHẬP ĐƠN HÀNG'!$B$6:$B$505))))</f>
        <v/>
      </c>
      <c r="N141" s="16" t="str">
        <f aca="false">IF($B141="","",IF($G141=0,"Chưa có đơn",IF(COUNTIFS('NHẬP ĐƠN HÀNG'!$C$6:$C$505,$B141,'NHẬP ĐƠN HÀNG'!$N$6:$N$505,"&gt;0")&gt;0,"Có lấy VAT","Không lấy VAT")))</f>
        <v/>
      </c>
    </row>
    <row r="142" customFormat="false" ht="15" hidden="false" customHeight="false" outlineLevel="0" collapsed="false">
      <c r="A142" s="16" t="str">
        <f aca="false">IF($B142="","",137)</f>
        <v/>
      </c>
      <c r="B142" s="16" t="str">
        <f aca="false">IFERROR(INDEX('NHẬP ĐƠN HÀNG'!$C$6:$C$505,MATCH(137,'NHẬP ĐƠN HÀNG'!$AB$6:$AB$505,0)),"")</f>
        <v/>
      </c>
      <c r="C142" s="16" t="str">
        <f aca="false">IF($B142="","",IFERROR(IF(INDEX('NHẬP ĐƠN HÀNG'!$D$6:$D$505,MATCH($B142,'NHẬP ĐƠN HÀNG'!$C$6:$C$505,0))="","",INDEX('NHẬP ĐƠN HÀNG'!$D$6:$D$505,MATCH($B142,'NHẬP ĐƠN HÀNG'!$C$6:$C$505,0))),""))</f>
        <v/>
      </c>
      <c r="D142" s="16" t="str">
        <f aca="false">IF($B142="","",IFERROR(IF(INDEX('NHẬP ĐƠN HÀNG'!$E$6:$E$505,MATCH($B142,'NHẬP ĐƠN HÀNG'!$C$6:$C$505,0))="","",INDEX('NHẬP ĐƠN HÀNG'!$E$6:$E$505,MATCH($B142,'NHẬP ĐƠN HÀNG'!$C$6:$C$505,0))),""))</f>
        <v/>
      </c>
      <c r="E142" s="16" t="str">
        <f aca="false">IF($B142="","",IFERROR(IF(INDEX('NHẬP ĐƠN HÀNG'!$F$6:$F$505,MATCH($B142,'NHẬP ĐƠN HÀNG'!$C$6:$C$505,0))="","",INDEX('NHẬP ĐƠN HÀNG'!$F$6:$F$505,MATCH($B142,'NHẬP ĐƠN HÀNG'!$C$6:$C$505,0))),""))</f>
        <v/>
      </c>
      <c r="F142" s="16" t="str">
        <f aca="false">IF($B142="","",IFERROR(IF(INDEX('NHẬP ĐƠN HÀNG'!$G$6:$G$505,MATCH($B142,'NHẬP ĐƠN HÀNG'!$C$6:$C$505,0))="","",INDEX('NHẬP ĐƠN HÀNG'!$G$6:$G$505,MATCH($B142,'NHẬP ĐƠN HÀNG'!$C$6:$C$505,0))),""))</f>
        <v/>
      </c>
      <c r="G142" s="10" t="str">
        <f aca="false">IF($B142="","",COUNTIFS('NHẬP ĐƠN HÀNG'!$C$6:$C$505,$B142,'NHẬP ĐƠN HÀNG'!$L$6:$L$505,"&gt;0"))</f>
        <v/>
      </c>
      <c r="H142" s="10" t="str">
        <f aca="false">IF($B142="","",SUMIF('NHẬP ĐƠN HÀNG'!$C$6:$C$505,$B142,'NHẬP ĐƠN HÀNG'!$L$6:$L$505))</f>
        <v/>
      </c>
      <c r="I142" s="10" t="str">
        <f aca="false">IF($B142="","",SUMIF('NHẬP ĐƠN HÀNG'!$C$6:$C$505,$B142,'NHẬP ĐƠN HÀNG'!$P$6:$P$505))</f>
        <v/>
      </c>
      <c r="J142" s="10" t="str">
        <f aca="false">IF($B142="","",SUMIF('NHẬP ĐƠN HÀNG'!$C$6:$C$505,$B142,'NHẬP ĐƠN HÀNG'!$Q$6:$Q$505))</f>
        <v/>
      </c>
      <c r="K142" s="10" t="str">
        <f aca="false">IF($B142="","",SUMIF('NHẬP ĐƠN HÀNG'!$C$6:$C$505,$B142,'NHẬP ĐƠN HÀNG'!$R$6:$R$505))</f>
        <v/>
      </c>
      <c r="L142" s="10" t="str">
        <f aca="false">IF($B142="","",SUMIF('NHẬP ĐƠN HÀNG'!$C$6:$C$505,$B142,'NHẬP ĐƠN HÀNG'!$U$6:$U$505))</f>
        <v/>
      </c>
      <c r="M142" s="34" t="str">
        <f aca="false">IF($B142="","",IF(SUMPRODUCT(MAX(('NHẬP ĐƠN HÀNG'!$C$6:$C$505=$B142)*'NHẬP ĐƠN HÀNG'!$B$6:$B$505))=0,"",SUMPRODUCT(MAX(('NHẬP ĐƠN HÀNG'!$C$6:$C$505=$B142)*'NHẬP ĐƠN HÀNG'!$B$6:$B$505))))</f>
        <v/>
      </c>
      <c r="N142" s="16" t="str">
        <f aca="false">IF($B142="","",IF($G142=0,"Chưa có đơn",IF(COUNTIFS('NHẬP ĐƠN HÀNG'!$C$6:$C$505,$B142,'NHẬP ĐƠN HÀNG'!$N$6:$N$505,"&gt;0")&gt;0,"Có lấy VAT","Không lấy VAT")))</f>
        <v/>
      </c>
    </row>
    <row r="143" customFormat="false" ht="15" hidden="false" customHeight="false" outlineLevel="0" collapsed="false">
      <c r="A143" s="16" t="str">
        <f aca="false">IF($B143="","",138)</f>
        <v/>
      </c>
      <c r="B143" s="16" t="str">
        <f aca="false">IFERROR(INDEX('NHẬP ĐƠN HÀNG'!$C$6:$C$505,MATCH(138,'NHẬP ĐƠN HÀNG'!$AB$6:$AB$505,0)),"")</f>
        <v/>
      </c>
      <c r="C143" s="16" t="str">
        <f aca="false">IF($B143="","",IFERROR(IF(INDEX('NHẬP ĐƠN HÀNG'!$D$6:$D$505,MATCH($B143,'NHẬP ĐƠN HÀNG'!$C$6:$C$505,0))="","",INDEX('NHẬP ĐƠN HÀNG'!$D$6:$D$505,MATCH($B143,'NHẬP ĐƠN HÀNG'!$C$6:$C$505,0))),""))</f>
        <v/>
      </c>
      <c r="D143" s="16" t="str">
        <f aca="false">IF($B143="","",IFERROR(IF(INDEX('NHẬP ĐƠN HÀNG'!$E$6:$E$505,MATCH($B143,'NHẬP ĐƠN HÀNG'!$C$6:$C$505,0))="","",INDEX('NHẬP ĐƠN HÀNG'!$E$6:$E$505,MATCH($B143,'NHẬP ĐƠN HÀNG'!$C$6:$C$505,0))),""))</f>
        <v/>
      </c>
      <c r="E143" s="16" t="str">
        <f aca="false">IF($B143="","",IFERROR(IF(INDEX('NHẬP ĐƠN HÀNG'!$F$6:$F$505,MATCH($B143,'NHẬP ĐƠN HÀNG'!$C$6:$C$505,0))="","",INDEX('NHẬP ĐƠN HÀNG'!$F$6:$F$505,MATCH($B143,'NHẬP ĐƠN HÀNG'!$C$6:$C$505,0))),""))</f>
        <v/>
      </c>
      <c r="F143" s="16" t="str">
        <f aca="false">IF($B143="","",IFERROR(IF(INDEX('NHẬP ĐƠN HÀNG'!$G$6:$G$505,MATCH($B143,'NHẬP ĐƠN HÀNG'!$C$6:$C$505,0))="","",INDEX('NHẬP ĐƠN HÀNG'!$G$6:$G$505,MATCH($B143,'NHẬP ĐƠN HÀNG'!$C$6:$C$505,0))),""))</f>
        <v/>
      </c>
      <c r="G143" s="10" t="str">
        <f aca="false">IF($B143="","",COUNTIFS('NHẬP ĐƠN HÀNG'!$C$6:$C$505,$B143,'NHẬP ĐƠN HÀNG'!$L$6:$L$505,"&gt;0"))</f>
        <v/>
      </c>
      <c r="H143" s="10" t="str">
        <f aca="false">IF($B143="","",SUMIF('NHẬP ĐƠN HÀNG'!$C$6:$C$505,$B143,'NHẬP ĐƠN HÀNG'!$L$6:$L$505))</f>
        <v/>
      </c>
      <c r="I143" s="10" t="str">
        <f aca="false">IF($B143="","",SUMIF('NHẬP ĐƠN HÀNG'!$C$6:$C$505,$B143,'NHẬP ĐƠN HÀNG'!$P$6:$P$505))</f>
        <v/>
      </c>
      <c r="J143" s="10" t="str">
        <f aca="false">IF($B143="","",SUMIF('NHẬP ĐƠN HÀNG'!$C$6:$C$505,$B143,'NHẬP ĐƠN HÀNG'!$Q$6:$Q$505))</f>
        <v/>
      </c>
      <c r="K143" s="10" t="str">
        <f aca="false">IF($B143="","",SUMIF('NHẬP ĐƠN HÀNG'!$C$6:$C$505,$B143,'NHẬP ĐƠN HÀNG'!$R$6:$R$505))</f>
        <v/>
      </c>
      <c r="L143" s="10" t="str">
        <f aca="false">IF($B143="","",SUMIF('NHẬP ĐƠN HÀNG'!$C$6:$C$505,$B143,'NHẬP ĐƠN HÀNG'!$U$6:$U$505))</f>
        <v/>
      </c>
      <c r="M143" s="34" t="str">
        <f aca="false">IF($B143="","",IF(SUMPRODUCT(MAX(('NHẬP ĐƠN HÀNG'!$C$6:$C$505=$B143)*'NHẬP ĐƠN HÀNG'!$B$6:$B$505))=0,"",SUMPRODUCT(MAX(('NHẬP ĐƠN HÀNG'!$C$6:$C$505=$B143)*'NHẬP ĐƠN HÀNG'!$B$6:$B$505))))</f>
        <v/>
      </c>
      <c r="N143" s="16" t="str">
        <f aca="false">IF($B143="","",IF($G143=0,"Chưa có đơn",IF(COUNTIFS('NHẬP ĐƠN HÀNG'!$C$6:$C$505,$B143,'NHẬP ĐƠN HÀNG'!$N$6:$N$505,"&gt;0")&gt;0,"Có lấy VAT","Không lấy VAT")))</f>
        <v/>
      </c>
    </row>
    <row r="144" customFormat="false" ht="15" hidden="false" customHeight="false" outlineLevel="0" collapsed="false">
      <c r="A144" s="16" t="str">
        <f aca="false">IF($B144="","",139)</f>
        <v/>
      </c>
      <c r="B144" s="16" t="str">
        <f aca="false">IFERROR(INDEX('NHẬP ĐƠN HÀNG'!$C$6:$C$505,MATCH(139,'NHẬP ĐƠN HÀNG'!$AB$6:$AB$505,0)),"")</f>
        <v/>
      </c>
      <c r="C144" s="16" t="str">
        <f aca="false">IF($B144="","",IFERROR(IF(INDEX('NHẬP ĐƠN HÀNG'!$D$6:$D$505,MATCH($B144,'NHẬP ĐƠN HÀNG'!$C$6:$C$505,0))="","",INDEX('NHẬP ĐƠN HÀNG'!$D$6:$D$505,MATCH($B144,'NHẬP ĐƠN HÀNG'!$C$6:$C$505,0))),""))</f>
        <v/>
      </c>
      <c r="D144" s="16" t="str">
        <f aca="false">IF($B144="","",IFERROR(IF(INDEX('NHẬP ĐƠN HÀNG'!$E$6:$E$505,MATCH($B144,'NHẬP ĐƠN HÀNG'!$C$6:$C$505,0))="","",INDEX('NHẬP ĐƠN HÀNG'!$E$6:$E$505,MATCH($B144,'NHẬP ĐƠN HÀNG'!$C$6:$C$505,0))),""))</f>
        <v/>
      </c>
      <c r="E144" s="16" t="str">
        <f aca="false">IF($B144="","",IFERROR(IF(INDEX('NHẬP ĐƠN HÀNG'!$F$6:$F$505,MATCH($B144,'NHẬP ĐƠN HÀNG'!$C$6:$C$505,0))="","",INDEX('NHẬP ĐƠN HÀNG'!$F$6:$F$505,MATCH($B144,'NHẬP ĐƠN HÀNG'!$C$6:$C$505,0))),""))</f>
        <v/>
      </c>
      <c r="F144" s="16" t="str">
        <f aca="false">IF($B144="","",IFERROR(IF(INDEX('NHẬP ĐƠN HÀNG'!$G$6:$G$505,MATCH($B144,'NHẬP ĐƠN HÀNG'!$C$6:$C$505,0))="","",INDEX('NHẬP ĐƠN HÀNG'!$G$6:$G$505,MATCH($B144,'NHẬP ĐƠN HÀNG'!$C$6:$C$505,0))),""))</f>
        <v/>
      </c>
      <c r="G144" s="10" t="str">
        <f aca="false">IF($B144="","",COUNTIFS('NHẬP ĐƠN HÀNG'!$C$6:$C$505,$B144,'NHẬP ĐƠN HÀNG'!$L$6:$L$505,"&gt;0"))</f>
        <v/>
      </c>
      <c r="H144" s="10" t="str">
        <f aca="false">IF($B144="","",SUMIF('NHẬP ĐƠN HÀNG'!$C$6:$C$505,$B144,'NHẬP ĐƠN HÀNG'!$L$6:$L$505))</f>
        <v/>
      </c>
      <c r="I144" s="10" t="str">
        <f aca="false">IF($B144="","",SUMIF('NHẬP ĐƠN HÀNG'!$C$6:$C$505,$B144,'NHẬP ĐƠN HÀNG'!$P$6:$P$505))</f>
        <v/>
      </c>
      <c r="J144" s="10" t="str">
        <f aca="false">IF($B144="","",SUMIF('NHẬP ĐƠN HÀNG'!$C$6:$C$505,$B144,'NHẬP ĐƠN HÀNG'!$Q$6:$Q$505))</f>
        <v/>
      </c>
      <c r="K144" s="10" t="str">
        <f aca="false">IF($B144="","",SUMIF('NHẬP ĐƠN HÀNG'!$C$6:$C$505,$B144,'NHẬP ĐƠN HÀNG'!$R$6:$R$505))</f>
        <v/>
      </c>
      <c r="L144" s="10" t="str">
        <f aca="false">IF($B144="","",SUMIF('NHẬP ĐƠN HÀNG'!$C$6:$C$505,$B144,'NHẬP ĐƠN HÀNG'!$U$6:$U$505))</f>
        <v/>
      </c>
      <c r="M144" s="34" t="str">
        <f aca="false">IF($B144="","",IF(SUMPRODUCT(MAX(('NHẬP ĐƠN HÀNG'!$C$6:$C$505=$B144)*'NHẬP ĐƠN HÀNG'!$B$6:$B$505))=0,"",SUMPRODUCT(MAX(('NHẬP ĐƠN HÀNG'!$C$6:$C$505=$B144)*'NHẬP ĐƠN HÀNG'!$B$6:$B$505))))</f>
        <v/>
      </c>
      <c r="N144" s="16" t="str">
        <f aca="false">IF($B144="","",IF($G144=0,"Chưa có đơn",IF(COUNTIFS('NHẬP ĐƠN HÀNG'!$C$6:$C$505,$B144,'NHẬP ĐƠN HÀNG'!$N$6:$N$505,"&gt;0")&gt;0,"Có lấy VAT","Không lấy VAT")))</f>
        <v/>
      </c>
    </row>
    <row r="145" customFormat="false" ht="15" hidden="false" customHeight="false" outlineLevel="0" collapsed="false">
      <c r="A145" s="16" t="str">
        <f aca="false">IF($B145="","",140)</f>
        <v/>
      </c>
      <c r="B145" s="16" t="str">
        <f aca="false">IFERROR(INDEX('NHẬP ĐƠN HÀNG'!$C$6:$C$505,MATCH(140,'NHẬP ĐƠN HÀNG'!$AB$6:$AB$505,0)),"")</f>
        <v/>
      </c>
      <c r="C145" s="16" t="str">
        <f aca="false">IF($B145="","",IFERROR(IF(INDEX('NHẬP ĐƠN HÀNG'!$D$6:$D$505,MATCH($B145,'NHẬP ĐƠN HÀNG'!$C$6:$C$505,0))="","",INDEX('NHẬP ĐƠN HÀNG'!$D$6:$D$505,MATCH($B145,'NHẬP ĐƠN HÀNG'!$C$6:$C$505,0))),""))</f>
        <v/>
      </c>
      <c r="D145" s="16" t="str">
        <f aca="false">IF($B145="","",IFERROR(IF(INDEX('NHẬP ĐƠN HÀNG'!$E$6:$E$505,MATCH($B145,'NHẬP ĐƠN HÀNG'!$C$6:$C$505,0))="","",INDEX('NHẬP ĐƠN HÀNG'!$E$6:$E$505,MATCH($B145,'NHẬP ĐƠN HÀNG'!$C$6:$C$505,0))),""))</f>
        <v/>
      </c>
      <c r="E145" s="16" t="str">
        <f aca="false">IF($B145="","",IFERROR(IF(INDEX('NHẬP ĐƠN HÀNG'!$F$6:$F$505,MATCH($B145,'NHẬP ĐƠN HÀNG'!$C$6:$C$505,0))="","",INDEX('NHẬP ĐƠN HÀNG'!$F$6:$F$505,MATCH($B145,'NHẬP ĐƠN HÀNG'!$C$6:$C$505,0))),""))</f>
        <v/>
      </c>
      <c r="F145" s="16" t="str">
        <f aca="false">IF($B145="","",IFERROR(IF(INDEX('NHẬP ĐƠN HÀNG'!$G$6:$G$505,MATCH($B145,'NHẬP ĐƠN HÀNG'!$C$6:$C$505,0))="","",INDEX('NHẬP ĐƠN HÀNG'!$G$6:$G$505,MATCH($B145,'NHẬP ĐƠN HÀNG'!$C$6:$C$505,0))),""))</f>
        <v/>
      </c>
      <c r="G145" s="10" t="str">
        <f aca="false">IF($B145="","",COUNTIFS('NHẬP ĐƠN HÀNG'!$C$6:$C$505,$B145,'NHẬP ĐƠN HÀNG'!$L$6:$L$505,"&gt;0"))</f>
        <v/>
      </c>
      <c r="H145" s="10" t="str">
        <f aca="false">IF($B145="","",SUMIF('NHẬP ĐƠN HÀNG'!$C$6:$C$505,$B145,'NHẬP ĐƠN HÀNG'!$L$6:$L$505))</f>
        <v/>
      </c>
      <c r="I145" s="10" t="str">
        <f aca="false">IF($B145="","",SUMIF('NHẬP ĐƠN HÀNG'!$C$6:$C$505,$B145,'NHẬP ĐƠN HÀNG'!$P$6:$P$505))</f>
        <v/>
      </c>
      <c r="J145" s="10" t="str">
        <f aca="false">IF($B145="","",SUMIF('NHẬP ĐƠN HÀNG'!$C$6:$C$505,$B145,'NHẬP ĐƠN HÀNG'!$Q$6:$Q$505))</f>
        <v/>
      </c>
      <c r="K145" s="10" t="str">
        <f aca="false">IF($B145="","",SUMIF('NHẬP ĐƠN HÀNG'!$C$6:$C$505,$B145,'NHẬP ĐƠN HÀNG'!$R$6:$R$505))</f>
        <v/>
      </c>
      <c r="L145" s="10" t="str">
        <f aca="false">IF($B145="","",SUMIF('NHẬP ĐƠN HÀNG'!$C$6:$C$505,$B145,'NHẬP ĐƠN HÀNG'!$U$6:$U$505))</f>
        <v/>
      </c>
      <c r="M145" s="34" t="str">
        <f aca="false">IF($B145="","",IF(SUMPRODUCT(MAX(('NHẬP ĐƠN HÀNG'!$C$6:$C$505=$B145)*'NHẬP ĐƠN HÀNG'!$B$6:$B$505))=0,"",SUMPRODUCT(MAX(('NHẬP ĐƠN HÀNG'!$C$6:$C$505=$B145)*'NHẬP ĐƠN HÀNG'!$B$6:$B$505))))</f>
        <v/>
      </c>
      <c r="N145" s="16" t="str">
        <f aca="false">IF($B145="","",IF($G145=0,"Chưa có đơn",IF(COUNTIFS('NHẬP ĐƠN HÀNG'!$C$6:$C$505,$B145,'NHẬP ĐƠN HÀNG'!$N$6:$N$505,"&gt;0")&gt;0,"Có lấy VAT","Không lấy VAT")))</f>
        <v/>
      </c>
    </row>
    <row r="146" customFormat="false" ht="15" hidden="false" customHeight="false" outlineLevel="0" collapsed="false">
      <c r="A146" s="16" t="str">
        <f aca="false">IF($B146="","",141)</f>
        <v/>
      </c>
      <c r="B146" s="16" t="str">
        <f aca="false">IFERROR(INDEX('NHẬP ĐƠN HÀNG'!$C$6:$C$505,MATCH(141,'NHẬP ĐƠN HÀNG'!$AB$6:$AB$505,0)),"")</f>
        <v/>
      </c>
      <c r="C146" s="16" t="str">
        <f aca="false">IF($B146="","",IFERROR(IF(INDEX('NHẬP ĐƠN HÀNG'!$D$6:$D$505,MATCH($B146,'NHẬP ĐƠN HÀNG'!$C$6:$C$505,0))="","",INDEX('NHẬP ĐƠN HÀNG'!$D$6:$D$505,MATCH($B146,'NHẬP ĐƠN HÀNG'!$C$6:$C$505,0))),""))</f>
        <v/>
      </c>
      <c r="D146" s="16" t="str">
        <f aca="false">IF($B146="","",IFERROR(IF(INDEX('NHẬP ĐƠN HÀNG'!$E$6:$E$505,MATCH($B146,'NHẬP ĐƠN HÀNG'!$C$6:$C$505,0))="","",INDEX('NHẬP ĐƠN HÀNG'!$E$6:$E$505,MATCH($B146,'NHẬP ĐƠN HÀNG'!$C$6:$C$505,0))),""))</f>
        <v/>
      </c>
      <c r="E146" s="16" t="str">
        <f aca="false">IF($B146="","",IFERROR(IF(INDEX('NHẬP ĐƠN HÀNG'!$F$6:$F$505,MATCH($B146,'NHẬP ĐƠN HÀNG'!$C$6:$C$505,0))="","",INDEX('NHẬP ĐƠN HÀNG'!$F$6:$F$505,MATCH($B146,'NHẬP ĐƠN HÀNG'!$C$6:$C$505,0))),""))</f>
        <v/>
      </c>
      <c r="F146" s="16" t="str">
        <f aca="false">IF($B146="","",IFERROR(IF(INDEX('NHẬP ĐƠN HÀNG'!$G$6:$G$505,MATCH($B146,'NHẬP ĐƠN HÀNG'!$C$6:$C$505,0))="","",INDEX('NHẬP ĐƠN HÀNG'!$G$6:$G$505,MATCH($B146,'NHẬP ĐƠN HÀNG'!$C$6:$C$505,0))),""))</f>
        <v/>
      </c>
      <c r="G146" s="10" t="str">
        <f aca="false">IF($B146="","",COUNTIFS('NHẬP ĐƠN HÀNG'!$C$6:$C$505,$B146,'NHẬP ĐƠN HÀNG'!$L$6:$L$505,"&gt;0"))</f>
        <v/>
      </c>
      <c r="H146" s="10" t="str">
        <f aca="false">IF($B146="","",SUMIF('NHẬP ĐƠN HÀNG'!$C$6:$C$505,$B146,'NHẬP ĐƠN HÀNG'!$L$6:$L$505))</f>
        <v/>
      </c>
      <c r="I146" s="10" t="str">
        <f aca="false">IF($B146="","",SUMIF('NHẬP ĐƠN HÀNG'!$C$6:$C$505,$B146,'NHẬP ĐƠN HÀNG'!$P$6:$P$505))</f>
        <v/>
      </c>
      <c r="J146" s="10" t="str">
        <f aca="false">IF($B146="","",SUMIF('NHẬP ĐƠN HÀNG'!$C$6:$C$505,$B146,'NHẬP ĐƠN HÀNG'!$Q$6:$Q$505))</f>
        <v/>
      </c>
      <c r="K146" s="10" t="str">
        <f aca="false">IF($B146="","",SUMIF('NHẬP ĐƠN HÀNG'!$C$6:$C$505,$B146,'NHẬP ĐƠN HÀNG'!$R$6:$R$505))</f>
        <v/>
      </c>
      <c r="L146" s="10" t="str">
        <f aca="false">IF($B146="","",SUMIF('NHẬP ĐƠN HÀNG'!$C$6:$C$505,$B146,'NHẬP ĐƠN HÀNG'!$U$6:$U$505))</f>
        <v/>
      </c>
      <c r="M146" s="34" t="str">
        <f aca="false">IF($B146="","",IF(SUMPRODUCT(MAX(('NHẬP ĐƠN HÀNG'!$C$6:$C$505=$B146)*'NHẬP ĐƠN HÀNG'!$B$6:$B$505))=0,"",SUMPRODUCT(MAX(('NHẬP ĐƠN HÀNG'!$C$6:$C$505=$B146)*'NHẬP ĐƠN HÀNG'!$B$6:$B$505))))</f>
        <v/>
      </c>
      <c r="N146" s="16" t="str">
        <f aca="false">IF($B146="","",IF($G146=0,"Chưa có đơn",IF(COUNTIFS('NHẬP ĐƠN HÀNG'!$C$6:$C$505,$B146,'NHẬP ĐƠN HÀNG'!$N$6:$N$505,"&gt;0")&gt;0,"Có lấy VAT","Không lấy VAT")))</f>
        <v/>
      </c>
    </row>
    <row r="147" customFormat="false" ht="15" hidden="false" customHeight="false" outlineLevel="0" collapsed="false">
      <c r="A147" s="16" t="str">
        <f aca="false">IF($B147="","",142)</f>
        <v/>
      </c>
      <c r="B147" s="16" t="str">
        <f aca="false">IFERROR(INDEX('NHẬP ĐƠN HÀNG'!$C$6:$C$505,MATCH(142,'NHẬP ĐƠN HÀNG'!$AB$6:$AB$505,0)),"")</f>
        <v/>
      </c>
      <c r="C147" s="16" t="str">
        <f aca="false">IF($B147="","",IFERROR(IF(INDEX('NHẬP ĐƠN HÀNG'!$D$6:$D$505,MATCH($B147,'NHẬP ĐƠN HÀNG'!$C$6:$C$505,0))="","",INDEX('NHẬP ĐƠN HÀNG'!$D$6:$D$505,MATCH($B147,'NHẬP ĐƠN HÀNG'!$C$6:$C$505,0))),""))</f>
        <v/>
      </c>
      <c r="D147" s="16" t="str">
        <f aca="false">IF($B147="","",IFERROR(IF(INDEX('NHẬP ĐƠN HÀNG'!$E$6:$E$505,MATCH($B147,'NHẬP ĐƠN HÀNG'!$C$6:$C$505,0))="","",INDEX('NHẬP ĐƠN HÀNG'!$E$6:$E$505,MATCH($B147,'NHẬP ĐƠN HÀNG'!$C$6:$C$505,0))),""))</f>
        <v/>
      </c>
      <c r="E147" s="16" t="str">
        <f aca="false">IF($B147="","",IFERROR(IF(INDEX('NHẬP ĐƠN HÀNG'!$F$6:$F$505,MATCH($B147,'NHẬP ĐƠN HÀNG'!$C$6:$C$505,0))="","",INDEX('NHẬP ĐƠN HÀNG'!$F$6:$F$505,MATCH($B147,'NHẬP ĐƠN HÀNG'!$C$6:$C$505,0))),""))</f>
        <v/>
      </c>
      <c r="F147" s="16" t="str">
        <f aca="false">IF($B147="","",IFERROR(IF(INDEX('NHẬP ĐƠN HÀNG'!$G$6:$G$505,MATCH($B147,'NHẬP ĐƠN HÀNG'!$C$6:$C$505,0))="","",INDEX('NHẬP ĐƠN HÀNG'!$G$6:$G$505,MATCH($B147,'NHẬP ĐƠN HÀNG'!$C$6:$C$505,0))),""))</f>
        <v/>
      </c>
      <c r="G147" s="10" t="str">
        <f aca="false">IF($B147="","",COUNTIFS('NHẬP ĐƠN HÀNG'!$C$6:$C$505,$B147,'NHẬP ĐƠN HÀNG'!$L$6:$L$505,"&gt;0"))</f>
        <v/>
      </c>
      <c r="H147" s="10" t="str">
        <f aca="false">IF($B147="","",SUMIF('NHẬP ĐƠN HÀNG'!$C$6:$C$505,$B147,'NHẬP ĐƠN HÀNG'!$L$6:$L$505))</f>
        <v/>
      </c>
      <c r="I147" s="10" t="str">
        <f aca="false">IF($B147="","",SUMIF('NHẬP ĐƠN HÀNG'!$C$6:$C$505,$B147,'NHẬP ĐƠN HÀNG'!$P$6:$P$505))</f>
        <v/>
      </c>
      <c r="J147" s="10" t="str">
        <f aca="false">IF($B147="","",SUMIF('NHẬP ĐƠN HÀNG'!$C$6:$C$505,$B147,'NHẬP ĐƠN HÀNG'!$Q$6:$Q$505))</f>
        <v/>
      </c>
      <c r="K147" s="10" t="str">
        <f aca="false">IF($B147="","",SUMIF('NHẬP ĐƠN HÀNG'!$C$6:$C$505,$B147,'NHẬP ĐƠN HÀNG'!$R$6:$R$505))</f>
        <v/>
      </c>
      <c r="L147" s="10" t="str">
        <f aca="false">IF($B147="","",SUMIF('NHẬP ĐƠN HÀNG'!$C$6:$C$505,$B147,'NHẬP ĐƠN HÀNG'!$U$6:$U$505))</f>
        <v/>
      </c>
      <c r="M147" s="34" t="str">
        <f aca="false">IF($B147="","",IF(SUMPRODUCT(MAX(('NHẬP ĐƠN HÀNG'!$C$6:$C$505=$B147)*'NHẬP ĐƠN HÀNG'!$B$6:$B$505))=0,"",SUMPRODUCT(MAX(('NHẬP ĐƠN HÀNG'!$C$6:$C$505=$B147)*'NHẬP ĐƠN HÀNG'!$B$6:$B$505))))</f>
        <v/>
      </c>
      <c r="N147" s="16" t="str">
        <f aca="false">IF($B147="","",IF($G147=0,"Chưa có đơn",IF(COUNTIFS('NHẬP ĐƠN HÀNG'!$C$6:$C$505,$B147,'NHẬP ĐƠN HÀNG'!$N$6:$N$505,"&gt;0")&gt;0,"Có lấy VAT","Không lấy VAT")))</f>
        <v/>
      </c>
    </row>
    <row r="148" customFormat="false" ht="15" hidden="false" customHeight="false" outlineLevel="0" collapsed="false">
      <c r="A148" s="16" t="str">
        <f aca="false">IF($B148="","",143)</f>
        <v/>
      </c>
      <c r="B148" s="16" t="str">
        <f aca="false">IFERROR(INDEX('NHẬP ĐƠN HÀNG'!$C$6:$C$505,MATCH(143,'NHẬP ĐƠN HÀNG'!$AB$6:$AB$505,0)),"")</f>
        <v/>
      </c>
      <c r="C148" s="16" t="str">
        <f aca="false">IF($B148="","",IFERROR(IF(INDEX('NHẬP ĐƠN HÀNG'!$D$6:$D$505,MATCH($B148,'NHẬP ĐƠN HÀNG'!$C$6:$C$505,0))="","",INDEX('NHẬP ĐƠN HÀNG'!$D$6:$D$505,MATCH($B148,'NHẬP ĐƠN HÀNG'!$C$6:$C$505,0))),""))</f>
        <v/>
      </c>
      <c r="D148" s="16" t="str">
        <f aca="false">IF($B148="","",IFERROR(IF(INDEX('NHẬP ĐƠN HÀNG'!$E$6:$E$505,MATCH($B148,'NHẬP ĐƠN HÀNG'!$C$6:$C$505,0))="","",INDEX('NHẬP ĐƠN HÀNG'!$E$6:$E$505,MATCH($B148,'NHẬP ĐƠN HÀNG'!$C$6:$C$505,0))),""))</f>
        <v/>
      </c>
      <c r="E148" s="16" t="str">
        <f aca="false">IF($B148="","",IFERROR(IF(INDEX('NHẬP ĐƠN HÀNG'!$F$6:$F$505,MATCH($B148,'NHẬP ĐƠN HÀNG'!$C$6:$C$505,0))="","",INDEX('NHẬP ĐƠN HÀNG'!$F$6:$F$505,MATCH($B148,'NHẬP ĐƠN HÀNG'!$C$6:$C$505,0))),""))</f>
        <v/>
      </c>
      <c r="F148" s="16" t="str">
        <f aca="false">IF($B148="","",IFERROR(IF(INDEX('NHẬP ĐƠN HÀNG'!$G$6:$G$505,MATCH($B148,'NHẬP ĐƠN HÀNG'!$C$6:$C$505,0))="","",INDEX('NHẬP ĐƠN HÀNG'!$G$6:$G$505,MATCH($B148,'NHẬP ĐƠN HÀNG'!$C$6:$C$505,0))),""))</f>
        <v/>
      </c>
      <c r="G148" s="10" t="str">
        <f aca="false">IF($B148="","",COUNTIFS('NHẬP ĐƠN HÀNG'!$C$6:$C$505,$B148,'NHẬP ĐƠN HÀNG'!$L$6:$L$505,"&gt;0"))</f>
        <v/>
      </c>
      <c r="H148" s="10" t="str">
        <f aca="false">IF($B148="","",SUMIF('NHẬP ĐƠN HÀNG'!$C$6:$C$505,$B148,'NHẬP ĐƠN HÀNG'!$L$6:$L$505))</f>
        <v/>
      </c>
      <c r="I148" s="10" t="str">
        <f aca="false">IF($B148="","",SUMIF('NHẬP ĐƠN HÀNG'!$C$6:$C$505,$B148,'NHẬP ĐƠN HÀNG'!$P$6:$P$505))</f>
        <v/>
      </c>
      <c r="J148" s="10" t="str">
        <f aca="false">IF($B148="","",SUMIF('NHẬP ĐƠN HÀNG'!$C$6:$C$505,$B148,'NHẬP ĐƠN HÀNG'!$Q$6:$Q$505))</f>
        <v/>
      </c>
      <c r="K148" s="10" t="str">
        <f aca="false">IF($B148="","",SUMIF('NHẬP ĐƠN HÀNG'!$C$6:$C$505,$B148,'NHẬP ĐƠN HÀNG'!$R$6:$R$505))</f>
        <v/>
      </c>
      <c r="L148" s="10" t="str">
        <f aca="false">IF($B148="","",SUMIF('NHẬP ĐƠN HÀNG'!$C$6:$C$505,$B148,'NHẬP ĐƠN HÀNG'!$U$6:$U$505))</f>
        <v/>
      </c>
      <c r="M148" s="34" t="str">
        <f aca="false">IF($B148="","",IF(SUMPRODUCT(MAX(('NHẬP ĐƠN HÀNG'!$C$6:$C$505=$B148)*'NHẬP ĐƠN HÀNG'!$B$6:$B$505))=0,"",SUMPRODUCT(MAX(('NHẬP ĐƠN HÀNG'!$C$6:$C$505=$B148)*'NHẬP ĐƠN HÀNG'!$B$6:$B$505))))</f>
        <v/>
      </c>
      <c r="N148" s="16" t="str">
        <f aca="false">IF($B148="","",IF($G148=0,"Chưa có đơn",IF(COUNTIFS('NHẬP ĐƠN HÀNG'!$C$6:$C$505,$B148,'NHẬP ĐƠN HÀNG'!$N$6:$N$505,"&gt;0")&gt;0,"Có lấy VAT","Không lấy VAT")))</f>
        <v/>
      </c>
    </row>
    <row r="149" customFormat="false" ht="15" hidden="false" customHeight="false" outlineLevel="0" collapsed="false">
      <c r="A149" s="16" t="str">
        <f aca="false">IF($B149="","",144)</f>
        <v/>
      </c>
      <c r="B149" s="16" t="str">
        <f aca="false">IFERROR(INDEX('NHẬP ĐƠN HÀNG'!$C$6:$C$505,MATCH(144,'NHẬP ĐƠN HÀNG'!$AB$6:$AB$505,0)),"")</f>
        <v/>
      </c>
      <c r="C149" s="16" t="str">
        <f aca="false">IF($B149="","",IFERROR(IF(INDEX('NHẬP ĐƠN HÀNG'!$D$6:$D$505,MATCH($B149,'NHẬP ĐƠN HÀNG'!$C$6:$C$505,0))="","",INDEX('NHẬP ĐƠN HÀNG'!$D$6:$D$505,MATCH($B149,'NHẬP ĐƠN HÀNG'!$C$6:$C$505,0))),""))</f>
        <v/>
      </c>
      <c r="D149" s="16" t="str">
        <f aca="false">IF($B149="","",IFERROR(IF(INDEX('NHẬP ĐƠN HÀNG'!$E$6:$E$505,MATCH($B149,'NHẬP ĐƠN HÀNG'!$C$6:$C$505,0))="","",INDEX('NHẬP ĐƠN HÀNG'!$E$6:$E$505,MATCH($B149,'NHẬP ĐƠN HÀNG'!$C$6:$C$505,0))),""))</f>
        <v/>
      </c>
      <c r="E149" s="16" t="str">
        <f aca="false">IF($B149="","",IFERROR(IF(INDEX('NHẬP ĐƠN HÀNG'!$F$6:$F$505,MATCH($B149,'NHẬP ĐƠN HÀNG'!$C$6:$C$505,0))="","",INDEX('NHẬP ĐƠN HÀNG'!$F$6:$F$505,MATCH($B149,'NHẬP ĐƠN HÀNG'!$C$6:$C$505,0))),""))</f>
        <v/>
      </c>
      <c r="F149" s="16" t="str">
        <f aca="false">IF($B149="","",IFERROR(IF(INDEX('NHẬP ĐƠN HÀNG'!$G$6:$G$505,MATCH($B149,'NHẬP ĐƠN HÀNG'!$C$6:$C$505,0))="","",INDEX('NHẬP ĐƠN HÀNG'!$G$6:$G$505,MATCH($B149,'NHẬP ĐƠN HÀNG'!$C$6:$C$505,0))),""))</f>
        <v/>
      </c>
      <c r="G149" s="10" t="str">
        <f aca="false">IF($B149="","",COUNTIFS('NHẬP ĐƠN HÀNG'!$C$6:$C$505,$B149,'NHẬP ĐƠN HÀNG'!$L$6:$L$505,"&gt;0"))</f>
        <v/>
      </c>
      <c r="H149" s="10" t="str">
        <f aca="false">IF($B149="","",SUMIF('NHẬP ĐƠN HÀNG'!$C$6:$C$505,$B149,'NHẬP ĐƠN HÀNG'!$L$6:$L$505))</f>
        <v/>
      </c>
      <c r="I149" s="10" t="str">
        <f aca="false">IF($B149="","",SUMIF('NHẬP ĐƠN HÀNG'!$C$6:$C$505,$B149,'NHẬP ĐƠN HÀNG'!$P$6:$P$505))</f>
        <v/>
      </c>
      <c r="J149" s="10" t="str">
        <f aca="false">IF($B149="","",SUMIF('NHẬP ĐƠN HÀNG'!$C$6:$C$505,$B149,'NHẬP ĐƠN HÀNG'!$Q$6:$Q$505))</f>
        <v/>
      </c>
      <c r="K149" s="10" t="str">
        <f aca="false">IF($B149="","",SUMIF('NHẬP ĐƠN HÀNG'!$C$6:$C$505,$B149,'NHẬP ĐƠN HÀNG'!$R$6:$R$505))</f>
        <v/>
      </c>
      <c r="L149" s="10" t="str">
        <f aca="false">IF($B149="","",SUMIF('NHẬP ĐƠN HÀNG'!$C$6:$C$505,$B149,'NHẬP ĐƠN HÀNG'!$U$6:$U$505))</f>
        <v/>
      </c>
      <c r="M149" s="34" t="str">
        <f aca="false">IF($B149="","",IF(SUMPRODUCT(MAX(('NHẬP ĐƠN HÀNG'!$C$6:$C$505=$B149)*'NHẬP ĐƠN HÀNG'!$B$6:$B$505))=0,"",SUMPRODUCT(MAX(('NHẬP ĐƠN HÀNG'!$C$6:$C$505=$B149)*'NHẬP ĐƠN HÀNG'!$B$6:$B$505))))</f>
        <v/>
      </c>
      <c r="N149" s="16" t="str">
        <f aca="false">IF($B149="","",IF($G149=0,"Chưa có đơn",IF(COUNTIFS('NHẬP ĐƠN HÀNG'!$C$6:$C$505,$B149,'NHẬP ĐƠN HÀNG'!$N$6:$N$505,"&gt;0")&gt;0,"Có lấy VAT","Không lấy VAT")))</f>
        <v/>
      </c>
    </row>
    <row r="150" customFormat="false" ht="15" hidden="false" customHeight="false" outlineLevel="0" collapsed="false">
      <c r="A150" s="16" t="str">
        <f aca="false">IF($B150="","",145)</f>
        <v/>
      </c>
      <c r="B150" s="16" t="str">
        <f aca="false">IFERROR(INDEX('NHẬP ĐƠN HÀNG'!$C$6:$C$505,MATCH(145,'NHẬP ĐƠN HÀNG'!$AB$6:$AB$505,0)),"")</f>
        <v/>
      </c>
      <c r="C150" s="16" t="str">
        <f aca="false">IF($B150="","",IFERROR(IF(INDEX('NHẬP ĐƠN HÀNG'!$D$6:$D$505,MATCH($B150,'NHẬP ĐƠN HÀNG'!$C$6:$C$505,0))="","",INDEX('NHẬP ĐƠN HÀNG'!$D$6:$D$505,MATCH($B150,'NHẬP ĐƠN HÀNG'!$C$6:$C$505,0))),""))</f>
        <v/>
      </c>
      <c r="D150" s="16" t="str">
        <f aca="false">IF($B150="","",IFERROR(IF(INDEX('NHẬP ĐƠN HÀNG'!$E$6:$E$505,MATCH($B150,'NHẬP ĐƠN HÀNG'!$C$6:$C$505,0))="","",INDEX('NHẬP ĐƠN HÀNG'!$E$6:$E$505,MATCH($B150,'NHẬP ĐƠN HÀNG'!$C$6:$C$505,0))),""))</f>
        <v/>
      </c>
      <c r="E150" s="16" t="str">
        <f aca="false">IF($B150="","",IFERROR(IF(INDEX('NHẬP ĐƠN HÀNG'!$F$6:$F$505,MATCH($B150,'NHẬP ĐƠN HÀNG'!$C$6:$C$505,0))="","",INDEX('NHẬP ĐƠN HÀNG'!$F$6:$F$505,MATCH($B150,'NHẬP ĐƠN HÀNG'!$C$6:$C$505,0))),""))</f>
        <v/>
      </c>
      <c r="F150" s="16" t="str">
        <f aca="false">IF($B150="","",IFERROR(IF(INDEX('NHẬP ĐƠN HÀNG'!$G$6:$G$505,MATCH($B150,'NHẬP ĐƠN HÀNG'!$C$6:$C$505,0))="","",INDEX('NHẬP ĐƠN HÀNG'!$G$6:$G$505,MATCH($B150,'NHẬP ĐƠN HÀNG'!$C$6:$C$505,0))),""))</f>
        <v/>
      </c>
      <c r="G150" s="10" t="str">
        <f aca="false">IF($B150="","",COUNTIFS('NHẬP ĐƠN HÀNG'!$C$6:$C$505,$B150,'NHẬP ĐƠN HÀNG'!$L$6:$L$505,"&gt;0"))</f>
        <v/>
      </c>
      <c r="H150" s="10" t="str">
        <f aca="false">IF($B150="","",SUMIF('NHẬP ĐƠN HÀNG'!$C$6:$C$505,$B150,'NHẬP ĐƠN HÀNG'!$L$6:$L$505))</f>
        <v/>
      </c>
      <c r="I150" s="10" t="str">
        <f aca="false">IF($B150="","",SUMIF('NHẬP ĐƠN HÀNG'!$C$6:$C$505,$B150,'NHẬP ĐƠN HÀNG'!$P$6:$P$505))</f>
        <v/>
      </c>
      <c r="J150" s="10" t="str">
        <f aca="false">IF($B150="","",SUMIF('NHẬP ĐƠN HÀNG'!$C$6:$C$505,$B150,'NHẬP ĐƠN HÀNG'!$Q$6:$Q$505))</f>
        <v/>
      </c>
      <c r="K150" s="10" t="str">
        <f aca="false">IF($B150="","",SUMIF('NHẬP ĐƠN HÀNG'!$C$6:$C$505,$B150,'NHẬP ĐƠN HÀNG'!$R$6:$R$505))</f>
        <v/>
      </c>
      <c r="L150" s="10" t="str">
        <f aca="false">IF($B150="","",SUMIF('NHẬP ĐƠN HÀNG'!$C$6:$C$505,$B150,'NHẬP ĐƠN HÀNG'!$U$6:$U$505))</f>
        <v/>
      </c>
      <c r="M150" s="34" t="str">
        <f aca="false">IF($B150="","",IF(SUMPRODUCT(MAX(('NHẬP ĐƠN HÀNG'!$C$6:$C$505=$B150)*'NHẬP ĐƠN HÀNG'!$B$6:$B$505))=0,"",SUMPRODUCT(MAX(('NHẬP ĐƠN HÀNG'!$C$6:$C$505=$B150)*'NHẬP ĐƠN HÀNG'!$B$6:$B$505))))</f>
        <v/>
      </c>
      <c r="N150" s="16" t="str">
        <f aca="false">IF($B150="","",IF($G150=0,"Chưa có đơn",IF(COUNTIFS('NHẬP ĐƠN HÀNG'!$C$6:$C$505,$B150,'NHẬP ĐƠN HÀNG'!$N$6:$N$505,"&gt;0")&gt;0,"Có lấy VAT","Không lấy VAT")))</f>
        <v/>
      </c>
    </row>
    <row r="151" customFormat="false" ht="15" hidden="false" customHeight="false" outlineLevel="0" collapsed="false">
      <c r="A151" s="16" t="str">
        <f aca="false">IF($B151="","",146)</f>
        <v/>
      </c>
      <c r="B151" s="16" t="str">
        <f aca="false">IFERROR(INDEX('NHẬP ĐƠN HÀNG'!$C$6:$C$505,MATCH(146,'NHẬP ĐƠN HÀNG'!$AB$6:$AB$505,0)),"")</f>
        <v/>
      </c>
      <c r="C151" s="16" t="str">
        <f aca="false">IF($B151="","",IFERROR(IF(INDEX('NHẬP ĐƠN HÀNG'!$D$6:$D$505,MATCH($B151,'NHẬP ĐƠN HÀNG'!$C$6:$C$505,0))="","",INDEX('NHẬP ĐƠN HÀNG'!$D$6:$D$505,MATCH($B151,'NHẬP ĐƠN HÀNG'!$C$6:$C$505,0))),""))</f>
        <v/>
      </c>
      <c r="D151" s="16" t="str">
        <f aca="false">IF($B151="","",IFERROR(IF(INDEX('NHẬP ĐƠN HÀNG'!$E$6:$E$505,MATCH($B151,'NHẬP ĐƠN HÀNG'!$C$6:$C$505,0))="","",INDEX('NHẬP ĐƠN HÀNG'!$E$6:$E$505,MATCH($B151,'NHẬP ĐƠN HÀNG'!$C$6:$C$505,0))),""))</f>
        <v/>
      </c>
      <c r="E151" s="16" t="str">
        <f aca="false">IF($B151="","",IFERROR(IF(INDEX('NHẬP ĐƠN HÀNG'!$F$6:$F$505,MATCH($B151,'NHẬP ĐƠN HÀNG'!$C$6:$C$505,0))="","",INDEX('NHẬP ĐƠN HÀNG'!$F$6:$F$505,MATCH($B151,'NHẬP ĐƠN HÀNG'!$C$6:$C$505,0))),""))</f>
        <v/>
      </c>
      <c r="F151" s="16" t="str">
        <f aca="false">IF($B151="","",IFERROR(IF(INDEX('NHẬP ĐƠN HÀNG'!$G$6:$G$505,MATCH($B151,'NHẬP ĐƠN HÀNG'!$C$6:$C$505,0))="","",INDEX('NHẬP ĐƠN HÀNG'!$G$6:$G$505,MATCH($B151,'NHẬP ĐƠN HÀNG'!$C$6:$C$505,0))),""))</f>
        <v/>
      </c>
      <c r="G151" s="10" t="str">
        <f aca="false">IF($B151="","",COUNTIFS('NHẬP ĐƠN HÀNG'!$C$6:$C$505,$B151,'NHẬP ĐƠN HÀNG'!$L$6:$L$505,"&gt;0"))</f>
        <v/>
      </c>
      <c r="H151" s="10" t="str">
        <f aca="false">IF($B151="","",SUMIF('NHẬP ĐƠN HÀNG'!$C$6:$C$505,$B151,'NHẬP ĐƠN HÀNG'!$L$6:$L$505))</f>
        <v/>
      </c>
      <c r="I151" s="10" t="str">
        <f aca="false">IF($B151="","",SUMIF('NHẬP ĐƠN HÀNG'!$C$6:$C$505,$B151,'NHẬP ĐƠN HÀNG'!$P$6:$P$505))</f>
        <v/>
      </c>
      <c r="J151" s="10" t="str">
        <f aca="false">IF($B151="","",SUMIF('NHẬP ĐƠN HÀNG'!$C$6:$C$505,$B151,'NHẬP ĐƠN HÀNG'!$Q$6:$Q$505))</f>
        <v/>
      </c>
      <c r="K151" s="10" t="str">
        <f aca="false">IF($B151="","",SUMIF('NHẬP ĐƠN HÀNG'!$C$6:$C$505,$B151,'NHẬP ĐƠN HÀNG'!$R$6:$R$505))</f>
        <v/>
      </c>
      <c r="L151" s="10" t="str">
        <f aca="false">IF($B151="","",SUMIF('NHẬP ĐƠN HÀNG'!$C$6:$C$505,$B151,'NHẬP ĐƠN HÀNG'!$U$6:$U$505))</f>
        <v/>
      </c>
      <c r="M151" s="34" t="str">
        <f aca="false">IF($B151="","",IF(SUMPRODUCT(MAX(('NHẬP ĐƠN HÀNG'!$C$6:$C$505=$B151)*'NHẬP ĐƠN HÀNG'!$B$6:$B$505))=0,"",SUMPRODUCT(MAX(('NHẬP ĐƠN HÀNG'!$C$6:$C$505=$B151)*'NHẬP ĐƠN HÀNG'!$B$6:$B$505))))</f>
        <v/>
      </c>
      <c r="N151" s="16" t="str">
        <f aca="false">IF($B151="","",IF($G151=0,"Chưa có đơn",IF(COUNTIFS('NHẬP ĐƠN HÀNG'!$C$6:$C$505,$B151,'NHẬP ĐƠN HÀNG'!$N$6:$N$505,"&gt;0")&gt;0,"Có lấy VAT","Không lấy VAT")))</f>
        <v/>
      </c>
    </row>
    <row r="152" customFormat="false" ht="15" hidden="false" customHeight="false" outlineLevel="0" collapsed="false">
      <c r="A152" s="16" t="str">
        <f aca="false">IF($B152="","",147)</f>
        <v/>
      </c>
      <c r="B152" s="16" t="str">
        <f aca="false">IFERROR(INDEX('NHẬP ĐƠN HÀNG'!$C$6:$C$505,MATCH(147,'NHẬP ĐƠN HÀNG'!$AB$6:$AB$505,0)),"")</f>
        <v/>
      </c>
      <c r="C152" s="16" t="str">
        <f aca="false">IF($B152="","",IFERROR(IF(INDEX('NHẬP ĐƠN HÀNG'!$D$6:$D$505,MATCH($B152,'NHẬP ĐƠN HÀNG'!$C$6:$C$505,0))="","",INDEX('NHẬP ĐƠN HÀNG'!$D$6:$D$505,MATCH($B152,'NHẬP ĐƠN HÀNG'!$C$6:$C$505,0))),""))</f>
        <v/>
      </c>
      <c r="D152" s="16" t="str">
        <f aca="false">IF($B152="","",IFERROR(IF(INDEX('NHẬP ĐƠN HÀNG'!$E$6:$E$505,MATCH($B152,'NHẬP ĐƠN HÀNG'!$C$6:$C$505,0))="","",INDEX('NHẬP ĐƠN HÀNG'!$E$6:$E$505,MATCH($B152,'NHẬP ĐƠN HÀNG'!$C$6:$C$505,0))),""))</f>
        <v/>
      </c>
      <c r="E152" s="16" t="str">
        <f aca="false">IF($B152="","",IFERROR(IF(INDEX('NHẬP ĐƠN HÀNG'!$F$6:$F$505,MATCH($B152,'NHẬP ĐƠN HÀNG'!$C$6:$C$505,0))="","",INDEX('NHẬP ĐƠN HÀNG'!$F$6:$F$505,MATCH($B152,'NHẬP ĐƠN HÀNG'!$C$6:$C$505,0))),""))</f>
        <v/>
      </c>
      <c r="F152" s="16" t="str">
        <f aca="false">IF($B152="","",IFERROR(IF(INDEX('NHẬP ĐƠN HÀNG'!$G$6:$G$505,MATCH($B152,'NHẬP ĐƠN HÀNG'!$C$6:$C$505,0))="","",INDEX('NHẬP ĐƠN HÀNG'!$G$6:$G$505,MATCH($B152,'NHẬP ĐƠN HÀNG'!$C$6:$C$505,0))),""))</f>
        <v/>
      </c>
      <c r="G152" s="10" t="str">
        <f aca="false">IF($B152="","",COUNTIFS('NHẬP ĐƠN HÀNG'!$C$6:$C$505,$B152,'NHẬP ĐƠN HÀNG'!$L$6:$L$505,"&gt;0"))</f>
        <v/>
      </c>
      <c r="H152" s="10" t="str">
        <f aca="false">IF($B152="","",SUMIF('NHẬP ĐƠN HÀNG'!$C$6:$C$505,$B152,'NHẬP ĐƠN HÀNG'!$L$6:$L$505))</f>
        <v/>
      </c>
      <c r="I152" s="10" t="str">
        <f aca="false">IF($B152="","",SUMIF('NHẬP ĐƠN HÀNG'!$C$6:$C$505,$B152,'NHẬP ĐƠN HÀNG'!$P$6:$P$505))</f>
        <v/>
      </c>
      <c r="J152" s="10" t="str">
        <f aca="false">IF($B152="","",SUMIF('NHẬP ĐƠN HÀNG'!$C$6:$C$505,$B152,'NHẬP ĐƠN HÀNG'!$Q$6:$Q$505))</f>
        <v/>
      </c>
      <c r="K152" s="10" t="str">
        <f aca="false">IF($B152="","",SUMIF('NHẬP ĐƠN HÀNG'!$C$6:$C$505,$B152,'NHẬP ĐƠN HÀNG'!$R$6:$R$505))</f>
        <v/>
      </c>
      <c r="L152" s="10" t="str">
        <f aca="false">IF($B152="","",SUMIF('NHẬP ĐƠN HÀNG'!$C$6:$C$505,$B152,'NHẬP ĐƠN HÀNG'!$U$6:$U$505))</f>
        <v/>
      </c>
      <c r="M152" s="34" t="str">
        <f aca="false">IF($B152="","",IF(SUMPRODUCT(MAX(('NHẬP ĐƠN HÀNG'!$C$6:$C$505=$B152)*'NHẬP ĐƠN HÀNG'!$B$6:$B$505))=0,"",SUMPRODUCT(MAX(('NHẬP ĐƠN HÀNG'!$C$6:$C$505=$B152)*'NHẬP ĐƠN HÀNG'!$B$6:$B$505))))</f>
        <v/>
      </c>
      <c r="N152" s="16" t="str">
        <f aca="false">IF($B152="","",IF($G152=0,"Chưa có đơn",IF(COUNTIFS('NHẬP ĐƠN HÀNG'!$C$6:$C$505,$B152,'NHẬP ĐƠN HÀNG'!$N$6:$N$505,"&gt;0")&gt;0,"Có lấy VAT","Không lấy VAT")))</f>
        <v/>
      </c>
    </row>
    <row r="153" customFormat="false" ht="15" hidden="false" customHeight="false" outlineLevel="0" collapsed="false">
      <c r="A153" s="16" t="str">
        <f aca="false">IF($B153="","",148)</f>
        <v/>
      </c>
      <c r="B153" s="16" t="str">
        <f aca="false">IFERROR(INDEX('NHẬP ĐƠN HÀNG'!$C$6:$C$505,MATCH(148,'NHẬP ĐƠN HÀNG'!$AB$6:$AB$505,0)),"")</f>
        <v/>
      </c>
      <c r="C153" s="16" t="str">
        <f aca="false">IF($B153="","",IFERROR(IF(INDEX('NHẬP ĐƠN HÀNG'!$D$6:$D$505,MATCH($B153,'NHẬP ĐƠN HÀNG'!$C$6:$C$505,0))="","",INDEX('NHẬP ĐƠN HÀNG'!$D$6:$D$505,MATCH($B153,'NHẬP ĐƠN HÀNG'!$C$6:$C$505,0))),""))</f>
        <v/>
      </c>
      <c r="D153" s="16" t="str">
        <f aca="false">IF($B153="","",IFERROR(IF(INDEX('NHẬP ĐƠN HÀNG'!$E$6:$E$505,MATCH($B153,'NHẬP ĐƠN HÀNG'!$C$6:$C$505,0))="","",INDEX('NHẬP ĐƠN HÀNG'!$E$6:$E$505,MATCH($B153,'NHẬP ĐƠN HÀNG'!$C$6:$C$505,0))),""))</f>
        <v/>
      </c>
      <c r="E153" s="16" t="str">
        <f aca="false">IF($B153="","",IFERROR(IF(INDEX('NHẬP ĐƠN HÀNG'!$F$6:$F$505,MATCH($B153,'NHẬP ĐƠN HÀNG'!$C$6:$C$505,0))="","",INDEX('NHẬP ĐƠN HÀNG'!$F$6:$F$505,MATCH($B153,'NHẬP ĐƠN HÀNG'!$C$6:$C$505,0))),""))</f>
        <v/>
      </c>
      <c r="F153" s="16" t="str">
        <f aca="false">IF($B153="","",IFERROR(IF(INDEX('NHẬP ĐƠN HÀNG'!$G$6:$G$505,MATCH($B153,'NHẬP ĐƠN HÀNG'!$C$6:$C$505,0))="","",INDEX('NHẬP ĐƠN HÀNG'!$G$6:$G$505,MATCH($B153,'NHẬP ĐƠN HÀNG'!$C$6:$C$505,0))),""))</f>
        <v/>
      </c>
      <c r="G153" s="10" t="str">
        <f aca="false">IF($B153="","",COUNTIFS('NHẬP ĐƠN HÀNG'!$C$6:$C$505,$B153,'NHẬP ĐƠN HÀNG'!$L$6:$L$505,"&gt;0"))</f>
        <v/>
      </c>
      <c r="H153" s="10" t="str">
        <f aca="false">IF($B153="","",SUMIF('NHẬP ĐƠN HÀNG'!$C$6:$C$505,$B153,'NHẬP ĐƠN HÀNG'!$L$6:$L$505))</f>
        <v/>
      </c>
      <c r="I153" s="10" t="str">
        <f aca="false">IF($B153="","",SUMIF('NHẬP ĐƠN HÀNG'!$C$6:$C$505,$B153,'NHẬP ĐƠN HÀNG'!$P$6:$P$505))</f>
        <v/>
      </c>
      <c r="J153" s="10" t="str">
        <f aca="false">IF($B153="","",SUMIF('NHẬP ĐƠN HÀNG'!$C$6:$C$505,$B153,'NHẬP ĐƠN HÀNG'!$Q$6:$Q$505))</f>
        <v/>
      </c>
      <c r="K153" s="10" t="str">
        <f aca="false">IF($B153="","",SUMIF('NHẬP ĐƠN HÀNG'!$C$6:$C$505,$B153,'NHẬP ĐƠN HÀNG'!$R$6:$R$505))</f>
        <v/>
      </c>
      <c r="L153" s="10" t="str">
        <f aca="false">IF($B153="","",SUMIF('NHẬP ĐƠN HÀNG'!$C$6:$C$505,$B153,'NHẬP ĐƠN HÀNG'!$U$6:$U$505))</f>
        <v/>
      </c>
      <c r="M153" s="34" t="str">
        <f aca="false">IF($B153="","",IF(SUMPRODUCT(MAX(('NHẬP ĐƠN HÀNG'!$C$6:$C$505=$B153)*'NHẬP ĐƠN HÀNG'!$B$6:$B$505))=0,"",SUMPRODUCT(MAX(('NHẬP ĐƠN HÀNG'!$C$6:$C$505=$B153)*'NHẬP ĐƠN HÀNG'!$B$6:$B$505))))</f>
        <v/>
      </c>
      <c r="N153" s="16" t="str">
        <f aca="false">IF($B153="","",IF($G153=0,"Chưa có đơn",IF(COUNTIFS('NHẬP ĐƠN HÀNG'!$C$6:$C$505,$B153,'NHẬP ĐƠN HÀNG'!$N$6:$N$505,"&gt;0")&gt;0,"Có lấy VAT","Không lấy VAT")))</f>
        <v/>
      </c>
    </row>
    <row r="154" customFormat="false" ht="15" hidden="false" customHeight="false" outlineLevel="0" collapsed="false">
      <c r="A154" s="16" t="str">
        <f aca="false">IF($B154="","",149)</f>
        <v/>
      </c>
      <c r="B154" s="16" t="str">
        <f aca="false">IFERROR(INDEX('NHẬP ĐƠN HÀNG'!$C$6:$C$505,MATCH(149,'NHẬP ĐƠN HÀNG'!$AB$6:$AB$505,0)),"")</f>
        <v/>
      </c>
      <c r="C154" s="16" t="str">
        <f aca="false">IF($B154="","",IFERROR(IF(INDEX('NHẬP ĐƠN HÀNG'!$D$6:$D$505,MATCH($B154,'NHẬP ĐƠN HÀNG'!$C$6:$C$505,0))="","",INDEX('NHẬP ĐƠN HÀNG'!$D$6:$D$505,MATCH($B154,'NHẬP ĐƠN HÀNG'!$C$6:$C$505,0))),""))</f>
        <v/>
      </c>
      <c r="D154" s="16" t="str">
        <f aca="false">IF($B154="","",IFERROR(IF(INDEX('NHẬP ĐƠN HÀNG'!$E$6:$E$505,MATCH($B154,'NHẬP ĐƠN HÀNG'!$C$6:$C$505,0))="","",INDEX('NHẬP ĐƠN HÀNG'!$E$6:$E$505,MATCH($B154,'NHẬP ĐƠN HÀNG'!$C$6:$C$505,0))),""))</f>
        <v/>
      </c>
      <c r="E154" s="16" t="str">
        <f aca="false">IF($B154="","",IFERROR(IF(INDEX('NHẬP ĐƠN HÀNG'!$F$6:$F$505,MATCH($B154,'NHẬP ĐƠN HÀNG'!$C$6:$C$505,0))="","",INDEX('NHẬP ĐƠN HÀNG'!$F$6:$F$505,MATCH($B154,'NHẬP ĐƠN HÀNG'!$C$6:$C$505,0))),""))</f>
        <v/>
      </c>
      <c r="F154" s="16" t="str">
        <f aca="false">IF($B154="","",IFERROR(IF(INDEX('NHẬP ĐƠN HÀNG'!$G$6:$G$505,MATCH($B154,'NHẬP ĐƠN HÀNG'!$C$6:$C$505,0))="","",INDEX('NHẬP ĐƠN HÀNG'!$G$6:$G$505,MATCH($B154,'NHẬP ĐƠN HÀNG'!$C$6:$C$505,0))),""))</f>
        <v/>
      </c>
      <c r="G154" s="10" t="str">
        <f aca="false">IF($B154="","",COUNTIFS('NHẬP ĐƠN HÀNG'!$C$6:$C$505,$B154,'NHẬP ĐƠN HÀNG'!$L$6:$L$505,"&gt;0"))</f>
        <v/>
      </c>
      <c r="H154" s="10" t="str">
        <f aca="false">IF($B154="","",SUMIF('NHẬP ĐƠN HÀNG'!$C$6:$C$505,$B154,'NHẬP ĐƠN HÀNG'!$L$6:$L$505))</f>
        <v/>
      </c>
      <c r="I154" s="10" t="str">
        <f aca="false">IF($B154="","",SUMIF('NHẬP ĐƠN HÀNG'!$C$6:$C$505,$B154,'NHẬP ĐƠN HÀNG'!$P$6:$P$505))</f>
        <v/>
      </c>
      <c r="J154" s="10" t="str">
        <f aca="false">IF($B154="","",SUMIF('NHẬP ĐƠN HÀNG'!$C$6:$C$505,$B154,'NHẬP ĐƠN HÀNG'!$Q$6:$Q$505))</f>
        <v/>
      </c>
      <c r="K154" s="10" t="str">
        <f aca="false">IF($B154="","",SUMIF('NHẬP ĐƠN HÀNG'!$C$6:$C$505,$B154,'NHẬP ĐƠN HÀNG'!$R$6:$R$505))</f>
        <v/>
      </c>
      <c r="L154" s="10" t="str">
        <f aca="false">IF($B154="","",SUMIF('NHẬP ĐƠN HÀNG'!$C$6:$C$505,$B154,'NHẬP ĐƠN HÀNG'!$U$6:$U$505))</f>
        <v/>
      </c>
      <c r="M154" s="34" t="str">
        <f aca="false">IF($B154="","",IF(SUMPRODUCT(MAX(('NHẬP ĐƠN HÀNG'!$C$6:$C$505=$B154)*'NHẬP ĐƠN HÀNG'!$B$6:$B$505))=0,"",SUMPRODUCT(MAX(('NHẬP ĐƠN HÀNG'!$C$6:$C$505=$B154)*'NHẬP ĐƠN HÀNG'!$B$6:$B$505))))</f>
        <v/>
      </c>
      <c r="N154" s="16" t="str">
        <f aca="false">IF($B154="","",IF($G154=0,"Chưa có đơn",IF(COUNTIFS('NHẬP ĐƠN HÀNG'!$C$6:$C$505,$B154,'NHẬP ĐƠN HÀNG'!$N$6:$N$505,"&gt;0")&gt;0,"Có lấy VAT","Không lấy VAT")))</f>
        <v/>
      </c>
    </row>
    <row r="155" customFormat="false" ht="15" hidden="false" customHeight="false" outlineLevel="0" collapsed="false">
      <c r="A155" s="16" t="str">
        <f aca="false">IF($B155="","",150)</f>
        <v/>
      </c>
      <c r="B155" s="16" t="str">
        <f aca="false">IFERROR(INDEX('NHẬP ĐƠN HÀNG'!$C$6:$C$505,MATCH(150,'NHẬP ĐƠN HÀNG'!$AB$6:$AB$505,0)),"")</f>
        <v/>
      </c>
      <c r="C155" s="16" t="str">
        <f aca="false">IF($B155="","",IFERROR(IF(INDEX('NHẬP ĐƠN HÀNG'!$D$6:$D$505,MATCH($B155,'NHẬP ĐƠN HÀNG'!$C$6:$C$505,0))="","",INDEX('NHẬP ĐƠN HÀNG'!$D$6:$D$505,MATCH($B155,'NHẬP ĐƠN HÀNG'!$C$6:$C$505,0))),""))</f>
        <v/>
      </c>
      <c r="D155" s="16" t="str">
        <f aca="false">IF($B155="","",IFERROR(IF(INDEX('NHẬP ĐƠN HÀNG'!$E$6:$E$505,MATCH($B155,'NHẬP ĐƠN HÀNG'!$C$6:$C$505,0))="","",INDEX('NHẬP ĐƠN HÀNG'!$E$6:$E$505,MATCH($B155,'NHẬP ĐƠN HÀNG'!$C$6:$C$505,0))),""))</f>
        <v/>
      </c>
      <c r="E155" s="16" t="str">
        <f aca="false">IF($B155="","",IFERROR(IF(INDEX('NHẬP ĐƠN HÀNG'!$F$6:$F$505,MATCH($B155,'NHẬP ĐƠN HÀNG'!$C$6:$C$505,0))="","",INDEX('NHẬP ĐƠN HÀNG'!$F$6:$F$505,MATCH($B155,'NHẬP ĐƠN HÀNG'!$C$6:$C$505,0))),""))</f>
        <v/>
      </c>
      <c r="F155" s="16" t="str">
        <f aca="false">IF($B155="","",IFERROR(IF(INDEX('NHẬP ĐƠN HÀNG'!$G$6:$G$505,MATCH($B155,'NHẬP ĐƠN HÀNG'!$C$6:$C$505,0))="","",INDEX('NHẬP ĐƠN HÀNG'!$G$6:$G$505,MATCH($B155,'NHẬP ĐƠN HÀNG'!$C$6:$C$505,0))),""))</f>
        <v/>
      </c>
      <c r="G155" s="10" t="str">
        <f aca="false">IF($B155="","",COUNTIFS('NHẬP ĐƠN HÀNG'!$C$6:$C$505,$B155,'NHẬP ĐƠN HÀNG'!$L$6:$L$505,"&gt;0"))</f>
        <v/>
      </c>
      <c r="H155" s="10" t="str">
        <f aca="false">IF($B155="","",SUMIF('NHẬP ĐƠN HÀNG'!$C$6:$C$505,$B155,'NHẬP ĐƠN HÀNG'!$L$6:$L$505))</f>
        <v/>
      </c>
      <c r="I155" s="10" t="str">
        <f aca="false">IF($B155="","",SUMIF('NHẬP ĐƠN HÀNG'!$C$6:$C$505,$B155,'NHẬP ĐƠN HÀNG'!$P$6:$P$505))</f>
        <v/>
      </c>
      <c r="J155" s="10" t="str">
        <f aca="false">IF($B155="","",SUMIF('NHẬP ĐƠN HÀNG'!$C$6:$C$505,$B155,'NHẬP ĐƠN HÀNG'!$Q$6:$Q$505))</f>
        <v/>
      </c>
      <c r="K155" s="10" t="str">
        <f aca="false">IF($B155="","",SUMIF('NHẬP ĐƠN HÀNG'!$C$6:$C$505,$B155,'NHẬP ĐƠN HÀNG'!$R$6:$R$505))</f>
        <v/>
      </c>
      <c r="L155" s="10" t="str">
        <f aca="false">IF($B155="","",SUMIF('NHẬP ĐƠN HÀNG'!$C$6:$C$505,$B155,'NHẬP ĐƠN HÀNG'!$U$6:$U$505))</f>
        <v/>
      </c>
      <c r="M155" s="34" t="str">
        <f aca="false">IF($B155="","",IF(SUMPRODUCT(MAX(('NHẬP ĐƠN HÀNG'!$C$6:$C$505=$B155)*'NHẬP ĐƠN HÀNG'!$B$6:$B$505))=0,"",SUMPRODUCT(MAX(('NHẬP ĐƠN HÀNG'!$C$6:$C$505=$B155)*'NHẬP ĐƠN HÀNG'!$B$6:$B$505))))</f>
        <v/>
      </c>
      <c r="N155" s="16" t="str">
        <f aca="false">IF($B155="","",IF($G155=0,"Chưa có đơn",IF(COUNTIFS('NHẬP ĐƠN HÀNG'!$C$6:$C$505,$B155,'NHẬP ĐƠN HÀNG'!$N$6:$N$505,"&gt;0")&gt;0,"Có lấy VAT","Không lấy VAT")))</f>
        <v/>
      </c>
    </row>
    <row r="156" customFormat="false" ht="15" hidden="false" customHeight="false" outlineLevel="0" collapsed="false">
      <c r="A156" s="16" t="str">
        <f aca="false">IF($B156="","",151)</f>
        <v/>
      </c>
      <c r="B156" s="16" t="str">
        <f aca="false">IFERROR(INDEX('NHẬP ĐƠN HÀNG'!$C$6:$C$505,MATCH(151,'NHẬP ĐƠN HÀNG'!$AB$6:$AB$505,0)),"")</f>
        <v/>
      </c>
      <c r="C156" s="16" t="str">
        <f aca="false">IF($B156="","",IFERROR(IF(INDEX('NHẬP ĐƠN HÀNG'!$D$6:$D$505,MATCH($B156,'NHẬP ĐƠN HÀNG'!$C$6:$C$505,0))="","",INDEX('NHẬP ĐƠN HÀNG'!$D$6:$D$505,MATCH($B156,'NHẬP ĐƠN HÀNG'!$C$6:$C$505,0))),""))</f>
        <v/>
      </c>
      <c r="D156" s="16" t="str">
        <f aca="false">IF($B156="","",IFERROR(IF(INDEX('NHẬP ĐƠN HÀNG'!$E$6:$E$505,MATCH($B156,'NHẬP ĐƠN HÀNG'!$C$6:$C$505,0))="","",INDEX('NHẬP ĐƠN HÀNG'!$E$6:$E$505,MATCH($B156,'NHẬP ĐƠN HÀNG'!$C$6:$C$505,0))),""))</f>
        <v/>
      </c>
      <c r="E156" s="16" t="str">
        <f aca="false">IF($B156="","",IFERROR(IF(INDEX('NHẬP ĐƠN HÀNG'!$F$6:$F$505,MATCH($B156,'NHẬP ĐƠN HÀNG'!$C$6:$C$505,0))="","",INDEX('NHẬP ĐƠN HÀNG'!$F$6:$F$505,MATCH($B156,'NHẬP ĐƠN HÀNG'!$C$6:$C$505,0))),""))</f>
        <v/>
      </c>
      <c r="F156" s="16" t="str">
        <f aca="false">IF($B156="","",IFERROR(IF(INDEX('NHẬP ĐƠN HÀNG'!$G$6:$G$505,MATCH($B156,'NHẬP ĐƠN HÀNG'!$C$6:$C$505,0))="","",INDEX('NHẬP ĐƠN HÀNG'!$G$6:$G$505,MATCH($B156,'NHẬP ĐƠN HÀNG'!$C$6:$C$505,0))),""))</f>
        <v/>
      </c>
      <c r="G156" s="10" t="str">
        <f aca="false">IF($B156="","",COUNTIFS('NHẬP ĐƠN HÀNG'!$C$6:$C$505,$B156,'NHẬP ĐƠN HÀNG'!$L$6:$L$505,"&gt;0"))</f>
        <v/>
      </c>
      <c r="H156" s="10" t="str">
        <f aca="false">IF($B156="","",SUMIF('NHẬP ĐƠN HÀNG'!$C$6:$C$505,$B156,'NHẬP ĐƠN HÀNG'!$L$6:$L$505))</f>
        <v/>
      </c>
      <c r="I156" s="10" t="str">
        <f aca="false">IF($B156="","",SUMIF('NHẬP ĐƠN HÀNG'!$C$6:$C$505,$B156,'NHẬP ĐƠN HÀNG'!$P$6:$P$505))</f>
        <v/>
      </c>
      <c r="J156" s="10" t="str">
        <f aca="false">IF($B156="","",SUMIF('NHẬP ĐƠN HÀNG'!$C$6:$C$505,$B156,'NHẬP ĐƠN HÀNG'!$Q$6:$Q$505))</f>
        <v/>
      </c>
      <c r="K156" s="10" t="str">
        <f aca="false">IF($B156="","",SUMIF('NHẬP ĐƠN HÀNG'!$C$6:$C$505,$B156,'NHẬP ĐƠN HÀNG'!$R$6:$R$505))</f>
        <v/>
      </c>
      <c r="L156" s="10" t="str">
        <f aca="false">IF($B156="","",SUMIF('NHẬP ĐƠN HÀNG'!$C$6:$C$505,$B156,'NHẬP ĐƠN HÀNG'!$U$6:$U$505))</f>
        <v/>
      </c>
      <c r="M156" s="34" t="str">
        <f aca="false">IF($B156="","",IF(SUMPRODUCT(MAX(('NHẬP ĐƠN HÀNG'!$C$6:$C$505=$B156)*'NHẬP ĐƠN HÀNG'!$B$6:$B$505))=0,"",SUMPRODUCT(MAX(('NHẬP ĐƠN HÀNG'!$C$6:$C$505=$B156)*'NHẬP ĐƠN HÀNG'!$B$6:$B$505))))</f>
        <v/>
      </c>
      <c r="N156" s="16" t="str">
        <f aca="false">IF($B156="","",IF($G156=0,"Chưa có đơn",IF(COUNTIFS('NHẬP ĐƠN HÀNG'!$C$6:$C$505,$B156,'NHẬP ĐƠN HÀNG'!$N$6:$N$505,"&gt;0")&gt;0,"Có lấy VAT","Không lấy VAT")))</f>
        <v/>
      </c>
    </row>
    <row r="157" customFormat="false" ht="15" hidden="false" customHeight="false" outlineLevel="0" collapsed="false">
      <c r="A157" s="16" t="str">
        <f aca="false">IF($B157="","",152)</f>
        <v/>
      </c>
      <c r="B157" s="16" t="str">
        <f aca="false">IFERROR(INDEX('NHẬP ĐƠN HÀNG'!$C$6:$C$505,MATCH(152,'NHẬP ĐƠN HÀNG'!$AB$6:$AB$505,0)),"")</f>
        <v/>
      </c>
      <c r="C157" s="16" t="str">
        <f aca="false">IF($B157="","",IFERROR(IF(INDEX('NHẬP ĐƠN HÀNG'!$D$6:$D$505,MATCH($B157,'NHẬP ĐƠN HÀNG'!$C$6:$C$505,0))="","",INDEX('NHẬP ĐƠN HÀNG'!$D$6:$D$505,MATCH($B157,'NHẬP ĐƠN HÀNG'!$C$6:$C$505,0))),""))</f>
        <v/>
      </c>
      <c r="D157" s="16" t="str">
        <f aca="false">IF($B157="","",IFERROR(IF(INDEX('NHẬP ĐƠN HÀNG'!$E$6:$E$505,MATCH($B157,'NHẬP ĐƠN HÀNG'!$C$6:$C$505,0))="","",INDEX('NHẬP ĐƠN HÀNG'!$E$6:$E$505,MATCH($B157,'NHẬP ĐƠN HÀNG'!$C$6:$C$505,0))),""))</f>
        <v/>
      </c>
      <c r="E157" s="16" t="str">
        <f aca="false">IF($B157="","",IFERROR(IF(INDEX('NHẬP ĐƠN HÀNG'!$F$6:$F$505,MATCH($B157,'NHẬP ĐƠN HÀNG'!$C$6:$C$505,0))="","",INDEX('NHẬP ĐƠN HÀNG'!$F$6:$F$505,MATCH($B157,'NHẬP ĐƠN HÀNG'!$C$6:$C$505,0))),""))</f>
        <v/>
      </c>
      <c r="F157" s="16" t="str">
        <f aca="false">IF($B157="","",IFERROR(IF(INDEX('NHẬP ĐƠN HÀNG'!$G$6:$G$505,MATCH($B157,'NHẬP ĐƠN HÀNG'!$C$6:$C$505,0))="","",INDEX('NHẬP ĐƠN HÀNG'!$G$6:$G$505,MATCH($B157,'NHẬP ĐƠN HÀNG'!$C$6:$C$505,0))),""))</f>
        <v/>
      </c>
      <c r="G157" s="10" t="str">
        <f aca="false">IF($B157="","",COUNTIFS('NHẬP ĐƠN HÀNG'!$C$6:$C$505,$B157,'NHẬP ĐƠN HÀNG'!$L$6:$L$505,"&gt;0"))</f>
        <v/>
      </c>
      <c r="H157" s="10" t="str">
        <f aca="false">IF($B157="","",SUMIF('NHẬP ĐƠN HÀNG'!$C$6:$C$505,$B157,'NHẬP ĐƠN HÀNG'!$L$6:$L$505))</f>
        <v/>
      </c>
      <c r="I157" s="10" t="str">
        <f aca="false">IF($B157="","",SUMIF('NHẬP ĐƠN HÀNG'!$C$6:$C$505,$B157,'NHẬP ĐƠN HÀNG'!$P$6:$P$505))</f>
        <v/>
      </c>
      <c r="J157" s="10" t="str">
        <f aca="false">IF($B157="","",SUMIF('NHẬP ĐƠN HÀNG'!$C$6:$C$505,$B157,'NHẬP ĐƠN HÀNG'!$Q$6:$Q$505))</f>
        <v/>
      </c>
      <c r="K157" s="10" t="str">
        <f aca="false">IF($B157="","",SUMIF('NHẬP ĐƠN HÀNG'!$C$6:$C$505,$B157,'NHẬP ĐƠN HÀNG'!$R$6:$R$505))</f>
        <v/>
      </c>
      <c r="L157" s="10" t="str">
        <f aca="false">IF($B157="","",SUMIF('NHẬP ĐƠN HÀNG'!$C$6:$C$505,$B157,'NHẬP ĐƠN HÀNG'!$U$6:$U$505))</f>
        <v/>
      </c>
      <c r="M157" s="34" t="str">
        <f aca="false">IF($B157="","",IF(SUMPRODUCT(MAX(('NHẬP ĐƠN HÀNG'!$C$6:$C$505=$B157)*'NHẬP ĐƠN HÀNG'!$B$6:$B$505))=0,"",SUMPRODUCT(MAX(('NHẬP ĐƠN HÀNG'!$C$6:$C$505=$B157)*'NHẬP ĐƠN HÀNG'!$B$6:$B$505))))</f>
        <v/>
      </c>
      <c r="N157" s="16" t="str">
        <f aca="false">IF($B157="","",IF($G157=0,"Chưa có đơn",IF(COUNTIFS('NHẬP ĐƠN HÀNG'!$C$6:$C$505,$B157,'NHẬP ĐƠN HÀNG'!$N$6:$N$505,"&gt;0")&gt;0,"Có lấy VAT","Không lấy VAT")))</f>
        <v/>
      </c>
    </row>
    <row r="158" customFormat="false" ht="15" hidden="false" customHeight="false" outlineLevel="0" collapsed="false">
      <c r="A158" s="16" t="str">
        <f aca="false">IF($B158="","",153)</f>
        <v/>
      </c>
      <c r="B158" s="16" t="str">
        <f aca="false">IFERROR(INDEX('NHẬP ĐƠN HÀNG'!$C$6:$C$505,MATCH(153,'NHẬP ĐƠN HÀNG'!$AB$6:$AB$505,0)),"")</f>
        <v/>
      </c>
      <c r="C158" s="16" t="str">
        <f aca="false">IF($B158="","",IFERROR(IF(INDEX('NHẬP ĐƠN HÀNG'!$D$6:$D$505,MATCH($B158,'NHẬP ĐƠN HÀNG'!$C$6:$C$505,0))="","",INDEX('NHẬP ĐƠN HÀNG'!$D$6:$D$505,MATCH($B158,'NHẬP ĐƠN HÀNG'!$C$6:$C$505,0))),""))</f>
        <v/>
      </c>
      <c r="D158" s="16" t="str">
        <f aca="false">IF($B158="","",IFERROR(IF(INDEX('NHẬP ĐƠN HÀNG'!$E$6:$E$505,MATCH($B158,'NHẬP ĐƠN HÀNG'!$C$6:$C$505,0))="","",INDEX('NHẬP ĐƠN HÀNG'!$E$6:$E$505,MATCH($B158,'NHẬP ĐƠN HÀNG'!$C$6:$C$505,0))),""))</f>
        <v/>
      </c>
      <c r="E158" s="16" t="str">
        <f aca="false">IF($B158="","",IFERROR(IF(INDEX('NHẬP ĐƠN HÀNG'!$F$6:$F$505,MATCH($B158,'NHẬP ĐƠN HÀNG'!$C$6:$C$505,0))="","",INDEX('NHẬP ĐƠN HÀNG'!$F$6:$F$505,MATCH($B158,'NHẬP ĐƠN HÀNG'!$C$6:$C$505,0))),""))</f>
        <v/>
      </c>
      <c r="F158" s="16" t="str">
        <f aca="false">IF($B158="","",IFERROR(IF(INDEX('NHẬP ĐƠN HÀNG'!$G$6:$G$505,MATCH($B158,'NHẬP ĐƠN HÀNG'!$C$6:$C$505,0))="","",INDEX('NHẬP ĐƠN HÀNG'!$G$6:$G$505,MATCH($B158,'NHẬP ĐƠN HÀNG'!$C$6:$C$505,0))),""))</f>
        <v/>
      </c>
      <c r="G158" s="10" t="str">
        <f aca="false">IF($B158="","",COUNTIFS('NHẬP ĐƠN HÀNG'!$C$6:$C$505,$B158,'NHẬP ĐƠN HÀNG'!$L$6:$L$505,"&gt;0"))</f>
        <v/>
      </c>
      <c r="H158" s="10" t="str">
        <f aca="false">IF($B158="","",SUMIF('NHẬP ĐƠN HÀNG'!$C$6:$C$505,$B158,'NHẬP ĐƠN HÀNG'!$L$6:$L$505))</f>
        <v/>
      </c>
      <c r="I158" s="10" t="str">
        <f aca="false">IF($B158="","",SUMIF('NHẬP ĐƠN HÀNG'!$C$6:$C$505,$B158,'NHẬP ĐƠN HÀNG'!$P$6:$P$505))</f>
        <v/>
      </c>
      <c r="J158" s="10" t="str">
        <f aca="false">IF($B158="","",SUMIF('NHẬP ĐƠN HÀNG'!$C$6:$C$505,$B158,'NHẬP ĐƠN HÀNG'!$Q$6:$Q$505))</f>
        <v/>
      </c>
      <c r="K158" s="10" t="str">
        <f aca="false">IF($B158="","",SUMIF('NHẬP ĐƠN HÀNG'!$C$6:$C$505,$B158,'NHẬP ĐƠN HÀNG'!$R$6:$R$505))</f>
        <v/>
      </c>
      <c r="L158" s="10" t="str">
        <f aca="false">IF($B158="","",SUMIF('NHẬP ĐƠN HÀNG'!$C$6:$C$505,$B158,'NHẬP ĐƠN HÀNG'!$U$6:$U$505))</f>
        <v/>
      </c>
      <c r="M158" s="34" t="str">
        <f aca="false">IF($B158="","",IF(SUMPRODUCT(MAX(('NHẬP ĐƠN HÀNG'!$C$6:$C$505=$B158)*'NHẬP ĐƠN HÀNG'!$B$6:$B$505))=0,"",SUMPRODUCT(MAX(('NHẬP ĐƠN HÀNG'!$C$6:$C$505=$B158)*'NHẬP ĐƠN HÀNG'!$B$6:$B$505))))</f>
        <v/>
      </c>
      <c r="N158" s="16" t="str">
        <f aca="false">IF($B158="","",IF($G158=0,"Chưa có đơn",IF(COUNTIFS('NHẬP ĐƠN HÀNG'!$C$6:$C$505,$B158,'NHẬP ĐƠN HÀNG'!$N$6:$N$505,"&gt;0")&gt;0,"Có lấy VAT","Không lấy VAT")))</f>
        <v/>
      </c>
    </row>
    <row r="159" customFormat="false" ht="15" hidden="false" customHeight="false" outlineLevel="0" collapsed="false">
      <c r="A159" s="16" t="str">
        <f aca="false">IF($B159="","",154)</f>
        <v/>
      </c>
      <c r="B159" s="16" t="str">
        <f aca="false">IFERROR(INDEX('NHẬP ĐƠN HÀNG'!$C$6:$C$505,MATCH(154,'NHẬP ĐƠN HÀNG'!$AB$6:$AB$505,0)),"")</f>
        <v/>
      </c>
      <c r="C159" s="16" t="str">
        <f aca="false">IF($B159="","",IFERROR(IF(INDEX('NHẬP ĐƠN HÀNG'!$D$6:$D$505,MATCH($B159,'NHẬP ĐƠN HÀNG'!$C$6:$C$505,0))="","",INDEX('NHẬP ĐƠN HÀNG'!$D$6:$D$505,MATCH($B159,'NHẬP ĐƠN HÀNG'!$C$6:$C$505,0))),""))</f>
        <v/>
      </c>
      <c r="D159" s="16" t="str">
        <f aca="false">IF($B159="","",IFERROR(IF(INDEX('NHẬP ĐƠN HÀNG'!$E$6:$E$505,MATCH($B159,'NHẬP ĐƠN HÀNG'!$C$6:$C$505,0))="","",INDEX('NHẬP ĐƠN HÀNG'!$E$6:$E$505,MATCH($B159,'NHẬP ĐƠN HÀNG'!$C$6:$C$505,0))),""))</f>
        <v/>
      </c>
      <c r="E159" s="16" t="str">
        <f aca="false">IF($B159="","",IFERROR(IF(INDEX('NHẬP ĐƠN HÀNG'!$F$6:$F$505,MATCH($B159,'NHẬP ĐƠN HÀNG'!$C$6:$C$505,0))="","",INDEX('NHẬP ĐƠN HÀNG'!$F$6:$F$505,MATCH($B159,'NHẬP ĐƠN HÀNG'!$C$6:$C$505,0))),""))</f>
        <v/>
      </c>
      <c r="F159" s="16" t="str">
        <f aca="false">IF($B159="","",IFERROR(IF(INDEX('NHẬP ĐƠN HÀNG'!$G$6:$G$505,MATCH($B159,'NHẬP ĐƠN HÀNG'!$C$6:$C$505,0))="","",INDEX('NHẬP ĐƠN HÀNG'!$G$6:$G$505,MATCH($B159,'NHẬP ĐƠN HÀNG'!$C$6:$C$505,0))),""))</f>
        <v/>
      </c>
      <c r="G159" s="10" t="str">
        <f aca="false">IF($B159="","",COUNTIFS('NHẬP ĐƠN HÀNG'!$C$6:$C$505,$B159,'NHẬP ĐƠN HÀNG'!$L$6:$L$505,"&gt;0"))</f>
        <v/>
      </c>
      <c r="H159" s="10" t="str">
        <f aca="false">IF($B159="","",SUMIF('NHẬP ĐƠN HÀNG'!$C$6:$C$505,$B159,'NHẬP ĐƠN HÀNG'!$L$6:$L$505))</f>
        <v/>
      </c>
      <c r="I159" s="10" t="str">
        <f aca="false">IF($B159="","",SUMIF('NHẬP ĐƠN HÀNG'!$C$6:$C$505,$B159,'NHẬP ĐƠN HÀNG'!$P$6:$P$505))</f>
        <v/>
      </c>
      <c r="J159" s="10" t="str">
        <f aca="false">IF($B159="","",SUMIF('NHẬP ĐƠN HÀNG'!$C$6:$C$505,$B159,'NHẬP ĐƠN HÀNG'!$Q$6:$Q$505))</f>
        <v/>
      </c>
      <c r="K159" s="10" t="str">
        <f aca="false">IF($B159="","",SUMIF('NHẬP ĐƠN HÀNG'!$C$6:$C$505,$B159,'NHẬP ĐƠN HÀNG'!$R$6:$R$505))</f>
        <v/>
      </c>
      <c r="L159" s="10" t="str">
        <f aca="false">IF($B159="","",SUMIF('NHẬP ĐƠN HÀNG'!$C$6:$C$505,$B159,'NHẬP ĐƠN HÀNG'!$U$6:$U$505))</f>
        <v/>
      </c>
      <c r="M159" s="34" t="str">
        <f aca="false">IF($B159="","",IF(SUMPRODUCT(MAX(('NHẬP ĐƠN HÀNG'!$C$6:$C$505=$B159)*'NHẬP ĐƠN HÀNG'!$B$6:$B$505))=0,"",SUMPRODUCT(MAX(('NHẬP ĐƠN HÀNG'!$C$6:$C$505=$B159)*'NHẬP ĐƠN HÀNG'!$B$6:$B$505))))</f>
        <v/>
      </c>
      <c r="N159" s="16" t="str">
        <f aca="false">IF($B159="","",IF($G159=0,"Chưa có đơn",IF(COUNTIFS('NHẬP ĐƠN HÀNG'!$C$6:$C$505,$B159,'NHẬP ĐƠN HÀNG'!$N$6:$N$505,"&gt;0")&gt;0,"Có lấy VAT","Không lấy VAT")))</f>
        <v/>
      </c>
    </row>
    <row r="160" customFormat="false" ht="15" hidden="false" customHeight="false" outlineLevel="0" collapsed="false">
      <c r="A160" s="16" t="str">
        <f aca="false">IF($B160="","",155)</f>
        <v/>
      </c>
      <c r="B160" s="16" t="str">
        <f aca="false">IFERROR(INDEX('NHẬP ĐƠN HÀNG'!$C$6:$C$505,MATCH(155,'NHẬP ĐƠN HÀNG'!$AB$6:$AB$505,0)),"")</f>
        <v/>
      </c>
      <c r="C160" s="16" t="str">
        <f aca="false">IF($B160="","",IFERROR(IF(INDEX('NHẬP ĐƠN HÀNG'!$D$6:$D$505,MATCH($B160,'NHẬP ĐƠN HÀNG'!$C$6:$C$505,0))="","",INDEX('NHẬP ĐƠN HÀNG'!$D$6:$D$505,MATCH($B160,'NHẬP ĐƠN HÀNG'!$C$6:$C$505,0))),""))</f>
        <v/>
      </c>
      <c r="D160" s="16" t="str">
        <f aca="false">IF($B160="","",IFERROR(IF(INDEX('NHẬP ĐƠN HÀNG'!$E$6:$E$505,MATCH($B160,'NHẬP ĐƠN HÀNG'!$C$6:$C$505,0))="","",INDEX('NHẬP ĐƠN HÀNG'!$E$6:$E$505,MATCH($B160,'NHẬP ĐƠN HÀNG'!$C$6:$C$505,0))),""))</f>
        <v/>
      </c>
      <c r="E160" s="16" t="str">
        <f aca="false">IF($B160="","",IFERROR(IF(INDEX('NHẬP ĐƠN HÀNG'!$F$6:$F$505,MATCH($B160,'NHẬP ĐƠN HÀNG'!$C$6:$C$505,0))="","",INDEX('NHẬP ĐƠN HÀNG'!$F$6:$F$505,MATCH($B160,'NHẬP ĐƠN HÀNG'!$C$6:$C$505,0))),""))</f>
        <v/>
      </c>
      <c r="F160" s="16" t="str">
        <f aca="false">IF($B160="","",IFERROR(IF(INDEX('NHẬP ĐƠN HÀNG'!$G$6:$G$505,MATCH($B160,'NHẬP ĐƠN HÀNG'!$C$6:$C$505,0))="","",INDEX('NHẬP ĐƠN HÀNG'!$G$6:$G$505,MATCH($B160,'NHẬP ĐƠN HÀNG'!$C$6:$C$505,0))),""))</f>
        <v/>
      </c>
      <c r="G160" s="10" t="str">
        <f aca="false">IF($B160="","",COUNTIFS('NHẬP ĐƠN HÀNG'!$C$6:$C$505,$B160,'NHẬP ĐƠN HÀNG'!$L$6:$L$505,"&gt;0"))</f>
        <v/>
      </c>
      <c r="H160" s="10" t="str">
        <f aca="false">IF($B160="","",SUMIF('NHẬP ĐƠN HÀNG'!$C$6:$C$505,$B160,'NHẬP ĐƠN HÀNG'!$L$6:$L$505))</f>
        <v/>
      </c>
      <c r="I160" s="10" t="str">
        <f aca="false">IF($B160="","",SUMIF('NHẬP ĐƠN HÀNG'!$C$6:$C$505,$B160,'NHẬP ĐƠN HÀNG'!$P$6:$P$505))</f>
        <v/>
      </c>
      <c r="J160" s="10" t="str">
        <f aca="false">IF($B160="","",SUMIF('NHẬP ĐƠN HÀNG'!$C$6:$C$505,$B160,'NHẬP ĐƠN HÀNG'!$Q$6:$Q$505))</f>
        <v/>
      </c>
      <c r="K160" s="10" t="str">
        <f aca="false">IF($B160="","",SUMIF('NHẬP ĐƠN HÀNG'!$C$6:$C$505,$B160,'NHẬP ĐƠN HÀNG'!$R$6:$R$505))</f>
        <v/>
      </c>
      <c r="L160" s="10" t="str">
        <f aca="false">IF($B160="","",SUMIF('NHẬP ĐƠN HÀNG'!$C$6:$C$505,$B160,'NHẬP ĐƠN HÀNG'!$U$6:$U$505))</f>
        <v/>
      </c>
      <c r="M160" s="34" t="str">
        <f aca="false">IF($B160="","",IF(SUMPRODUCT(MAX(('NHẬP ĐƠN HÀNG'!$C$6:$C$505=$B160)*'NHẬP ĐƠN HÀNG'!$B$6:$B$505))=0,"",SUMPRODUCT(MAX(('NHẬP ĐƠN HÀNG'!$C$6:$C$505=$B160)*'NHẬP ĐƠN HÀNG'!$B$6:$B$505))))</f>
        <v/>
      </c>
      <c r="N160" s="16" t="str">
        <f aca="false">IF($B160="","",IF($G160=0,"Chưa có đơn",IF(COUNTIFS('NHẬP ĐƠN HÀNG'!$C$6:$C$505,$B160,'NHẬP ĐƠN HÀNG'!$N$6:$N$505,"&gt;0")&gt;0,"Có lấy VAT","Không lấy VAT")))</f>
        <v/>
      </c>
    </row>
    <row r="161" customFormat="false" ht="15" hidden="false" customHeight="false" outlineLevel="0" collapsed="false">
      <c r="A161" s="16" t="str">
        <f aca="false">IF($B161="","",156)</f>
        <v/>
      </c>
      <c r="B161" s="16" t="str">
        <f aca="false">IFERROR(INDEX('NHẬP ĐƠN HÀNG'!$C$6:$C$505,MATCH(156,'NHẬP ĐƠN HÀNG'!$AB$6:$AB$505,0)),"")</f>
        <v/>
      </c>
      <c r="C161" s="16" t="str">
        <f aca="false">IF($B161="","",IFERROR(IF(INDEX('NHẬP ĐƠN HÀNG'!$D$6:$D$505,MATCH($B161,'NHẬP ĐƠN HÀNG'!$C$6:$C$505,0))="","",INDEX('NHẬP ĐƠN HÀNG'!$D$6:$D$505,MATCH($B161,'NHẬP ĐƠN HÀNG'!$C$6:$C$505,0))),""))</f>
        <v/>
      </c>
      <c r="D161" s="16" t="str">
        <f aca="false">IF($B161="","",IFERROR(IF(INDEX('NHẬP ĐƠN HÀNG'!$E$6:$E$505,MATCH($B161,'NHẬP ĐƠN HÀNG'!$C$6:$C$505,0))="","",INDEX('NHẬP ĐƠN HÀNG'!$E$6:$E$505,MATCH($B161,'NHẬP ĐƠN HÀNG'!$C$6:$C$505,0))),""))</f>
        <v/>
      </c>
      <c r="E161" s="16" t="str">
        <f aca="false">IF($B161="","",IFERROR(IF(INDEX('NHẬP ĐƠN HÀNG'!$F$6:$F$505,MATCH($B161,'NHẬP ĐƠN HÀNG'!$C$6:$C$505,0))="","",INDEX('NHẬP ĐƠN HÀNG'!$F$6:$F$505,MATCH($B161,'NHẬP ĐƠN HÀNG'!$C$6:$C$505,0))),""))</f>
        <v/>
      </c>
      <c r="F161" s="16" t="str">
        <f aca="false">IF($B161="","",IFERROR(IF(INDEX('NHẬP ĐƠN HÀNG'!$G$6:$G$505,MATCH($B161,'NHẬP ĐƠN HÀNG'!$C$6:$C$505,0))="","",INDEX('NHẬP ĐƠN HÀNG'!$G$6:$G$505,MATCH($B161,'NHẬP ĐƠN HÀNG'!$C$6:$C$505,0))),""))</f>
        <v/>
      </c>
      <c r="G161" s="10" t="str">
        <f aca="false">IF($B161="","",COUNTIFS('NHẬP ĐƠN HÀNG'!$C$6:$C$505,$B161,'NHẬP ĐƠN HÀNG'!$L$6:$L$505,"&gt;0"))</f>
        <v/>
      </c>
      <c r="H161" s="10" t="str">
        <f aca="false">IF($B161="","",SUMIF('NHẬP ĐƠN HÀNG'!$C$6:$C$505,$B161,'NHẬP ĐƠN HÀNG'!$L$6:$L$505))</f>
        <v/>
      </c>
      <c r="I161" s="10" t="str">
        <f aca="false">IF($B161="","",SUMIF('NHẬP ĐƠN HÀNG'!$C$6:$C$505,$B161,'NHẬP ĐƠN HÀNG'!$P$6:$P$505))</f>
        <v/>
      </c>
      <c r="J161" s="10" t="str">
        <f aca="false">IF($B161="","",SUMIF('NHẬP ĐƠN HÀNG'!$C$6:$C$505,$B161,'NHẬP ĐƠN HÀNG'!$Q$6:$Q$505))</f>
        <v/>
      </c>
      <c r="K161" s="10" t="str">
        <f aca="false">IF($B161="","",SUMIF('NHẬP ĐƠN HÀNG'!$C$6:$C$505,$B161,'NHẬP ĐƠN HÀNG'!$R$6:$R$505))</f>
        <v/>
      </c>
      <c r="L161" s="10" t="str">
        <f aca="false">IF($B161="","",SUMIF('NHẬP ĐƠN HÀNG'!$C$6:$C$505,$B161,'NHẬP ĐƠN HÀNG'!$U$6:$U$505))</f>
        <v/>
      </c>
      <c r="M161" s="34" t="str">
        <f aca="false">IF($B161="","",IF(SUMPRODUCT(MAX(('NHẬP ĐƠN HÀNG'!$C$6:$C$505=$B161)*'NHẬP ĐƠN HÀNG'!$B$6:$B$505))=0,"",SUMPRODUCT(MAX(('NHẬP ĐƠN HÀNG'!$C$6:$C$505=$B161)*'NHẬP ĐƠN HÀNG'!$B$6:$B$505))))</f>
        <v/>
      </c>
      <c r="N161" s="16" t="str">
        <f aca="false">IF($B161="","",IF($G161=0,"Chưa có đơn",IF(COUNTIFS('NHẬP ĐƠN HÀNG'!$C$6:$C$505,$B161,'NHẬP ĐƠN HÀNG'!$N$6:$N$505,"&gt;0")&gt;0,"Có lấy VAT","Không lấy VAT")))</f>
        <v/>
      </c>
    </row>
    <row r="162" customFormat="false" ht="15" hidden="false" customHeight="false" outlineLevel="0" collapsed="false">
      <c r="A162" s="16" t="str">
        <f aca="false">IF($B162="","",157)</f>
        <v/>
      </c>
      <c r="B162" s="16" t="str">
        <f aca="false">IFERROR(INDEX('NHẬP ĐƠN HÀNG'!$C$6:$C$505,MATCH(157,'NHẬP ĐƠN HÀNG'!$AB$6:$AB$505,0)),"")</f>
        <v/>
      </c>
      <c r="C162" s="16" t="str">
        <f aca="false">IF($B162="","",IFERROR(IF(INDEX('NHẬP ĐƠN HÀNG'!$D$6:$D$505,MATCH($B162,'NHẬP ĐƠN HÀNG'!$C$6:$C$505,0))="","",INDEX('NHẬP ĐƠN HÀNG'!$D$6:$D$505,MATCH($B162,'NHẬP ĐƠN HÀNG'!$C$6:$C$505,0))),""))</f>
        <v/>
      </c>
      <c r="D162" s="16" t="str">
        <f aca="false">IF($B162="","",IFERROR(IF(INDEX('NHẬP ĐƠN HÀNG'!$E$6:$E$505,MATCH($B162,'NHẬP ĐƠN HÀNG'!$C$6:$C$505,0))="","",INDEX('NHẬP ĐƠN HÀNG'!$E$6:$E$505,MATCH($B162,'NHẬP ĐƠN HÀNG'!$C$6:$C$505,0))),""))</f>
        <v/>
      </c>
      <c r="E162" s="16" t="str">
        <f aca="false">IF($B162="","",IFERROR(IF(INDEX('NHẬP ĐƠN HÀNG'!$F$6:$F$505,MATCH($B162,'NHẬP ĐƠN HÀNG'!$C$6:$C$505,0))="","",INDEX('NHẬP ĐƠN HÀNG'!$F$6:$F$505,MATCH($B162,'NHẬP ĐƠN HÀNG'!$C$6:$C$505,0))),""))</f>
        <v/>
      </c>
      <c r="F162" s="16" t="str">
        <f aca="false">IF($B162="","",IFERROR(IF(INDEX('NHẬP ĐƠN HÀNG'!$G$6:$G$505,MATCH($B162,'NHẬP ĐƠN HÀNG'!$C$6:$C$505,0))="","",INDEX('NHẬP ĐƠN HÀNG'!$G$6:$G$505,MATCH($B162,'NHẬP ĐƠN HÀNG'!$C$6:$C$505,0))),""))</f>
        <v/>
      </c>
      <c r="G162" s="10" t="str">
        <f aca="false">IF($B162="","",COUNTIFS('NHẬP ĐƠN HÀNG'!$C$6:$C$505,$B162,'NHẬP ĐƠN HÀNG'!$L$6:$L$505,"&gt;0"))</f>
        <v/>
      </c>
      <c r="H162" s="10" t="str">
        <f aca="false">IF($B162="","",SUMIF('NHẬP ĐƠN HÀNG'!$C$6:$C$505,$B162,'NHẬP ĐƠN HÀNG'!$L$6:$L$505))</f>
        <v/>
      </c>
      <c r="I162" s="10" t="str">
        <f aca="false">IF($B162="","",SUMIF('NHẬP ĐƠN HÀNG'!$C$6:$C$505,$B162,'NHẬP ĐƠN HÀNG'!$P$6:$P$505))</f>
        <v/>
      </c>
      <c r="J162" s="10" t="str">
        <f aca="false">IF($B162="","",SUMIF('NHẬP ĐƠN HÀNG'!$C$6:$C$505,$B162,'NHẬP ĐƠN HÀNG'!$Q$6:$Q$505))</f>
        <v/>
      </c>
      <c r="K162" s="10" t="str">
        <f aca="false">IF($B162="","",SUMIF('NHẬP ĐƠN HÀNG'!$C$6:$C$505,$B162,'NHẬP ĐƠN HÀNG'!$R$6:$R$505))</f>
        <v/>
      </c>
      <c r="L162" s="10" t="str">
        <f aca="false">IF($B162="","",SUMIF('NHẬP ĐƠN HÀNG'!$C$6:$C$505,$B162,'NHẬP ĐƠN HÀNG'!$U$6:$U$505))</f>
        <v/>
      </c>
      <c r="M162" s="34" t="str">
        <f aca="false">IF($B162="","",IF(SUMPRODUCT(MAX(('NHẬP ĐƠN HÀNG'!$C$6:$C$505=$B162)*'NHẬP ĐƠN HÀNG'!$B$6:$B$505))=0,"",SUMPRODUCT(MAX(('NHẬP ĐƠN HÀNG'!$C$6:$C$505=$B162)*'NHẬP ĐƠN HÀNG'!$B$6:$B$505))))</f>
        <v/>
      </c>
      <c r="N162" s="16" t="str">
        <f aca="false">IF($B162="","",IF($G162=0,"Chưa có đơn",IF(COUNTIFS('NHẬP ĐƠN HÀNG'!$C$6:$C$505,$B162,'NHẬP ĐƠN HÀNG'!$N$6:$N$505,"&gt;0")&gt;0,"Có lấy VAT","Không lấy VAT")))</f>
        <v/>
      </c>
    </row>
    <row r="163" customFormat="false" ht="15" hidden="false" customHeight="false" outlineLevel="0" collapsed="false">
      <c r="A163" s="16" t="str">
        <f aca="false">IF($B163="","",158)</f>
        <v/>
      </c>
      <c r="B163" s="16" t="str">
        <f aca="false">IFERROR(INDEX('NHẬP ĐƠN HÀNG'!$C$6:$C$505,MATCH(158,'NHẬP ĐƠN HÀNG'!$AB$6:$AB$505,0)),"")</f>
        <v/>
      </c>
      <c r="C163" s="16" t="str">
        <f aca="false">IF($B163="","",IFERROR(IF(INDEX('NHẬP ĐƠN HÀNG'!$D$6:$D$505,MATCH($B163,'NHẬP ĐƠN HÀNG'!$C$6:$C$505,0))="","",INDEX('NHẬP ĐƠN HÀNG'!$D$6:$D$505,MATCH($B163,'NHẬP ĐƠN HÀNG'!$C$6:$C$505,0))),""))</f>
        <v/>
      </c>
      <c r="D163" s="16" t="str">
        <f aca="false">IF($B163="","",IFERROR(IF(INDEX('NHẬP ĐƠN HÀNG'!$E$6:$E$505,MATCH($B163,'NHẬP ĐƠN HÀNG'!$C$6:$C$505,0))="","",INDEX('NHẬP ĐƠN HÀNG'!$E$6:$E$505,MATCH($B163,'NHẬP ĐƠN HÀNG'!$C$6:$C$505,0))),""))</f>
        <v/>
      </c>
      <c r="E163" s="16" t="str">
        <f aca="false">IF($B163="","",IFERROR(IF(INDEX('NHẬP ĐƠN HÀNG'!$F$6:$F$505,MATCH($B163,'NHẬP ĐƠN HÀNG'!$C$6:$C$505,0))="","",INDEX('NHẬP ĐƠN HÀNG'!$F$6:$F$505,MATCH($B163,'NHẬP ĐƠN HÀNG'!$C$6:$C$505,0))),""))</f>
        <v/>
      </c>
      <c r="F163" s="16" t="str">
        <f aca="false">IF($B163="","",IFERROR(IF(INDEX('NHẬP ĐƠN HÀNG'!$G$6:$G$505,MATCH($B163,'NHẬP ĐƠN HÀNG'!$C$6:$C$505,0))="","",INDEX('NHẬP ĐƠN HÀNG'!$G$6:$G$505,MATCH($B163,'NHẬP ĐƠN HÀNG'!$C$6:$C$505,0))),""))</f>
        <v/>
      </c>
      <c r="G163" s="10" t="str">
        <f aca="false">IF($B163="","",COUNTIFS('NHẬP ĐƠN HÀNG'!$C$6:$C$505,$B163,'NHẬP ĐƠN HÀNG'!$L$6:$L$505,"&gt;0"))</f>
        <v/>
      </c>
      <c r="H163" s="10" t="str">
        <f aca="false">IF($B163="","",SUMIF('NHẬP ĐƠN HÀNG'!$C$6:$C$505,$B163,'NHẬP ĐƠN HÀNG'!$L$6:$L$505))</f>
        <v/>
      </c>
      <c r="I163" s="10" t="str">
        <f aca="false">IF($B163="","",SUMIF('NHẬP ĐƠN HÀNG'!$C$6:$C$505,$B163,'NHẬP ĐƠN HÀNG'!$P$6:$P$505))</f>
        <v/>
      </c>
      <c r="J163" s="10" t="str">
        <f aca="false">IF($B163="","",SUMIF('NHẬP ĐƠN HÀNG'!$C$6:$C$505,$B163,'NHẬP ĐƠN HÀNG'!$Q$6:$Q$505))</f>
        <v/>
      </c>
      <c r="K163" s="10" t="str">
        <f aca="false">IF($B163="","",SUMIF('NHẬP ĐƠN HÀNG'!$C$6:$C$505,$B163,'NHẬP ĐƠN HÀNG'!$R$6:$R$505))</f>
        <v/>
      </c>
      <c r="L163" s="10" t="str">
        <f aca="false">IF($B163="","",SUMIF('NHẬP ĐƠN HÀNG'!$C$6:$C$505,$B163,'NHẬP ĐƠN HÀNG'!$U$6:$U$505))</f>
        <v/>
      </c>
      <c r="M163" s="34" t="str">
        <f aca="false">IF($B163="","",IF(SUMPRODUCT(MAX(('NHẬP ĐƠN HÀNG'!$C$6:$C$505=$B163)*'NHẬP ĐƠN HÀNG'!$B$6:$B$505))=0,"",SUMPRODUCT(MAX(('NHẬP ĐƠN HÀNG'!$C$6:$C$505=$B163)*'NHẬP ĐƠN HÀNG'!$B$6:$B$505))))</f>
        <v/>
      </c>
      <c r="N163" s="16" t="str">
        <f aca="false">IF($B163="","",IF($G163=0,"Chưa có đơn",IF(COUNTIFS('NHẬP ĐƠN HÀNG'!$C$6:$C$505,$B163,'NHẬP ĐƠN HÀNG'!$N$6:$N$505,"&gt;0")&gt;0,"Có lấy VAT","Không lấy VAT")))</f>
        <v/>
      </c>
    </row>
    <row r="164" customFormat="false" ht="15" hidden="false" customHeight="false" outlineLevel="0" collapsed="false">
      <c r="A164" s="16" t="str">
        <f aca="false">IF($B164="","",159)</f>
        <v/>
      </c>
      <c r="B164" s="16" t="str">
        <f aca="false">IFERROR(INDEX('NHẬP ĐƠN HÀNG'!$C$6:$C$505,MATCH(159,'NHẬP ĐƠN HÀNG'!$AB$6:$AB$505,0)),"")</f>
        <v/>
      </c>
      <c r="C164" s="16" t="str">
        <f aca="false">IF($B164="","",IFERROR(IF(INDEX('NHẬP ĐƠN HÀNG'!$D$6:$D$505,MATCH($B164,'NHẬP ĐƠN HÀNG'!$C$6:$C$505,0))="","",INDEX('NHẬP ĐƠN HÀNG'!$D$6:$D$505,MATCH($B164,'NHẬP ĐƠN HÀNG'!$C$6:$C$505,0))),""))</f>
        <v/>
      </c>
      <c r="D164" s="16" t="str">
        <f aca="false">IF($B164="","",IFERROR(IF(INDEX('NHẬP ĐƠN HÀNG'!$E$6:$E$505,MATCH($B164,'NHẬP ĐƠN HÀNG'!$C$6:$C$505,0))="","",INDEX('NHẬP ĐƠN HÀNG'!$E$6:$E$505,MATCH($B164,'NHẬP ĐƠN HÀNG'!$C$6:$C$505,0))),""))</f>
        <v/>
      </c>
      <c r="E164" s="16" t="str">
        <f aca="false">IF($B164="","",IFERROR(IF(INDEX('NHẬP ĐƠN HÀNG'!$F$6:$F$505,MATCH($B164,'NHẬP ĐƠN HÀNG'!$C$6:$C$505,0))="","",INDEX('NHẬP ĐƠN HÀNG'!$F$6:$F$505,MATCH($B164,'NHẬP ĐƠN HÀNG'!$C$6:$C$505,0))),""))</f>
        <v/>
      </c>
      <c r="F164" s="16" t="str">
        <f aca="false">IF($B164="","",IFERROR(IF(INDEX('NHẬP ĐƠN HÀNG'!$G$6:$G$505,MATCH($B164,'NHẬP ĐƠN HÀNG'!$C$6:$C$505,0))="","",INDEX('NHẬP ĐƠN HÀNG'!$G$6:$G$505,MATCH($B164,'NHẬP ĐƠN HÀNG'!$C$6:$C$505,0))),""))</f>
        <v/>
      </c>
      <c r="G164" s="10" t="str">
        <f aca="false">IF($B164="","",COUNTIFS('NHẬP ĐƠN HÀNG'!$C$6:$C$505,$B164,'NHẬP ĐƠN HÀNG'!$L$6:$L$505,"&gt;0"))</f>
        <v/>
      </c>
      <c r="H164" s="10" t="str">
        <f aca="false">IF($B164="","",SUMIF('NHẬP ĐƠN HÀNG'!$C$6:$C$505,$B164,'NHẬP ĐƠN HÀNG'!$L$6:$L$505))</f>
        <v/>
      </c>
      <c r="I164" s="10" t="str">
        <f aca="false">IF($B164="","",SUMIF('NHẬP ĐƠN HÀNG'!$C$6:$C$505,$B164,'NHẬP ĐƠN HÀNG'!$P$6:$P$505))</f>
        <v/>
      </c>
      <c r="J164" s="10" t="str">
        <f aca="false">IF($B164="","",SUMIF('NHẬP ĐƠN HÀNG'!$C$6:$C$505,$B164,'NHẬP ĐƠN HÀNG'!$Q$6:$Q$505))</f>
        <v/>
      </c>
      <c r="K164" s="10" t="str">
        <f aca="false">IF($B164="","",SUMIF('NHẬP ĐƠN HÀNG'!$C$6:$C$505,$B164,'NHẬP ĐƠN HÀNG'!$R$6:$R$505))</f>
        <v/>
      </c>
      <c r="L164" s="10" t="str">
        <f aca="false">IF($B164="","",SUMIF('NHẬP ĐƠN HÀNG'!$C$6:$C$505,$B164,'NHẬP ĐƠN HÀNG'!$U$6:$U$505))</f>
        <v/>
      </c>
      <c r="M164" s="34" t="str">
        <f aca="false">IF($B164="","",IF(SUMPRODUCT(MAX(('NHẬP ĐƠN HÀNG'!$C$6:$C$505=$B164)*'NHẬP ĐƠN HÀNG'!$B$6:$B$505))=0,"",SUMPRODUCT(MAX(('NHẬP ĐƠN HÀNG'!$C$6:$C$505=$B164)*'NHẬP ĐƠN HÀNG'!$B$6:$B$505))))</f>
        <v/>
      </c>
      <c r="N164" s="16" t="str">
        <f aca="false">IF($B164="","",IF($G164=0,"Chưa có đơn",IF(COUNTIFS('NHẬP ĐƠN HÀNG'!$C$6:$C$505,$B164,'NHẬP ĐƠN HÀNG'!$N$6:$N$505,"&gt;0")&gt;0,"Có lấy VAT","Không lấy VAT")))</f>
        <v/>
      </c>
    </row>
    <row r="165" customFormat="false" ht="15" hidden="false" customHeight="false" outlineLevel="0" collapsed="false">
      <c r="A165" s="16" t="str">
        <f aca="false">IF($B165="","",160)</f>
        <v/>
      </c>
      <c r="B165" s="16" t="str">
        <f aca="false">IFERROR(INDEX('NHẬP ĐƠN HÀNG'!$C$6:$C$505,MATCH(160,'NHẬP ĐƠN HÀNG'!$AB$6:$AB$505,0)),"")</f>
        <v/>
      </c>
      <c r="C165" s="16" t="str">
        <f aca="false">IF($B165="","",IFERROR(IF(INDEX('NHẬP ĐƠN HÀNG'!$D$6:$D$505,MATCH($B165,'NHẬP ĐƠN HÀNG'!$C$6:$C$505,0))="","",INDEX('NHẬP ĐƠN HÀNG'!$D$6:$D$505,MATCH($B165,'NHẬP ĐƠN HÀNG'!$C$6:$C$505,0))),""))</f>
        <v/>
      </c>
      <c r="D165" s="16" t="str">
        <f aca="false">IF($B165="","",IFERROR(IF(INDEX('NHẬP ĐƠN HÀNG'!$E$6:$E$505,MATCH($B165,'NHẬP ĐƠN HÀNG'!$C$6:$C$505,0))="","",INDEX('NHẬP ĐƠN HÀNG'!$E$6:$E$505,MATCH($B165,'NHẬP ĐƠN HÀNG'!$C$6:$C$505,0))),""))</f>
        <v/>
      </c>
      <c r="E165" s="16" t="str">
        <f aca="false">IF($B165="","",IFERROR(IF(INDEX('NHẬP ĐƠN HÀNG'!$F$6:$F$505,MATCH($B165,'NHẬP ĐƠN HÀNG'!$C$6:$C$505,0))="","",INDEX('NHẬP ĐƠN HÀNG'!$F$6:$F$505,MATCH($B165,'NHẬP ĐƠN HÀNG'!$C$6:$C$505,0))),""))</f>
        <v/>
      </c>
      <c r="F165" s="16" t="str">
        <f aca="false">IF($B165="","",IFERROR(IF(INDEX('NHẬP ĐƠN HÀNG'!$G$6:$G$505,MATCH($B165,'NHẬP ĐƠN HÀNG'!$C$6:$C$505,0))="","",INDEX('NHẬP ĐƠN HÀNG'!$G$6:$G$505,MATCH($B165,'NHẬP ĐƠN HÀNG'!$C$6:$C$505,0))),""))</f>
        <v/>
      </c>
      <c r="G165" s="10" t="str">
        <f aca="false">IF($B165="","",COUNTIFS('NHẬP ĐƠN HÀNG'!$C$6:$C$505,$B165,'NHẬP ĐƠN HÀNG'!$L$6:$L$505,"&gt;0"))</f>
        <v/>
      </c>
      <c r="H165" s="10" t="str">
        <f aca="false">IF($B165="","",SUMIF('NHẬP ĐƠN HÀNG'!$C$6:$C$505,$B165,'NHẬP ĐƠN HÀNG'!$L$6:$L$505))</f>
        <v/>
      </c>
      <c r="I165" s="10" t="str">
        <f aca="false">IF($B165="","",SUMIF('NHẬP ĐƠN HÀNG'!$C$6:$C$505,$B165,'NHẬP ĐƠN HÀNG'!$P$6:$P$505))</f>
        <v/>
      </c>
      <c r="J165" s="10" t="str">
        <f aca="false">IF($B165="","",SUMIF('NHẬP ĐƠN HÀNG'!$C$6:$C$505,$B165,'NHẬP ĐƠN HÀNG'!$Q$6:$Q$505))</f>
        <v/>
      </c>
      <c r="K165" s="10" t="str">
        <f aca="false">IF($B165="","",SUMIF('NHẬP ĐƠN HÀNG'!$C$6:$C$505,$B165,'NHẬP ĐƠN HÀNG'!$R$6:$R$505))</f>
        <v/>
      </c>
      <c r="L165" s="10" t="str">
        <f aca="false">IF($B165="","",SUMIF('NHẬP ĐƠN HÀNG'!$C$6:$C$505,$B165,'NHẬP ĐƠN HÀNG'!$U$6:$U$505))</f>
        <v/>
      </c>
      <c r="M165" s="34" t="str">
        <f aca="false">IF($B165="","",IF(SUMPRODUCT(MAX(('NHẬP ĐƠN HÀNG'!$C$6:$C$505=$B165)*'NHẬP ĐƠN HÀNG'!$B$6:$B$505))=0,"",SUMPRODUCT(MAX(('NHẬP ĐƠN HÀNG'!$C$6:$C$505=$B165)*'NHẬP ĐƠN HÀNG'!$B$6:$B$505))))</f>
        <v/>
      </c>
      <c r="N165" s="16" t="str">
        <f aca="false">IF($B165="","",IF($G165=0,"Chưa có đơn",IF(COUNTIFS('NHẬP ĐƠN HÀNG'!$C$6:$C$505,$B165,'NHẬP ĐƠN HÀNG'!$N$6:$N$505,"&gt;0")&gt;0,"Có lấy VAT","Không lấy VAT")))</f>
        <v/>
      </c>
    </row>
    <row r="166" customFormat="false" ht="15" hidden="false" customHeight="false" outlineLevel="0" collapsed="false">
      <c r="A166" s="16" t="str">
        <f aca="false">IF($B166="","",161)</f>
        <v/>
      </c>
      <c r="B166" s="16" t="str">
        <f aca="false">IFERROR(INDEX('NHẬP ĐƠN HÀNG'!$C$6:$C$505,MATCH(161,'NHẬP ĐƠN HÀNG'!$AB$6:$AB$505,0)),"")</f>
        <v/>
      </c>
      <c r="C166" s="16" t="str">
        <f aca="false">IF($B166="","",IFERROR(IF(INDEX('NHẬP ĐƠN HÀNG'!$D$6:$D$505,MATCH($B166,'NHẬP ĐƠN HÀNG'!$C$6:$C$505,0))="","",INDEX('NHẬP ĐƠN HÀNG'!$D$6:$D$505,MATCH($B166,'NHẬP ĐƠN HÀNG'!$C$6:$C$505,0))),""))</f>
        <v/>
      </c>
      <c r="D166" s="16" t="str">
        <f aca="false">IF($B166="","",IFERROR(IF(INDEX('NHẬP ĐƠN HÀNG'!$E$6:$E$505,MATCH($B166,'NHẬP ĐƠN HÀNG'!$C$6:$C$505,0))="","",INDEX('NHẬP ĐƠN HÀNG'!$E$6:$E$505,MATCH($B166,'NHẬP ĐƠN HÀNG'!$C$6:$C$505,0))),""))</f>
        <v/>
      </c>
      <c r="E166" s="16" t="str">
        <f aca="false">IF($B166="","",IFERROR(IF(INDEX('NHẬP ĐƠN HÀNG'!$F$6:$F$505,MATCH($B166,'NHẬP ĐƠN HÀNG'!$C$6:$C$505,0))="","",INDEX('NHẬP ĐƠN HÀNG'!$F$6:$F$505,MATCH($B166,'NHẬP ĐƠN HÀNG'!$C$6:$C$505,0))),""))</f>
        <v/>
      </c>
      <c r="F166" s="16" t="str">
        <f aca="false">IF($B166="","",IFERROR(IF(INDEX('NHẬP ĐƠN HÀNG'!$G$6:$G$505,MATCH($B166,'NHẬP ĐƠN HÀNG'!$C$6:$C$505,0))="","",INDEX('NHẬP ĐƠN HÀNG'!$G$6:$G$505,MATCH($B166,'NHẬP ĐƠN HÀNG'!$C$6:$C$505,0))),""))</f>
        <v/>
      </c>
      <c r="G166" s="10" t="str">
        <f aca="false">IF($B166="","",COUNTIFS('NHẬP ĐƠN HÀNG'!$C$6:$C$505,$B166,'NHẬP ĐƠN HÀNG'!$L$6:$L$505,"&gt;0"))</f>
        <v/>
      </c>
      <c r="H166" s="10" t="str">
        <f aca="false">IF($B166="","",SUMIF('NHẬP ĐƠN HÀNG'!$C$6:$C$505,$B166,'NHẬP ĐƠN HÀNG'!$L$6:$L$505))</f>
        <v/>
      </c>
      <c r="I166" s="10" t="str">
        <f aca="false">IF($B166="","",SUMIF('NHẬP ĐƠN HÀNG'!$C$6:$C$505,$B166,'NHẬP ĐƠN HÀNG'!$P$6:$P$505))</f>
        <v/>
      </c>
      <c r="J166" s="10" t="str">
        <f aca="false">IF($B166="","",SUMIF('NHẬP ĐƠN HÀNG'!$C$6:$C$505,$B166,'NHẬP ĐƠN HÀNG'!$Q$6:$Q$505))</f>
        <v/>
      </c>
      <c r="K166" s="10" t="str">
        <f aca="false">IF($B166="","",SUMIF('NHẬP ĐƠN HÀNG'!$C$6:$C$505,$B166,'NHẬP ĐƠN HÀNG'!$R$6:$R$505))</f>
        <v/>
      </c>
      <c r="L166" s="10" t="str">
        <f aca="false">IF($B166="","",SUMIF('NHẬP ĐƠN HÀNG'!$C$6:$C$505,$B166,'NHẬP ĐƠN HÀNG'!$U$6:$U$505))</f>
        <v/>
      </c>
      <c r="M166" s="34" t="str">
        <f aca="false">IF($B166="","",IF(SUMPRODUCT(MAX(('NHẬP ĐƠN HÀNG'!$C$6:$C$505=$B166)*'NHẬP ĐƠN HÀNG'!$B$6:$B$505))=0,"",SUMPRODUCT(MAX(('NHẬP ĐƠN HÀNG'!$C$6:$C$505=$B166)*'NHẬP ĐƠN HÀNG'!$B$6:$B$505))))</f>
        <v/>
      </c>
      <c r="N166" s="16" t="str">
        <f aca="false">IF($B166="","",IF($G166=0,"Chưa có đơn",IF(COUNTIFS('NHẬP ĐƠN HÀNG'!$C$6:$C$505,$B166,'NHẬP ĐƠN HÀNG'!$N$6:$N$505,"&gt;0")&gt;0,"Có lấy VAT","Không lấy VAT")))</f>
        <v/>
      </c>
    </row>
    <row r="167" customFormat="false" ht="15" hidden="false" customHeight="false" outlineLevel="0" collapsed="false">
      <c r="A167" s="16" t="str">
        <f aca="false">IF($B167="","",162)</f>
        <v/>
      </c>
      <c r="B167" s="16" t="str">
        <f aca="false">IFERROR(INDEX('NHẬP ĐƠN HÀNG'!$C$6:$C$505,MATCH(162,'NHẬP ĐƠN HÀNG'!$AB$6:$AB$505,0)),"")</f>
        <v/>
      </c>
      <c r="C167" s="16" t="str">
        <f aca="false">IF($B167="","",IFERROR(IF(INDEX('NHẬP ĐƠN HÀNG'!$D$6:$D$505,MATCH($B167,'NHẬP ĐƠN HÀNG'!$C$6:$C$505,0))="","",INDEX('NHẬP ĐƠN HÀNG'!$D$6:$D$505,MATCH($B167,'NHẬP ĐƠN HÀNG'!$C$6:$C$505,0))),""))</f>
        <v/>
      </c>
      <c r="D167" s="16" t="str">
        <f aca="false">IF($B167="","",IFERROR(IF(INDEX('NHẬP ĐƠN HÀNG'!$E$6:$E$505,MATCH($B167,'NHẬP ĐƠN HÀNG'!$C$6:$C$505,0))="","",INDEX('NHẬP ĐƠN HÀNG'!$E$6:$E$505,MATCH($B167,'NHẬP ĐƠN HÀNG'!$C$6:$C$505,0))),""))</f>
        <v/>
      </c>
      <c r="E167" s="16" t="str">
        <f aca="false">IF($B167="","",IFERROR(IF(INDEX('NHẬP ĐƠN HÀNG'!$F$6:$F$505,MATCH($B167,'NHẬP ĐƠN HÀNG'!$C$6:$C$505,0))="","",INDEX('NHẬP ĐƠN HÀNG'!$F$6:$F$505,MATCH($B167,'NHẬP ĐƠN HÀNG'!$C$6:$C$505,0))),""))</f>
        <v/>
      </c>
      <c r="F167" s="16" t="str">
        <f aca="false">IF($B167="","",IFERROR(IF(INDEX('NHẬP ĐƠN HÀNG'!$G$6:$G$505,MATCH($B167,'NHẬP ĐƠN HÀNG'!$C$6:$C$505,0))="","",INDEX('NHẬP ĐƠN HÀNG'!$G$6:$G$505,MATCH($B167,'NHẬP ĐƠN HÀNG'!$C$6:$C$505,0))),""))</f>
        <v/>
      </c>
      <c r="G167" s="10" t="str">
        <f aca="false">IF($B167="","",COUNTIFS('NHẬP ĐƠN HÀNG'!$C$6:$C$505,$B167,'NHẬP ĐƠN HÀNG'!$L$6:$L$505,"&gt;0"))</f>
        <v/>
      </c>
      <c r="H167" s="10" t="str">
        <f aca="false">IF($B167="","",SUMIF('NHẬP ĐƠN HÀNG'!$C$6:$C$505,$B167,'NHẬP ĐƠN HÀNG'!$L$6:$L$505))</f>
        <v/>
      </c>
      <c r="I167" s="10" t="str">
        <f aca="false">IF($B167="","",SUMIF('NHẬP ĐƠN HÀNG'!$C$6:$C$505,$B167,'NHẬP ĐƠN HÀNG'!$P$6:$P$505))</f>
        <v/>
      </c>
      <c r="J167" s="10" t="str">
        <f aca="false">IF($B167="","",SUMIF('NHẬP ĐƠN HÀNG'!$C$6:$C$505,$B167,'NHẬP ĐƠN HÀNG'!$Q$6:$Q$505))</f>
        <v/>
      </c>
      <c r="K167" s="10" t="str">
        <f aca="false">IF($B167="","",SUMIF('NHẬP ĐƠN HÀNG'!$C$6:$C$505,$B167,'NHẬP ĐƠN HÀNG'!$R$6:$R$505))</f>
        <v/>
      </c>
      <c r="L167" s="10" t="str">
        <f aca="false">IF($B167="","",SUMIF('NHẬP ĐƠN HÀNG'!$C$6:$C$505,$B167,'NHẬP ĐƠN HÀNG'!$U$6:$U$505))</f>
        <v/>
      </c>
      <c r="M167" s="34" t="str">
        <f aca="false">IF($B167="","",IF(SUMPRODUCT(MAX(('NHẬP ĐƠN HÀNG'!$C$6:$C$505=$B167)*'NHẬP ĐƠN HÀNG'!$B$6:$B$505))=0,"",SUMPRODUCT(MAX(('NHẬP ĐƠN HÀNG'!$C$6:$C$505=$B167)*'NHẬP ĐƠN HÀNG'!$B$6:$B$505))))</f>
        <v/>
      </c>
      <c r="N167" s="16" t="str">
        <f aca="false">IF($B167="","",IF($G167=0,"Chưa có đơn",IF(COUNTIFS('NHẬP ĐƠN HÀNG'!$C$6:$C$505,$B167,'NHẬP ĐƠN HÀNG'!$N$6:$N$505,"&gt;0")&gt;0,"Có lấy VAT","Không lấy VAT")))</f>
        <v/>
      </c>
    </row>
    <row r="168" customFormat="false" ht="15" hidden="false" customHeight="false" outlineLevel="0" collapsed="false">
      <c r="A168" s="16" t="str">
        <f aca="false">IF($B168="","",163)</f>
        <v/>
      </c>
      <c r="B168" s="16" t="str">
        <f aca="false">IFERROR(INDEX('NHẬP ĐƠN HÀNG'!$C$6:$C$505,MATCH(163,'NHẬP ĐƠN HÀNG'!$AB$6:$AB$505,0)),"")</f>
        <v/>
      </c>
      <c r="C168" s="16" t="str">
        <f aca="false">IF($B168="","",IFERROR(IF(INDEX('NHẬP ĐƠN HÀNG'!$D$6:$D$505,MATCH($B168,'NHẬP ĐƠN HÀNG'!$C$6:$C$505,0))="","",INDEX('NHẬP ĐƠN HÀNG'!$D$6:$D$505,MATCH($B168,'NHẬP ĐƠN HÀNG'!$C$6:$C$505,0))),""))</f>
        <v/>
      </c>
      <c r="D168" s="16" t="str">
        <f aca="false">IF($B168="","",IFERROR(IF(INDEX('NHẬP ĐƠN HÀNG'!$E$6:$E$505,MATCH($B168,'NHẬP ĐƠN HÀNG'!$C$6:$C$505,0))="","",INDEX('NHẬP ĐƠN HÀNG'!$E$6:$E$505,MATCH($B168,'NHẬP ĐƠN HÀNG'!$C$6:$C$505,0))),""))</f>
        <v/>
      </c>
      <c r="E168" s="16" t="str">
        <f aca="false">IF($B168="","",IFERROR(IF(INDEX('NHẬP ĐƠN HÀNG'!$F$6:$F$505,MATCH($B168,'NHẬP ĐƠN HÀNG'!$C$6:$C$505,0))="","",INDEX('NHẬP ĐƠN HÀNG'!$F$6:$F$505,MATCH($B168,'NHẬP ĐƠN HÀNG'!$C$6:$C$505,0))),""))</f>
        <v/>
      </c>
      <c r="F168" s="16" t="str">
        <f aca="false">IF($B168="","",IFERROR(IF(INDEX('NHẬP ĐƠN HÀNG'!$G$6:$G$505,MATCH($B168,'NHẬP ĐƠN HÀNG'!$C$6:$C$505,0))="","",INDEX('NHẬP ĐƠN HÀNG'!$G$6:$G$505,MATCH($B168,'NHẬP ĐƠN HÀNG'!$C$6:$C$505,0))),""))</f>
        <v/>
      </c>
      <c r="G168" s="10" t="str">
        <f aca="false">IF($B168="","",COUNTIFS('NHẬP ĐƠN HÀNG'!$C$6:$C$505,$B168,'NHẬP ĐƠN HÀNG'!$L$6:$L$505,"&gt;0"))</f>
        <v/>
      </c>
      <c r="H168" s="10" t="str">
        <f aca="false">IF($B168="","",SUMIF('NHẬP ĐƠN HÀNG'!$C$6:$C$505,$B168,'NHẬP ĐƠN HÀNG'!$L$6:$L$505))</f>
        <v/>
      </c>
      <c r="I168" s="10" t="str">
        <f aca="false">IF($B168="","",SUMIF('NHẬP ĐƠN HÀNG'!$C$6:$C$505,$B168,'NHẬP ĐƠN HÀNG'!$P$6:$P$505))</f>
        <v/>
      </c>
      <c r="J168" s="10" t="str">
        <f aca="false">IF($B168="","",SUMIF('NHẬP ĐƠN HÀNG'!$C$6:$C$505,$B168,'NHẬP ĐƠN HÀNG'!$Q$6:$Q$505))</f>
        <v/>
      </c>
      <c r="K168" s="10" t="str">
        <f aca="false">IF($B168="","",SUMIF('NHẬP ĐƠN HÀNG'!$C$6:$C$505,$B168,'NHẬP ĐƠN HÀNG'!$R$6:$R$505))</f>
        <v/>
      </c>
      <c r="L168" s="10" t="str">
        <f aca="false">IF($B168="","",SUMIF('NHẬP ĐƠN HÀNG'!$C$6:$C$505,$B168,'NHẬP ĐƠN HÀNG'!$U$6:$U$505))</f>
        <v/>
      </c>
      <c r="M168" s="34" t="str">
        <f aca="false">IF($B168="","",IF(SUMPRODUCT(MAX(('NHẬP ĐƠN HÀNG'!$C$6:$C$505=$B168)*'NHẬP ĐƠN HÀNG'!$B$6:$B$505))=0,"",SUMPRODUCT(MAX(('NHẬP ĐƠN HÀNG'!$C$6:$C$505=$B168)*'NHẬP ĐƠN HÀNG'!$B$6:$B$505))))</f>
        <v/>
      </c>
      <c r="N168" s="16" t="str">
        <f aca="false">IF($B168="","",IF($G168=0,"Chưa có đơn",IF(COUNTIFS('NHẬP ĐƠN HÀNG'!$C$6:$C$505,$B168,'NHẬP ĐƠN HÀNG'!$N$6:$N$505,"&gt;0")&gt;0,"Có lấy VAT","Không lấy VAT")))</f>
        <v/>
      </c>
    </row>
    <row r="169" customFormat="false" ht="15" hidden="false" customHeight="false" outlineLevel="0" collapsed="false">
      <c r="A169" s="16" t="str">
        <f aca="false">IF($B169="","",164)</f>
        <v/>
      </c>
      <c r="B169" s="16" t="str">
        <f aca="false">IFERROR(INDEX('NHẬP ĐƠN HÀNG'!$C$6:$C$505,MATCH(164,'NHẬP ĐƠN HÀNG'!$AB$6:$AB$505,0)),"")</f>
        <v/>
      </c>
      <c r="C169" s="16" t="str">
        <f aca="false">IF($B169="","",IFERROR(IF(INDEX('NHẬP ĐƠN HÀNG'!$D$6:$D$505,MATCH($B169,'NHẬP ĐƠN HÀNG'!$C$6:$C$505,0))="","",INDEX('NHẬP ĐƠN HÀNG'!$D$6:$D$505,MATCH($B169,'NHẬP ĐƠN HÀNG'!$C$6:$C$505,0))),""))</f>
        <v/>
      </c>
      <c r="D169" s="16" t="str">
        <f aca="false">IF($B169="","",IFERROR(IF(INDEX('NHẬP ĐƠN HÀNG'!$E$6:$E$505,MATCH($B169,'NHẬP ĐƠN HÀNG'!$C$6:$C$505,0))="","",INDEX('NHẬP ĐƠN HÀNG'!$E$6:$E$505,MATCH($B169,'NHẬP ĐƠN HÀNG'!$C$6:$C$505,0))),""))</f>
        <v/>
      </c>
      <c r="E169" s="16" t="str">
        <f aca="false">IF($B169="","",IFERROR(IF(INDEX('NHẬP ĐƠN HÀNG'!$F$6:$F$505,MATCH($B169,'NHẬP ĐƠN HÀNG'!$C$6:$C$505,0))="","",INDEX('NHẬP ĐƠN HÀNG'!$F$6:$F$505,MATCH($B169,'NHẬP ĐƠN HÀNG'!$C$6:$C$505,0))),""))</f>
        <v/>
      </c>
      <c r="F169" s="16" t="str">
        <f aca="false">IF($B169="","",IFERROR(IF(INDEX('NHẬP ĐƠN HÀNG'!$G$6:$G$505,MATCH($B169,'NHẬP ĐƠN HÀNG'!$C$6:$C$505,0))="","",INDEX('NHẬP ĐƠN HÀNG'!$G$6:$G$505,MATCH($B169,'NHẬP ĐƠN HÀNG'!$C$6:$C$505,0))),""))</f>
        <v/>
      </c>
      <c r="G169" s="10" t="str">
        <f aca="false">IF($B169="","",COUNTIFS('NHẬP ĐƠN HÀNG'!$C$6:$C$505,$B169,'NHẬP ĐƠN HÀNG'!$L$6:$L$505,"&gt;0"))</f>
        <v/>
      </c>
      <c r="H169" s="10" t="str">
        <f aca="false">IF($B169="","",SUMIF('NHẬP ĐƠN HÀNG'!$C$6:$C$505,$B169,'NHẬP ĐƠN HÀNG'!$L$6:$L$505))</f>
        <v/>
      </c>
      <c r="I169" s="10" t="str">
        <f aca="false">IF($B169="","",SUMIF('NHẬP ĐƠN HÀNG'!$C$6:$C$505,$B169,'NHẬP ĐƠN HÀNG'!$P$6:$P$505))</f>
        <v/>
      </c>
      <c r="J169" s="10" t="str">
        <f aca="false">IF($B169="","",SUMIF('NHẬP ĐƠN HÀNG'!$C$6:$C$505,$B169,'NHẬP ĐƠN HÀNG'!$Q$6:$Q$505))</f>
        <v/>
      </c>
      <c r="K169" s="10" t="str">
        <f aca="false">IF($B169="","",SUMIF('NHẬP ĐƠN HÀNG'!$C$6:$C$505,$B169,'NHẬP ĐƠN HÀNG'!$R$6:$R$505))</f>
        <v/>
      </c>
      <c r="L169" s="10" t="str">
        <f aca="false">IF($B169="","",SUMIF('NHẬP ĐƠN HÀNG'!$C$6:$C$505,$B169,'NHẬP ĐƠN HÀNG'!$U$6:$U$505))</f>
        <v/>
      </c>
      <c r="M169" s="34" t="str">
        <f aca="false">IF($B169="","",IF(SUMPRODUCT(MAX(('NHẬP ĐƠN HÀNG'!$C$6:$C$505=$B169)*'NHẬP ĐƠN HÀNG'!$B$6:$B$505))=0,"",SUMPRODUCT(MAX(('NHẬP ĐƠN HÀNG'!$C$6:$C$505=$B169)*'NHẬP ĐƠN HÀNG'!$B$6:$B$505))))</f>
        <v/>
      </c>
      <c r="N169" s="16" t="str">
        <f aca="false">IF($B169="","",IF($G169=0,"Chưa có đơn",IF(COUNTIFS('NHẬP ĐƠN HÀNG'!$C$6:$C$505,$B169,'NHẬP ĐƠN HÀNG'!$N$6:$N$505,"&gt;0")&gt;0,"Có lấy VAT","Không lấy VAT")))</f>
        <v/>
      </c>
    </row>
    <row r="170" customFormat="false" ht="15" hidden="false" customHeight="false" outlineLevel="0" collapsed="false">
      <c r="A170" s="16" t="str">
        <f aca="false">IF($B170="","",165)</f>
        <v/>
      </c>
      <c r="B170" s="16" t="str">
        <f aca="false">IFERROR(INDEX('NHẬP ĐƠN HÀNG'!$C$6:$C$505,MATCH(165,'NHẬP ĐƠN HÀNG'!$AB$6:$AB$505,0)),"")</f>
        <v/>
      </c>
      <c r="C170" s="16" t="str">
        <f aca="false">IF($B170="","",IFERROR(IF(INDEX('NHẬP ĐƠN HÀNG'!$D$6:$D$505,MATCH($B170,'NHẬP ĐƠN HÀNG'!$C$6:$C$505,0))="","",INDEX('NHẬP ĐƠN HÀNG'!$D$6:$D$505,MATCH($B170,'NHẬP ĐƠN HÀNG'!$C$6:$C$505,0))),""))</f>
        <v/>
      </c>
      <c r="D170" s="16" t="str">
        <f aca="false">IF($B170="","",IFERROR(IF(INDEX('NHẬP ĐƠN HÀNG'!$E$6:$E$505,MATCH($B170,'NHẬP ĐƠN HÀNG'!$C$6:$C$505,0))="","",INDEX('NHẬP ĐƠN HÀNG'!$E$6:$E$505,MATCH($B170,'NHẬP ĐƠN HÀNG'!$C$6:$C$505,0))),""))</f>
        <v/>
      </c>
      <c r="E170" s="16" t="str">
        <f aca="false">IF($B170="","",IFERROR(IF(INDEX('NHẬP ĐƠN HÀNG'!$F$6:$F$505,MATCH($B170,'NHẬP ĐƠN HÀNG'!$C$6:$C$505,0))="","",INDEX('NHẬP ĐƠN HÀNG'!$F$6:$F$505,MATCH($B170,'NHẬP ĐƠN HÀNG'!$C$6:$C$505,0))),""))</f>
        <v/>
      </c>
      <c r="F170" s="16" t="str">
        <f aca="false">IF($B170="","",IFERROR(IF(INDEX('NHẬP ĐƠN HÀNG'!$G$6:$G$505,MATCH($B170,'NHẬP ĐƠN HÀNG'!$C$6:$C$505,0))="","",INDEX('NHẬP ĐƠN HÀNG'!$G$6:$G$505,MATCH($B170,'NHẬP ĐƠN HÀNG'!$C$6:$C$505,0))),""))</f>
        <v/>
      </c>
      <c r="G170" s="10" t="str">
        <f aca="false">IF($B170="","",COUNTIFS('NHẬP ĐƠN HÀNG'!$C$6:$C$505,$B170,'NHẬP ĐƠN HÀNG'!$L$6:$L$505,"&gt;0"))</f>
        <v/>
      </c>
      <c r="H170" s="10" t="str">
        <f aca="false">IF($B170="","",SUMIF('NHẬP ĐƠN HÀNG'!$C$6:$C$505,$B170,'NHẬP ĐƠN HÀNG'!$L$6:$L$505))</f>
        <v/>
      </c>
      <c r="I170" s="10" t="str">
        <f aca="false">IF($B170="","",SUMIF('NHẬP ĐƠN HÀNG'!$C$6:$C$505,$B170,'NHẬP ĐƠN HÀNG'!$P$6:$P$505))</f>
        <v/>
      </c>
      <c r="J170" s="10" t="str">
        <f aca="false">IF($B170="","",SUMIF('NHẬP ĐƠN HÀNG'!$C$6:$C$505,$B170,'NHẬP ĐƠN HÀNG'!$Q$6:$Q$505))</f>
        <v/>
      </c>
      <c r="K170" s="10" t="str">
        <f aca="false">IF($B170="","",SUMIF('NHẬP ĐƠN HÀNG'!$C$6:$C$505,$B170,'NHẬP ĐƠN HÀNG'!$R$6:$R$505))</f>
        <v/>
      </c>
      <c r="L170" s="10" t="str">
        <f aca="false">IF($B170="","",SUMIF('NHẬP ĐƠN HÀNG'!$C$6:$C$505,$B170,'NHẬP ĐƠN HÀNG'!$U$6:$U$505))</f>
        <v/>
      </c>
      <c r="M170" s="34" t="str">
        <f aca="false">IF($B170="","",IF(SUMPRODUCT(MAX(('NHẬP ĐƠN HÀNG'!$C$6:$C$505=$B170)*'NHẬP ĐƠN HÀNG'!$B$6:$B$505))=0,"",SUMPRODUCT(MAX(('NHẬP ĐƠN HÀNG'!$C$6:$C$505=$B170)*'NHẬP ĐƠN HÀNG'!$B$6:$B$505))))</f>
        <v/>
      </c>
      <c r="N170" s="16" t="str">
        <f aca="false">IF($B170="","",IF($G170=0,"Chưa có đơn",IF(COUNTIFS('NHẬP ĐƠN HÀNG'!$C$6:$C$505,$B170,'NHẬP ĐƠN HÀNG'!$N$6:$N$505,"&gt;0")&gt;0,"Có lấy VAT","Không lấy VAT")))</f>
        <v/>
      </c>
    </row>
    <row r="171" customFormat="false" ht="15" hidden="false" customHeight="false" outlineLevel="0" collapsed="false">
      <c r="A171" s="16" t="str">
        <f aca="false">IF($B171="","",166)</f>
        <v/>
      </c>
      <c r="B171" s="16" t="str">
        <f aca="false">IFERROR(INDEX('NHẬP ĐƠN HÀNG'!$C$6:$C$505,MATCH(166,'NHẬP ĐƠN HÀNG'!$AB$6:$AB$505,0)),"")</f>
        <v/>
      </c>
      <c r="C171" s="16" t="str">
        <f aca="false">IF($B171="","",IFERROR(IF(INDEX('NHẬP ĐƠN HÀNG'!$D$6:$D$505,MATCH($B171,'NHẬP ĐƠN HÀNG'!$C$6:$C$505,0))="","",INDEX('NHẬP ĐƠN HÀNG'!$D$6:$D$505,MATCH($B171,'NHẬP ĐƠN HÀNG'!$C$6:$C$505,0))),""))</f>
        <v/>
      </c>
      <c r="D171" s="16" t="str">
        <f aca="false">IF($B171="","",IFERROR(IF(INDEX('NHẬP ĐƠN HÀNG'!$E$6:$E$505,MATCH($B171,'NHẬP ĐƠN HÀNG'!$C$6:$C$505,0))="","",INDEX('NHẬP ĐƠN HÀNG'!$E$6:$E$505,MATCH($B171,'NHẬP ĐƠN HÀNG'!$C$6:$C$505,0))),""))</f>
        <v/>
      </c>
      <c r="E171" s="16" t="str">
        <f aca="false">IF($B171="","",IFERROR(IF(INDEX('NHẬP ĐƠN HÀNG'!$F$6:$F$505,MATCH($B171,'NHẬP ĐƠN HÀNG'!$C$6:$C$505,0))="","",INDEX('NHẬP ĐƠN HÀNG'!$F$6:$F$505,MATCH($B171,'NHẬP ĐƠN HÀNG'!$C$6:$C$505,0))),""))</f>
        <v/>
      </c>
      <c r="F171" s="16" t="str">
        <f aca="false">IF($B171="","",IFERROR(IF(INDEX('NHẬP ĐƠN HÀNG'!$G$6:$G$505,MATCH($B171,'NHẬP ĐƠN HÀNG'!$C$6:$C$505,0))="","",INDEX('NHẬP ĐƠN HÀNG'!$G$6:$G$505,MATCH($B171,'NHẬP ĐƠN HÀNG'!$C$6:$C$505,0))),""))</f>
        <v/>
      </c>
      <c r="G171" s="10" t="str">
        <f aca="false">IF($B171="","",COUNTIFS('NHẬP ĐƠN HÀNG'!$C$6:$C$505,$B171,'NHẬP ĐƠN HÀNG'!$L$6:$L$505,"&gt;0"))</f>
        <v/>
      </c>
      <c r="H171" s="10" t="str">
        <f aca="false">IF($B171="","",SUMIF('NHẬP ĐƠN HÀNG'!$C$6:$C$505,$B171,'NHẬP ĐƠN HÀNG'!$L$6:$L$505))</f>
        <v/>
      </c>
      <c r="I171" s="10" t="str">
        <f aca="false">IF($B171="","",SUMIF('NHẬP ĐƠN HÀNG'!$C$6:$C$505,$B171,'NHẬP ĐƠN HÀNG'!$P$6:$P$505))</f>
        <v/>
      </c>
      <c r="J171" s="10" t="str">
        <f aca="false">IF($B171="","",SUMIF('NHẬP ĐƠN HÀNG'!$C$6:$C$505,$B171,'NHẬP ĐƠN HÀNG'!$Q$6:$Q$505))</f>
        <v/>
      </c>
      <c r="K171" s="10" t="str">
        <f aca="false">IF($B171="","",SUMIF('NHẬP ĐƠN HÀNG'!$C$6:$C$505,$B171,'NHẬP ĐƠN HÀNG'!$R$6:$R$505))</f>
        <v/>
      </c>
      <c r="L171" s="10" t="str">
        <f aca="false">IF($B171="","",SUMIF('NHẬP ĐƠN HÀNG'!$C$6:$C$505,$B171,'NHẬP ĐƠN HÀNG'!$U$6:$U$505))</f>
        <v/>
      </c>
      <c r="M171" s="34" t="str">
        <f aca="false">IF($B171="","",IF(SUMPRODUCT(MAX(('NHẬP ĐƠN HÀNG'!$C$6:$C$505=$B171)*'NHẬP ĐƠN HÀNG'!$B$6:$B$505))=0,"",SUMPRODUCT(MAX(('NHẬP ĐƠN HÀNG'!$C$6:$C$505=$B171)*'NHẬP ĐƠN HÀNG'!$B$6:$B$505))))</f>
        <v/>
      </c>
      <c r="N171" s="16" t="str">
        <f aca="false">IF($B171="","",IF($G171=0,"Chưa có đơn",IF(COUNTIFS('NHẬP ĐƠN HÀNG'!$C$6:$C$505,$B171,'NHẬP ĐƠN HÀNG'!$N$6:$N$505,"&gt;0")&gt;0,"Có lấy VAT","Không lấy VAT")))</f>
        <v/>
      </c>
    </row>
    <row r="172" customFormat="false" ht="15" hidden="false" customHeight="false" outlineLevel="0" collapsed="false">
      <c r="A172" s="16" t="str">
        <f aca="false">IF($B172="","",167)</f>
        <v/>
      </c>
      <c r="B172" s="16" t="str">
        <f aca="false">IFERROR(INDEX('NHẬP ĐƠN HÀNG'!$C$6:$C$505,MATCH(167,'NHẬP ĐƠN HÀNG'!$AB$6:$AB$505,0)),"")</f>
        <v/>
      </c>
      <c r="C172" s="16" t="str">
        <f aca="false">IF($B172="","",IFERROR(IF(INDEX('NHẬP ĐƠN HÀNG'!$D$6:$D$505,MATCH($B172,'NHẬP ĐƠN HÀNG'!$C$6:$C$505,0))="","",INDEX('NHẬP ĐƠN HÀNG'!$D$6:$D$505,MATCH($B172,'NHẬP ĐƠN HÀNG'!$C$6:$C$505,0))),""))</f>
        <v/>
      </c>
      <c r="D172" s="16" t="str">
        <f aca="false">IF($B172="","",IFERROR(IF(INDEX('NHẬP ĐƠN HÀNG'!$E$6:$E$505,MATCH($B172,'NHẬP ĐƠN HÀNG'!$C$6:$C$505,0))="","",INDEX('NHẬP ĐƠN HÀNG'!$E$6:$E$505,MATCH($B172,'NHẬP ĐƠN HÀNG'!$C$6:$C$505,0))),""))</f>
        <v/>
      </c>
      <c r="E172" s="16" t="str">
        <f aca="false">IF($B172="","",IFERROR(IF(INDEX('NHẬP ĐƠN HÀNG'!$F$6:$F$505,MATCH($B172,'NHẬP ĐƠN HÀNG'!$C$6:$C$505,0))="","",INDEX('NHẬP ĐƠN HÀNG'!$F$6:$F$505,MATCH($B172,'NHẬP ĐƠN HÀNG'!$C$6:$C$505,0))),""))</f>
        <v/>
      </c>
      <c r="F172" s="16" t="str">
        <f aca="false">IF($B172="","",IFERROR(IF(INDEX('NHẬP ĐƠN HÀNG'!$G$6:$G$505,MATCH($B172,'NHẬP ĐƠN HÀNG'!$C$6:$C$505,0))="","",INDEX('NHẬP ĐƠN HÀNG'!$G$6:$G$505,MATCH($B172,'NHẬP ĐƠN HÀNG'!$C$6:$C$505,0))),""))</f>
        <v/>
      </c>
      <c r="G172" s="10" t="str">
        <f aca="false">IF($B172="","",COUNTIFS('NHẬP ĐƠN HÀNG'!$C$6:$C$505,$B172,'NHẬP ĐƠN HÀNG'!$L$6:$L$505,"&gt;0"))</f>
        <v/>
      </c>
      <c r="H172" s="10" t="str">
        <f aca="false">IF($B172="","",SUMIF('NHẬP ĐƠN HÀNG'!$C$6:$C$505,$B172,'NHẬP ĐƠN HÀNG'!$L$6:$L$505))</f>
        <v/>
      </c>
      <c r="I172" s="10" t="str">
        <f aca="false">IF($B172="","",SUMIF('NHẬP ĐƠN HÀNG'!$C$6:$C$505,$B172,'NHẬP ĐƠN HÀNG'!$P$6:$P$505))</f>
        <v/>
      </c>
      <c r="J172" s="10" t="str">
        <f aca="false">IF($B172="","",SUMIF('NHẬP ĐƠN HÀNG'!$C$6:$C$505,$B172,'NHẬP ĐƠN HÀNG'!$Q$6:$Q$505))</f>
        <v/>
      </c>
      <c r="K172" s="10" t="str">
        <f aca="false">IF($B172="","",SUMIF('NHẬP ĐƠN HÀNG'!$C$6:$C$505,$B172,'NHẬP ĐƠN HÀNG'!$R$6:$R$505))</f>
        <v/>
      </c>
      <c r="L172" s="10" t="str">
        <f aca="false">IF($B172="","",SUMIF('NHẬP ĐƠN HÀNG'!$C$6:$C$505,$B172,'NHẬP ĐƠN HÀNG'!$U$6:$U$505))</f>
        <v/>
      </c>
      <c r="M172" s="34" t="str">
        <f aca="false">IF($B172="","",IF(SUMPRODUCT(MAX(('NHẬP ĐƠN HÀNG'!$C$6:$C$505=$B172)*'NHẬP ĐƠN HÀNG'!$B$6:$B$505))=0,"",SUMPRODUCT(MAX(('NHẬP ĐƠN HÀNG'!$C$6:$C$505=$B172)*'NHẬP ĐƠN HÀNG'!$B$6:$B$505))))</f>
        <v/>
      </c>
      <c r="N172" s="16" t="str">
        <f aca="false">IF($B172="","",IF($G172=0,"Chưa có đơn",IF(COUNTIFS('NHẬP ĐƠN HÀNG'!$C$6:$C$505,$B172,'NHẬP ĐƠN HÀNG'!$N$6:$N$505,"&gt;0")&gt;0,"Có lấy VAT","Không lấy VAT")))</f>
        <v/>
      </c>
    </row>
    <row r="173" customFormat="false" ht="15" hidden="false" customHeight="false" outlineLevel="0" collapsed="false">
      <c r="A173" s="16" t="str">
        <f aca="false">IF($B173="","",168)</f>
        <v/>
      </c>
      <c r="B173" s="16" t="str">
        <f aca="false">IFERROR(INDEX('NHẬP ĐƠN HÀNG'!$C$6:$C$505,MATCH(168,'NHẬP ĐƠN HÀNG'!$AB$6:$AB$505,0)),"")</f>
        <v/>
      </c>
      <c r="C173" s="16" t="str">
        <f aca="false">IF($B173="","",IFERROR(IF(INDEX('NHẬP ĐƠN HÀNG'!$D$6:$D$505,MATCH($B173,'NHẬP ĐƠN HÀNG'!$C$6:$C$505,0))="","",INDEX('NHẬP ĐƠN HÀNG'!$D$6:$D$505,MATCH($B173,'NHẬP ĐƠN HÀNG'!$C$6:$C$505,0))),""))</f>
        <v/>
      </c>
      <c r="D173" s="16" t="str">
        <f aca="false">IF($B173="","",IFERROR(IF(INDEX('NHẬP ĐƠN HÀNG'!$E$6:$E$505,MATCH($B173,'NHẬP ĐƠN HÀNG'!$C$6:$C$505,0))="","",INDEX('NHẬP ĐƠN HÀNG'!$E$6:$E$505,MATCH($B173,'NHẬP ĐƠN HÀNG'!$C$6:$C$505,0))),""))</f>
        <v/>
      </c>
      <c r="E173" s="16" t="str">
        <f aca="false">IF($B173="","",IFERROR(IF(INDEX('NHẬP ĐƠN HÀNG'!$F$6:$F$505,MATCH($B173,'NHẬP ĐƠN HÀNG'!$C$6:$C$505,0))="","",INDEX('NHẬP ĐƠN HÀNG'!$F$6:$F$505,MATCH($B173,'NHẬP ĐƠN HÀNG'!$C$6:$C$505,0))),""))</f>
        <v/>
      </c>
      <c r="F173" s="16" t="str">
        <f aca="false">IF($B173="","",IFERROR(IF(INDEX('NHẬP ĐƠN HÀNG'!$G$6:$G$505,MATCH($B173,'NHẬP ĐƠN HÀNG'!$C$6:$C$505,0))="","",INDEX('NHẬP ĐƠN HÀNG'!$G$6:$G$505,MATCH($B173,'NHẬP ĐƠN HÀNG'!$C$6:$C$505,0))),""))</f>
        <v/>
      </c>
      <c r="G173" s="10" t="str">
        <f aca="false">IF($B173="","",COUNTIFS('NHẬP ĐƠN HÀNG'!$C$6:$C$505,$B173,'NHẬP ĐƠN HÀNG'!$L$6:$L$505,"&gt;0"))</f>
        <v/>
      </c>
      <c r="H173" s="10" t="str">
        <f aca="false">IF($B173="","",SUMIF('NHẬP ĐƠN HÀNG'!$C$6:$C$505,$B173,'NHẬP ĐƠN HÀNG'!$L$6:$L$505))</f>
        <v/>
      </c>
      <c r="I173" s="10" t="str">
        <f aca="false">IF($B173="","",SUMIF('NHẬP ĐƠN HÀNG'!$C$6:$C$505,$B173,'NHẬP ĐƠN HÀNG'!$P$6:$P$505))</f>
        <v/>
      </c>
      <c r="J173" s="10" t="str">
        <f aca="false">IF($B173="","",SUMIF('NHẬP ĐƠN HÀNG'!$C$6:$C$505,$B173,'NHẬP ĐƠN HÀNG'!$Q$6:$Q$505))</f>
        <v/>
      </c>
      <c r="K173" s="10" t="str">
        <f aca="false">IF($B173="","",SUMIF('NHẬP ĐƠN HÀNG'!$C$6:$C$505,$B173,'NHẬP ĐƠN HÀNG'!$R$6:$R$505))</f>
        <v/>
      </c>
      <c r="L173" s="10" t="str">
        <f aca="false">IF($B173="","",SUMIF('NHẬP ĐƠN HÀNG'!$C$6:$C$505,$B173,'NHẬP ĐƠN HÀNG'!$U$6:$U$505))</f>
        <v/>
      </c>
      <c r="M173" s="34" t="str">
        <f aca="false">IF($B173="","",IF(SUMPRODUCT(MAX(('NHẬP ĐƠN HÀNG'!$C$6:$C$505=$B173)*'NHẬP ĐƠN HÀNG'!$B$6:$B$505))=0,"",SUMPRODUCT(MAX(('NHẬP ĐƠN HÀNG'!$C$6:$C$505=$B173)*'NHẬP ĐƠN HÀNG'!$B$6:$B$505))))</f>
        <v/>
      </c>
      <c r="N173" s="16" t="str">
        <f aca="false">IF($B173="","",IF($G173=0,"Chưa có đơn",IF(COUNTIFS('NHẬP ĐƠN HÀNG'!$C$6:$C$505,$B173,'NHẬP ĐƠN HÀNG'!$N$6:$N$505,"&gt;0")&gt;0,"Có lấy VAT","Không lấy VAT")))</f>
        <v/>
      </c>
    </row>
    <row r="174" customFormat="false" ht="15" hidden="false" customHeight="false" outlineLevel="0" collapsed="false">
      <c r="A174" s="16" t="str">
        <f aca="false">IF($B174="","",169)</f>
        <v/>
      </c>
      <c r="B174" s="16" t="str">
        <f aca="false">IFERROR(INDEX('NHẬP ĐƠN HÀNG'!$C$6:$C$505,MATCH(169,'NHẬP ĐƠN HÀNG'!$AB$6:$AB$505,0)),"")</f>
        <v/>
      </c>
      <c r="C174" s="16" t="str">
        <f aca="false">IF($B174="","",IFERROR(IF(INDEX('NHẬP ĐƠN HÀNG'!$D$6:$D$505,MATCH($B174,'NHẬP ĐƠN HÀNG'!$C$6:$C$505,0))="","",INDEX('NHẬP ĐƠN HÀNG'!$D$6:$D$505,MATCH($B174,'NHẬP ĐƠN HÀNG'!$C$6:$C$505,0))),""))</f>
        <v/>
      </c>
      <c r="D174" s="16" t="str">
        <f aca="false">IF($B174="","",IFERROR(IF(INDEX('NHẬP ĐƠN HÀNG'!$E$6:$E$505,MATCH($B174,'NHẬP ĐƠN HÀNG'!$C$6:$C$505,0))="","",INDEX('NHẬP ĐƠN HÀNG'!$E$6:$E$505,MATCH($B174,'NHẬP ĐƠN HÀNG'!$C$6:$C$505,0))),""))</f>
        <v/>
      </c>
      <c r="E174" s="16" t="str">
        <f aca="false">IF($B174="","",IFERROR(IF(INDEX('NHẬP ĐƠN HÀNG'!$F$6:$F$505,MATCH($B174,'NHẬP ĐƠN HÀNG'!$C$6:$C$505,0))="","",INDEX('NHẬP ĐƠN HÀNG'!$F$6:$F$505,MATCH($B174,'NHẬP ĐƠN HÀNG'!$C$6:$C$505,0))),""))</f>
        <v/>
      </c>
      <c r="F174" s="16" t="str">
        <f aca="false">IF($B174="","",IFERROR(IF(INDEX('NHẬP ĐƠN HÀNG'!$G$6:$G$505,MATCH($B174,'NHẬP ĐƠN HÀNG'!$C$6:$C$505,0))="","",INDEX('NHẬP ĐƠN HÀNG'!$G$6:$G$505,MATCH($B174,'NHẬP ĐƠN HÀNG'!$C$6:$C$505,0))),""))</f>
        <v/>
      </c>
      <c r="G174" s="10" t="str">
        <f aca="false">IF($B174="","",COUNTIFS('NHẬP ĐƠN HÀNG'!$C$6:$C$505,$B174,'NHẬP ĐƠN HÀNG'!$L$6:$L$505,"&gt;0"))</f>
        <v/>
      </c>
      <c r="H174" s="10" t="str">
        <f aca="false">IF($B174="","",SUMIF('NHẬP ĐƠN HÀNG'!$C$6:$C$505,$B174,'NHẬP ĐƠN HÀNG'!$L$6:$L$505))</f>
        <v/>
      </c>
      <c r="I174" s="10" t="str">
        <f aca="false">IF($B174="","",SUMIF('NHẬP ĐƠN HÀNG'!$C$6:$C$505,$B174,'NHẬP ĐƠN HÀNG'!$P$6:$P$505))</f>
        <v/>
      </c>
      <c r="J174" s="10" t="str">
        <f aca="false">IF($B174="","",SUMIF('NHẬP ĐƠN HÀNG'!$C$6:$C$505,$B174,'NHẬP ĐƠN HÀNG'!$Q$6:$Q$505))</f>
        <v/>
      </c>
      <c r="K174" s="10" t="str">
        <f aca="false">IF($B174="","",SUMIF('NHẬP ĐƠN HÀNG'!$C$6:$C$505,$B174,'NHẬP ĐƠN HÀNG'!$R$6:$R$505))</f>
        <v/>
      </c>
      <c r="L174" s="10" t="str">
        <f aca="false">IF($B174="","",SUMIF('NHẬP ĐƠN HÀNG'!$C$6:$C$505,$B174,'NHẬP ĐƠN HÀNG'!$U$6:$U$505))</f>
        <v/>
      </c>
      <c r="M174" s="34" t="str">
        <f aca="false">IF($B174="","",IF(SUMPRODUCT(MAX(('NHẬP ĐƠN HÀNG'!$C$6:$C$505=$B174)*'NHẬP ĐƠN HÀNG'!$B$6:$B$505))=0,"",SUMPRODUCT(MAX(('NHẬP ĐƠN HÀNG'!$C$6:$C$505=$B174)*'NHẬP ĐƠN HÀNG'!$B$6:$B$505))))</f>
        <v/>
      </c>
      <c r="N174" s="16" t="str">
        <f aca="false">IF($B174="","",IF($G174=0,"Chưa có đơn",IF(COUNTIFS('NHẬP ĐƠN HÀNG'!$C$6:$C$505,$B174,'NHẬP ĐƠN HÀNG'!$N$6:$N$505,"&gt;0")&gt;0,"Có lấy VAT","Không lấy VAT")))</f>
        <v/>
      </c>
    </row>
    <row r="175" customFormat="false" ht="15" hidden="false" customHeight="false" outlineLevel="0" collapsed="false">
      <c r="A175" s="16" t="str">
        <f aca="false">IF($B175="","",170)</f>
        <v/>
      </c>
      <c r="B175" s="16" t="str">
        <f aca="false">IFERROR(INDEX('NHẬP ĐƠN HÀNG'!$C$6:$C$505,MATCH(170,'NHẬP ĐƠN HÀNG'!$AB$6:$AB$505,0)),"")</f>
        <v/>
      </c>
      <c r="C175" s="16" t="str">
        <f aca="false">IF($B175="","",IFERROR(IF(INDEX('NHẬP ĐƠN HÀNG'!$D$6:$D$505,MATCH($B175,'NHẬP ĐƠN HÀNG'!$C$6:$C$505,0))="","",INDEX('NHẬP ĐƠN HÀNG'!$D$6:$D$505,MATCH($B175,'NHẬP ĐƠN HÀNG'!$C$6:$C$505,0))),""))</f>
        <v/>
      </c>
      <c r="D175" s="16" t="str">
        <f aca="false">IF($B175="","",IFERROR(IF(INDEX('NHẬP ĐƠN HÀNG'!$E$6:$E$505,MATCH($B175,'NHẬP ĐƠN HÀNG'!$C$6:$C$505,0))="","",INDEX('NHẬP ĐƠN HÀNG'!$E$6:$E$505,MATCH($B175,'NHẬP ĐƠN HÀNG'!$C$6:$C$505,0))),""))</f>
        <v/>
      </c>
      <c r="E175" s="16" t="str">
        <f aca="false">IF($B175="","",IFERROR(IF(INDEX('NHẬP ĐƠN HÀNG'!$F$6:$F$505,MATCH($B175,'NHẬP ĐƠN HÀNG'!$C$6:$C$505,0))="","",INDEX('NHẬP ĐƠN HÀNG'!$F$6:$F$505,MATCH($B175,'NHẬP ĐƠN HÀNG'!$C$6:$C$505,0))),""))</f>
        <v/>
      </c>
      <c r="F175" s="16" t="str">
        <f aca="false">IF($B175="","",IFERROR(IF(INDEX('NHẬP ĐƠN HÀNG'!$G$6:$G$505,MATCH($B175,'NHẬP ĐƠN HÀNG'!$C$6:$C$505,0))="","",INDEX('NHẬP ĐƠN HÀNG'!$G$6:$G$505,MATCH($B175,'NHẬP ĐƠN HÀNG'!$C$6:$C$505,0))),""))</f>
        <v/>
      </c>
      <c r="G175" s="10" t="str">
        <f aca="false">IF($B175="","",COUNTIFS('NHẬP ĐƠN HÀNG'!$C$6:$C$505,$B175,'NHẬP ĐƠN HÀNG'!$L$6:$L$505,"&gt;0"))</f>
        <v/>
      </c>
      <c r="H175" s="10" t="str">
        <f aca="false">IF($B175="","",SUMIF('NHẬP ĐƠN HÀNG'!$C$6:$C$505,$B175,'NHẬP ĐƠN HÀNG'!$L$6:$L$505))</f>
        <v/>
      </c>
      <c r="I175" s="10" t="str">
        <f aca="false">IF($B175="","",SUMIF('NHẬP ĐƠN HÀNG'!$C$6:$C$505,$B175,'NHẬP ĐƠN HÀNG'!$P$6:$P$505))</f>
        <v/>
      </c>
      <c r="J175" s="10" t="str">
        <f aca="false">IF($B175="","",SUMIF('NHẬP ĐƠN HÀNG'!$C$6:$C$505,$B175,'NHẬP ĐƠN HÀNG'!$Q$6:$Q$505))</f>
        <v/>
      </c>
      <c r="K175" s="10" t="str">
        <f aca="false">IF($B175="","",SUMIF('NHẬP ĐƠN HÀNG'!$C$6:$C$505,$B175,'NHẬP ĐƠN HÀNG'!$R$6:$R$505))</f>
        <v/>
      </c>
      <c r="L175" s="10" t="str">
        <f aca="false">IF($B175="","",SUMIF('NHẬP ĐƠN HÀNG'!$C$6:$C$505,$B175,'NHẬP ĐƠN HÀNG'!$U$6:$U$505))</f>
        <v/>
      </c>
      <c r="M175" s="34" t="str">
        <f aca="false">IF($B175="","",IF(SUMPRODUCT(MAX(('NHẬP ĐƠN HÀNG'!$C$6:$C$505=$B175)*'NHẬP ĐƠN HÀNG'!$B$6:$B$505))=0,"",SUMPRODUCT(MAX(('NHẬP ĐƠN HÀNG'!$C$6:$C$505=$B175)*'NHẬP ĐƠN HÀNG'!$B$6:$B$505))))</f>
        <v/>
      </c>
      <c r="N175" s="16" t="str">
        <f aca="false">IF($B175="","",IF($G175=0,"Chưa có đơn",IF(COUNTIFS('NHẬP ĐƠN HÀNG'!$C$6:$C$505,$B175,'NHẬP ĐƠN HÀNG'!$N$6:$N$505,"&gt;0")&gt;0,"Có lấy VAT","Không lấy VAT")))</f>
        <v/>
      </c>
    </row>
    <row r="176" customFormat="false" ht="15" hidden="false" customHeight="false" outlineLevel="0" collapsed="false">
      <c r="A176" s="16" t="str">
        <f aca="false">IF($B176="","",171)</f>
        <v/>
      </c>
      <c r="B176" s="16" t="str">
        <f aca="false">IFERROR(INDEX('NHẬP ĐƠN HÀNG'!$C$6:$C$505,MATCH(171,'NHẬP ĐƠN HÀNG'!$AB$6:$AB$505,0)),"")</f>
        <v/>
      </c>
      <c r="C176" s="16" t="str">
        <f aca="false">IF($B176="","",IFERROR(IF(INDEX('NHẬP ĐƠN HÀNG'!$D$6:$D$505,MATCH($B176,'NHẬP ĐƠN HÀNG'!$C$6:$C$505,0))="","",INDEX('NHẬP ĐƠN HÀNG'!$D$6:$D$505,MATCH($B176,'NHẬP ĐƠN HÀNG'!$C$6:$C$505,0))),""))</f>
        <v/>
      </c>
      <c r="D176" s="16" t="str">
        <f aca="false">IF($B176="","",IFERROR(IF(INDEX('NHẬP ĐƠN HÀNG'!$E$6:$E$505,MATCH($B176,'NHẬP ĐƠN HÀNG'!$C$6:$C$505,0))="","",INDEX('NHẬP ĐƠN HÀNG'!$E$6:$E$505,MATCH($B176,'NHẬP ĐƠN HÀNG'!$C$6:$C$505,0))),""))</f>
        <v/>
      </c>
      <c r="E176" s="16" t="str">
        <f aca="false">IF($B176="","",IFERROR(IF(INDEX('NHẬP ĐƠN HÀNG'!$F$6:$F$505,MATCH($B176,'NHẬP ĐƠN HÀNG'!$C$6:$C$505,0))="","",INDEX('NHẬP ĐƠN HÀNG'!$F$6:$F$505,MATCH($B176,'NHẬP ĐƠN HÀNG'!$C$6:$C$505,0))),""))</f>
        <v/>
      </c>
      <c r="F176" s="16" t="str">
        <f aca="false">IF($B176="","",IFERROR(IF(INDEX('NHẬP ĐƠN HÀNG'!$G$6:$G$505,MATCH($B176,'NHẬP ĐƠN HÀNG'!$C$6:$C$505,0))="","",INDEX('NHẬP ĐƠN HÀNG'!$G$6:$G$505,MATCH($B176,'NHẬP ĐƠN HÀNG'!$C$6:$C$505,0))),""))</f>
        <v/>
      </c>
      <c r="G176" s="10" t="str">
        <f aca="false">IF($B176="","",COUNTIFS('NHẬP ĐƠN HÀNG'!$C$6:$C$505,$B176,'NHẬP ĐƠN HÀNG'!$L$6:$L$505,"&gt;0"))</f>
        <v/>
      </c>
      <c r="H176" s="10" t="str">
        <f aca="false">IF($B176="","",SUMIF('NHẬP ĐƠN HÀNG'!$C$6:$C$505,$B176,'NHẬP ĐƠN HÀNG'!$L$6:$L$505))</f>
        <v/>
      </c>
      <c r="I176" s="10" t="str">
        <f aca="false">IF($B176="","",SUMIF('NHẬP ĐƠN HÀNG'!$C$6:$C$505,$B176,'NHẬP ĐƠN HÀNG'!$P$6:$P$505))</f>
        <v/>
      </c>
      <c r="J176" s="10" t="str">
        <f aca="false">IF($B176="","",SUMIF('NHẬP ĐƠN HÀNG'!$C$6:$C$505,$B176,'NHẬP ĐƠN HÀNG'!$Q$6:$Q$505))</f>
        <v/>
      </c>
      <c r="K176" s="10" t="str">
        <f aca="false">IF($B176="","",SUMIF('NHẬP ĐƠN HÀNG'!$C$6:$C$505,$B176,'NHẬP ĐƠN HÀNG'!$R$6:$R$505))</f>
        <v/>
      </c>
      <c r="L176" s="10" t="str">
        <f aca="false">IF($B176="","",SUMIF('NHẬP ĐƠN HÀNG'!$C$6:$C$505,$B176,'NHẬP ĐƠN HÀNG'!$U$6:$U$505))</f>
        <v/>
      </c>
      <c r="M176" s="34" t="str">
        <f aca="false">IF($B176="","",IF(SUMPRODUCT(MAX(('NHẬP ĐƠN HÀNG'!$C$6:$C$505=$B176)*'NHẬP ĐƠN HÀNG'!$B$6:$B$505))=0,"",SUMPRODUCT(MAX(('NHẬP ĐƠN HÀNG'!$C$6:$C$505=$B176)*'NHẬP ĐƠN HÀNG'!$B$6:$B$505))))</f>
        <v/>
      </c>
      <c r="N176" s="16" t="str">
        <f aca="false">IF($B176="","",IF($G176=0,"Chưa có đơn",IF(COUNTIFS('NHẬP ĐƠN HÀNG'!$C$6:$C$505,$B176,'NHẬP ĐƠN HÀNG'!$N$6:$N$505,"&gt;0")&gt;0,"Có lấy VAT","Không lấy VAT")))</f>
        <v/>
      </c>
    </row>
    <row r="177" customFormat="false" ht="15" hidden="false" customHeight="false" outlineLevel="0" collapsed="false">
      <c r="A177" s="16" t="str">
        <f aca="false">IF($B177="","",172)</f>
        <v/>
      </c>
      <c r="B177" s="16" t="str">
        <f aca="false">IFERROR(INDEX('NHẬP ĐƠN HÀNG'!$C$6:$C$505,MATCH(172,'NHẬP ĐƠN HÀNG'!$AB$6:$AB$505,0)),"")</f>
        <v/>
      </c>
      <c r="C177" s="16" t="str">
        <f aca="false">IF($B177="","",IFERROR(IF(INDEX('NHẬP ĐƠN HÀNG'!$D$6:$D$505,MATCH($B177,'NHẬP ĐƠN HÀNG'!$C$6:$C$505,0))="","",INDEX('NHẬP ĐƠN HÀNG'!$D$6:$D$505,MATCH($B177,'NHẬP ĐƠN HÀNG'!$C$6:$C$505,0))),""))</f>
        <v/>
      </c>
      <c r="D177" s="16" t="str">
        <f aca="false">IF($B177="","",IFERROR(IF(INDEX('NHẬP ĐƠN HÀNG'!$E$6:$E$505,MATCH($B177,'NHẬP ĐƠN HÀNG'!$C$6:$C$505,0))="","",INDEX('NHẬP ĐƠN HÀNG'!$E$6:$E$505,MATCH($B177,'NHẬP ĐƠN HÀNG'!$C$6:$C$505,0))),""))</f>
        <v/>
      </c>
      <c r="E177" s="16" t="str">
        <f aca="false">IF($B177="","",IFERROR(IF(INDEX('NHẬP ĐƠN HÀNG'!$F$6:$F$505,MATCH($B177,'NHẬP ĐƠN HÀNG'!$C$6:$C$505,0))="","",INDEX('NHẬP ĐƠN HÀNG'!$F$6:$F$505,MATCH($B177,'NHẬP ĐƠN HÀNG'!$C$6:$C$505,0))),""))</f>
        <v/>
      </c>
      <c r="F177" s="16" t="str">
        <f aca="false">IF($B177="","",IFERROR(IF(INDEX('NHẬP ĐƠN HÀNG'!$G$6:$G$505,MATCH($B177,'NHẬP ĐƠN HÀNG'!$C$6:$C$505,0))="","",INDEX('NHẬP ĐƠN HÀNG'!$G$6:$G$505,MATCH($B177,'NHẬP ĐƠN HÀNG'!$C$6:$C$505,0))),""))</f>
        <v/>
      </c>
      <c r="G177" s="10" t="str">
        <f aca="false">IF($B177="","",COUNTIFS('NHẬP ĐƠN HÀNG'!$C$6:$C$505,$B177,'NHẬP ĐƠN HÀNG'!$L$6:$L$505,"&gt;0"))</f>
        <v/>
      </c>
      <c r="H177" s="10" t="str">
        <f aca="false">IF($B177="","",SUMIF('NHẬP ĐƠN HÀNG'!$C$6:$C$505,$B177,'NHẬP ĐƠN HÀNG'!$L$6:$L$505))</f>
        <v/>
      </c>
      <c r="I177" s="10" t="str">
        <f aca="false">IF($B177="","",SUMIF('NHẬP ĐƠN HÀNG'!$C$6:$C$505,$B177,'NHẬP ĐƠN HÀNG'!$P$6:$P$505))</f>
        <v/>
      </c>
      <c r="J177" s="10" t="str">
        <f aca="false">IF($B177="","",SUMIF('NHẬP ĐƠN HÀNG'!$C$6:$C$505,$B177,'NHẬP ĐƠN HÀNG'!$Q$6:$Q$505))</f>
        <v/>
      </c>
      <c r="K177" s="10" t="str">
        <f aca="false">IF($B177="","",SUMIF('NHẬP ĐƠN HÀNG'!$C$6:$C$505,$B177,'NHẬP ĐƠN HÀNG'!$R$6:$R$505))</f>
        <v/>
      </c>
      <c r="L177" s="10" t="str">
        <f aca="false">IF($B177="","",SUMIF('NHẬP ĐƠN HÀNG'!$C$6:$C$505,$B177,'NHẬP ĐƠN HÀNG'!$U$6:$U$505))</f>
        <v/>
      </c>
      <c r="M177" s="34" t="str">
        <f aca="false">IF($B177="","",IF(SUMPRODUCT(MAX(('NHẬP ĐƠN HÀNG'!$C$6:$C$505=$B177)*'NHẬP ĐƠN HÀNG'!$B$6:$B$505))=0,"",SUMPRODUCT(MAX(('NHẬP ĐƠN HÀNG'!$C$6:$C$505=$B177)*'NHẬP ĐƠN HÀNG'!$B$6:$B$505))))</f>
        <v/>
      </c>
      <c r="N177" s="16" t="str">
        <f aca="false">IF($B177="","",IF($G177=0,"Chưa có đơn",IF(COUNTIFS('NHẬP ĐƠN HÀNG'!$C$6:$C$505,$B177,'NHẬP ĐƠN HÀNG'!$N$6:$N$505,"&gt;0")&gt;0,"Có lấy VAT","Không lấy VAT")))</f>
        <v/>
      </c>
    </row>
    <row r="178" customFormat="false" ht="15" hidden="false" customHeight="false" outlineLevel="0" collapsed="false">
      <c r="A178" s="16" t="str">
        <f aca="false">IF($B178="","",173)</f>
        <v/>
      </c>
      <c r="B178" s="16" t="str">
        <f aca="false">IFERROR(INDEX('NHẬP ĐƠN HÀNG'!$C$6:$C$505,MATCH(173,'NHẬP ĐƠN HÀNG'!$AB$6:$AB$505,0)),"")</f>
        <v/>
      </c>
      <c r="C178" s="16" t="str">
        <f aca="false">IF($B178="","",IFERROR(IF(INDEX('NHẬP ĐƠN HÀNG'!$D$6:$D$505,MATCH($B178,'NHẬP ĐƠN HÀNG'!$C$6:$C$505,0))="","",INDEX('NHẬP ĐƠN HÀNG'!$D$6:$D$505,MATCH($B178,'NHẬP ĐƠN HÀNG'!$C$6:$C$505,0))),""))</f>
        <v/>
      </c>
      <c r="D178" s="16" t="str">
        <f aca="false">IF($B178="","",IFERROR(IF(INDEX('NHẬP ĐƠN HÀNG'!$E$6:$E$505,MATCH($B178,'NHẬP ĐƠN HÀNG'!$C$6:$C$505,0))="","",INDEX('NHẬP ĐƠN HÀNG'!$E$6:$E$505,MATCH($B178,'NHẬP ĐƠN HÀNG'!$C$6:$C$505,0))),""))</f>
        <v/>
      </c>
      <c r="E178" s="16" t="str">
        <f aca="false">IF($B178="","",IFERROR(IF(INDEX('NHẬP ĐƠN HÀNG'!$F$6:$F$505,MATCH($B178,'NHẬP ĐƠN HÀNG'!$C$6:$C$505,0))="","",INDEX('NHẬP ĐƠN HÀNG'!$F$6:$F$505,MATCH($B178,'NHẬP ĐƠN HÀNG'!$C$6:$C$505,0))),""))</f>
        <v/>
      </c>
      <c r="F178" s="16" t="str">
        <f aca="false">IF($B178="","",IFERROR(IF(INDEX('NHẬP ĐƠN HÀNG'!$G$6:$G$505,MATCH($B178,'NHẬP ĐƠN HÀNG'!$C$6:$C$505,0))="","",INDEX('NHẬP ĐƠN HÀNG'!$G$6:$G$505,MATCH($B178,'NHẬP ĐƠN HÀNG'!$C$6:$C$505,0))),""))</f>
        <v/>
      </c>
      <c r="G178" s="10" t="str">
        <f aca="false">IF($B178="","",COUNTIFS('NHẬP ĐƠN HÀNG'!$C$6:$C$505,$B178,'NHẬP ĐƠN HÀNG'!$L$6:$L$505,"&gt;0"))</f>
        <v/>
      </c>
      <c r="H178" s="10" t="str">
        <f aca="false">IF($B178="","",SUMIF('NHẬP ĐƠN HÀNG'!$C$6:$C$505,$B178,'NHẬP ĐƠN HÀNG'!$L$6:$L$505))</f>
        <v/>
      </c>
      <c r="I178" s="10" t="str">
        <f aca="false">IF($B178="","",SUMIF('NHẬP ĐƠN HÀNG'!$C$6:$C$505,$B178,'NHẬP ĐƠN HÀNG'!$P$6:$P$505))</f>
        <v/>
      </c>
      <c r="J178" s="10" t="str">
        <f aca="false">IF($B178="","",SUMIF('NHẬP ĐƠN HÀNG'!$C$6:$C$505,$B178,'NHẬP ĐƠN HÀNG'!$Q$6:$Q$505))</f>
        <v/>
      </c>
      <c r="K178" s="10" t="str">
        <f aca="false">IF($B178="","",SUMIF('NHẬP ĐƠN HÀNG'!$C$6:$C$505,$B178,'NHẬP ĐƠN HÀNG'!$R$6:$R$505))</f>
        <v/>
      </c>
      <c r="L178" s="10" t="str">
        <f aca="false">IF($B178="","",SUMIF('NHẬP ĐƠN HÀNG'!$C$6:$C$505,$B178,'NHẬP ĐƠN HÀNG'!$U$6:$U$505))</f>
        <v/>
      </c>
      <c r="M178" s="34" t="str">
        <f aca="false">IF($B178="","",IF(SUMPRODUCT(MAX(('NHẬP ĐƠN HÀNG'!$C$6:$C$505=$B178)*'NHẬP ĐƠN HÀNG'!$B$6:$B$505))=0,"",SUMPRODUCT(MAX(('NHẬP ĐƠN HÀNG'!$C$6:$C$505=$B178)*'NHẬP ĐƠN HÀNG'!$B$6:$B$505))))</f>
        <v/>
      </c>
      <c r="N178" s="16" t="str">
        <f aca="false">IF($B178="","",IF($G178=0,"Chưa có đơn",IF(COUNTIFS('NHẬP ĐƠN HÀNG'!$C$6:$C$505,$B178,'NHẬP ĐƠN HÀNG'!$N$6:$N$505,"&gt;0")&gt;0,"Có lấy VAT","Không lấy VAT")))</f>
        <v/>
      </c>
    </row>
    <row r="179" customFormat="false" ht="15" hidden="false" customHeight="false" outlineLevel="0" collapsed="false">
      <c r="A179" s="16" t="str">
        <f aca="false">IF($B179="","",174)</f>
        <v/>
      </c>
      <c r="B179" s="16" t="str">
        <f aca="false">IFERROR(INDEX('NHẬP ĐƠN HÀNG'!$C$6:$C$505,MATCH(174,'NHẬP ĐƠN HÀNG'!$AB$6:$AB$505,0)),"")</f>
        <v/>
      </c>
      <c r="C179" s="16" t="str">
        <f aca="false">IF($B179="","",IFERROR(IF(INDEX('NHẬP ĐƠN HÀNG'!$D$6:$D$505,MATCH($B179,'NHẬP ĐƠN HÀNG'!$C$6:$C$505,0))="","",INDEX('NHẬP ĐƠN HÀNG'!$D$6:$D$505,MATCH($B179,'NHẬP ĐƠN HÀNG'!$C$6:$C$505,0))),""))</f>
        <v/>
      </c>
      <c r="D179" s="16" t="str">
        <f aca="false">IF($B179="","",IFERROR(IF(INDEX('NHẬP ĐƠN HÀNG'!$E$6:$E$505,MATCH($B179,'NHẬP ĐƠN HÀNG'!$C$6:$C$505,0))="","",INDEX('NHẬP ĐƠN HÀNG'!$E$6:$E$505,MATCH($B179,'NHẬP ĐƠN HÀNG'!$C$6:$C$505,0))),""))</f>
        <v/>
      </c>
      <c r="E179" s="16" t="str">
        <f aca="false">IF($B179="","",IFERROR(IF(INDEX('NHẬP ĐƠN HÀNG'!$F$6:$F$505,MATCH($B179,'NHẬP ĐƠN HÀNG'!$C$6:$C$505,0))="","",INDEX('NHẬP ĐƠN HÀNG'!$F$6:$F$505,MATCH($B179,'NHẬP ĐƠN HÀNG'!$C$6:$C$505,0))),""))</f>
        <v/>
      </c>
      <c r="F179" s="16" t="str">
        <f aca="false">IF($B179="","",IFERROR(IF(INDEX('NHẬP ĐƠN HÀNG'!$G$6:$G$505,MATCH($B179,'NHẬP ĐƠN HÀNG'!$C$6:$C$505,0))="","",INDEX('NHẬP ĐƠN HÀNG'!$G$6:$G$505,MATCH($B179,'NHẬP ĐƠN HÀNG'!$C$6:$C$505,0))),""))</f>
        <v/>
      </c>
      <c r="G179" s="10" t="str">
        <f aca="false">IF($B179="","",COUNTIFS('NHẬP ĐƠN HÀNG'!$C$6:$C$505,$B179,'NHẬP ĐƠN HÀNG'!$L$6:$L$505,"&gt;0"))</f>
        <v/>
      </c>
      <c r="H179" s="10" t="str">
        <f aca="false">IF($B179="","",SUMIF('NHẬP ĐƠN HÀNG'!$C$6:$C$505,$B179,'NHẬP ĐƠN HÀNG'!$L$6:$L$505))</f>
        <v/>
      </c>
      <c r="I179" s="10" t="str">
        <f aca="false">IF($B179="","",SUMIF('NHẬP ĐƠN HÀNG'!$C$6:$C$505,$B179,'NHẬP ĐƠN HÀNG'!$P$6:$P$505))</f>
        <v/>
      </c>
      <c r="J179" s="10" t="str">
        <f aca="false">IF($B179="","",SUMIF('NHẬP ĐƠN HÀNG'!$C$6:$C$505,$B179,'NHẬP ĐƠN HÀNG'!$Q$6:$Q$505))</f>
        <v/>
      </c>
      <c r="K179" s="10" t="str">
        <f aca="false">IF($B179="","",SUMIF('NHẬP ĐƠN HÀNG'!$C$6:$C$505,$B179,'NHẬP ĐƠN HÀNG'!$R$6:$R$505))</f>
        <v/>
      </c>
      <c r="L179" s="10" t="str">
        <f aca="false">IF($B179="","",SUMIF('NHẬP ĐƠN HÀNG'!$C$6:$C$505,$B179,'NHẬP ĐƠN HÀNG'!$U$6:$U$505))</f>
        <v/>
      </c>
      <c r="M179" s="34" t="str">
        <f aca="false">IF($B179="","",IF(SUMPRODUCT(MAX(('NHẬP ĐƠN HÀNG'!$C$6:$C$505=$B179)*'NHẬP ĐƠN HÀNG'!$B$6:$B$505))=0,"",SUMPRODUCT(MAX(('NHẬP ĐƠN HÀNG'!$C$6:$C$505=$B179)*'NHẬP ĐƠN HÀNG'!$B$6:$B$505))))</f>
        <v/>
      </c>
      <c r="N179" s="16" t="str">
        <f aca="false">IF($B179="","",IF($G179=0,"Chưa có đơn",IF(COUNTIFS('NHẬP ĐƠN HÀNG'!$C$6:$C$505,$B179,'NHẬP ĐƠN HÀNG'!$N$6:$N$505,"&gt;0")&gt;0,"Có lấy VAT","Không lấy VAT")))</f>
        <v/>
      </c>
    </row>
    <row r="180" customFormat="false" ht="15" hidden="false" customHeight="false" outlineLevel="0" collapsed="false">
      <c r="A180" s="16" t="str">
        <f aca="false">IF($B180="","",175)</f>
        <v/>
      </c>
      <c r="B180" s="16" t="str">
        <f aca="false">IFERROR(INDEX('NHẬP ĐƠN HÀNG'!$C$6:$C$505,MATCH(175,'NHẬP ĐƠN HÀNG'!$AB$6:$AB$505,0)),"")</f>
        <v/>
      </c>
      <c r="C180" s="16" t="str">
        <f aca="false">IF($B180="","",IFERROR(IF(INDEX('NHẬP ĐƠN HÀNG'!$D$6:$D$505,MATCH($B180,'NHẬP ĐƠN HÀNG'!$C$6:$C$505,0))="","",INDEX('NHẬP ĐƠN HÀNG'!$D$6:$D$505,MATCH($B180,'NHẬP ĐƠN HÀNG'!$C$6:$C$505,0))),""))</f>
        <v/>
      </c>
      <c r="D180" s="16" t="str">
        <f aca="false">IF($B180="","",IFERROR(IF(INDEX('NHẬP ĐƠN HÀNG'!$E$6:$E$505,MATCH($B180,'NHẬP ĐƠN HÀNG'!$C$6:$C$505,0))="","",INDEX('NHẬP ĐƠN HÀNG'!$E$6:$E$505,MATCH($B180,'NHẬP ĐƠN HÀNG'!$C$6:$C$505,0))),""))</f>
        <v/>
      </c>
      <c r="E180" s="16" t="str">
        <f aca="false">IF($B180="","",IFERROR(IF(INDEX('NHẬP ĐƠN HÀNG'!$F$6:$F$505,MATCH($B180,'NHẬP ĐƠN HÀNG'!$C$6:$C$505,0))="","",INDEX('NHẬP ĐƠN HÀNG'!$F$6:$F$505,MATCH($B180,'NHẬP ĐƠN HÀNG'!$C$6:$C$505,0))),""))</f>
        <v/>
      </c>
      <c r="F180" s="16" t="str">
        <f aca="false">IF($B180="","",IFERROR(IF(INDEX('NHẬP ĐƠN HÀNG'!$G$6:$G$505,MATCH($B180,'NHẬP ĐƠN HÀNG'!$C$6:$C$505,0))="","",INDEX('NHẬP ĐƠN HÀNG'!$G$6:$G$505,MATCH($B180,'NHẬP ĐƠN HÀNG'!$C$6:$C$505,0))),""))</f>
        <v/>
      </c>
      <c r="G180" s="10" t="str">
        <f aca="false">IF($B180="","",COUNTIFS('NHẬP ĐƠN HÀNG'!$C$6:$C$505,$B180,'NHẬP ĐƠN HÀNG'!$L$6:$L$505,"&gt;0"))</f>
        <v/>
      </c>
      <c r="H180" s="10" t="str">
        <f aca="false">IF($B180="","",SUMIF('NHẬP ĐƠN HÀNG'!$C$6:$C$505,$B180,'NHẬP ĐƠN HÀNG'!$L$6:$L$505))</f>
        <v/>
      </c>
      <c r="I180" s="10" t="str">
        <f aca="false">IF($B180="","",SUMIF('NHẬP ĐƠN HÀNG'!$C$6:$C$505,$B180,'NHẬP ĐƠN HÀNG'!$P$6:$P$505))</f>
        <v/>
      </c>
      <c r="J180" s="10" t="str">
        <f aca="false">IF($B180="","",SUMIF('NHẬP ĐƠN HÀNG'!$C$6:$C$505,$B180,'NHẬP ĐƠN HÀNG'!$Q$6:$Q$505))</f>
        <v/>
      </c>
      <c r="K180" s="10" t="str">
        <f aca="false">IF($B180="","",SUMIF('NHẬP ĐƠN HÀNG'!$C$6:$C$505,$B180,'NHẬP ĐƠN HÀNG'!$R$6:$R$505))</f>
        <v/>
      </c>
      <c r="L180" s="10" t="str">
        <f aca="false">IF($B180="","",SUMIF('NHẬP ĐƠN HÀNG'!$C$6:$C$505,$B180,'NHẬP ĐƠN HÀNG'!$U$6:$U$505))</f>
        <v/>
      </c>
      <c r="M180" s="34" t="str">
        <f aca="false">IF($B180="","",IF(SUMPRODUCT(MAX(('NHẬP ĐƠN HÀNG'!$C$6:$C$505=$B180)*'NHẬP ĐƠN HÀNG'!$B$6:$B$505))=0,"",SUMPRODUCT(MAX(('NHẬP ĐƠN HÀNG'!$C$6:$C$505=$B180)*'NHẬP ĐƠN HÀNG'!$B$6:$B$505))))</f>
        <v/>
      </c>
      <c r="N180" s="16" t="str">
        <f aca="false">IF($B180="","",IF($G180=0,"Chưa có đơn",IF(COUNTIFS('NHẬP ĐƠN HÀNG'!$C$6:$C$505,$B180,'NHẬP ĐƠN HÀNG'!$N$6:$N$505,"&gt;0")&gt;0,"Có lấy VAT","Không lấy VAT")))</f>
        <v/>
      </c>
    </row>
    <row r="181" customFormat="false" ht="15" hidden="false" customHeight="false" outlineLevel="0" collapsed="false">
      <c r="A181" s="16" t="str">
        <f aca="false">IF($B181="","",176)</f>
        <v/>
      </c>
      <c r="B181" s="16" t="str">
        <f aca="false">IFERROR(INDEX('NHẬP ĐƠN HÀNG'!$C$6:$C$505,MATCH(176,'NHẬP ĐƠN HÀNG'!$AB$6:$AB$505,0)),"")</f>
        <v/>
      </c>
      <c r="C181" s="16" t="str">
        <f aca="false">IF($B181="","",IFERROR(IF(INDEX('NHẬP ĐƠN HÀNG'!$D$6:$D$505,MATCH($B181,'NHẬP ĐƠN HÀNG'!$C$6:$C$505,0))="","",INDEX('NHẬP ĐƠN HÀNG'!$D$6:$D$505,MATCH($B181,'NHẬP ĐƠN HÀNG'!$C$6:$C$505,0))),""))</f>
        <v/>
      </c>
      <c r="D181" s="16" t="str">
        <f aca="false">IF($B181="","",IFERROR(IF(INDEX('NHẬP ĐƠN HÀNG'!$E$6:$E$505,MATCH($B181,'NHẬP ĐƠN HÀNG'!$C$6:$C$505,0))="","",INDEX('NHẬP ĐƠN HÀNG'!$E$6:$E$505,MATCH($B181,'NHẬP ĐƠN HÀNG'!$C$6:$C$505,0))),""))</f>
        <v/>
      </c>
      <c r="E181" s="16" t="str">
        <f aca="false">IF($B181="","",IFERROR(IF(INDEX('NHẬP ĐƠN HÀNG'!$F$6:$F$505,MATCH($B181,'NHẬP ĐƠN HÀNG'!$C$6:$C$505,0))="","",INDEX('NHẬP ĐƠN HÀNG'!$F$6:$F$505,MATCH($B181,'NHẬP ĐƠN HÀNG'!$C$6:$C$505,0))),""))</f>
        <v/>
      </c>
      <c r="F181" s="16" t="str">
        <f aca="false">IF($B181="","",IFERROR(IF(INDEX('NHẬP ĐƠN HÀNG'!$G$6:$G$505,MATCH($B181,'NHẬP ĐƠN HÀNG'!$C$6:$C$505,0))="","",INDEX('NHẬP ĐƠN HÀNG'!$G$6:$G$505,MATCH($B181,'NHẬP ĐƠN HÀNG'!$C$6:$C$505,0))),""))</f>
        <v/>
      </c>
      <c r="G181" s="10" t="str">
        <f aca="false">IF($B181="","",COUNTIFS('NHẬP ĐƠN HÀNG'!$C$6:$C$505,$B181,'NHẬP ĐƠN HÀNG'!$L$6:$L$505,"&gt;0"))</f>
        <v/>
      </c>
      <c r="H181" s="10" t="str">
        <f aca="false">IF($B181="","",SUMIF('NHẬP ĐƠN HÀNG'!$C$6:$C$505,$B181,'NHẬP ĐƠN HÀNG'!$L$6:$L$505))</f>
        <v/>
      </c>
      <c r="I181" s="10" t="str">
        <f aca="false">IF($B181="","",SUMIF('NHẬP ĐƠN HÀNG'!$C$6:$C$505,$B181,'NHẬP ĐƠN HÀNG'!$P$6:$P$505))</f>
        <v/>
      </c>
      <c r="J181" s="10" t="str">
        <f aca="false">IF($B181="","",SUMIF('NHẬP ĐƠN HÀNG'!$C$6:$C$505,$B181,'NHẬP ĐƠN HÀNG'!$Q$6:$Q$505))</f>
        <v/>
      </c>
      <c r="K181" s="10" t="str">
        <f aca="false">IF($B181="","",SUMIF('NHẬP ĐƠN HÀNG'!$C$6:$C$505,$B181,'NHẬP ĐƠN HÀNG'!$R$6:$R$505))</f>
        <v/>
      </c>
      <c r="L181" s="10" t="str">
        <f aca="false">IF($B181="","",SUMIF('NHẬP ĐƠN HÀNG'!$C$6:$C$505,$B181,'NHẬP ĐƠN HÀNG'!$U$6:$U$505))</f>
        <v/>
      </c>
      <c r="M181" s="34" t="str">
        <f aca="false">IF($B181="","",IF(SUMPRODUCT(MAX(('NHẬP ĐƠN HÀNG'!$C$6:$C$505=$B181)*'NHẬP ĐƠN HÀNG'!$B$6:$B$505))=0,"",SUMPRODUCT(MAX(('NHẬP ĐƠN HÀNG'!$C$6:$C$505=$B181)*'NHẬP ĐƠN HÀNG'!$B$6:$B$505))))</f>
        <v/>
      </c>
      <c r="N181" s="16" t="str">
        <f aca="false">IF($B181="","",IF($G181=0,"Chưa có đơn",IF(COUNTIFS('NHẬP ĐƠN HÀNG'!$C$6:$C$505,$B181,'NHẬP ĐƠN HÀNG'!$N$6:$N$505,"&gt;0")&gt;0,"Có lấy VAT","Không lấy VAT")))</f>
        <v/>
      </c>
    </row>
    <row r="182" customFormat="false" ht="15" hidden="false" customHeight="false" outlineLevel="0" collapsed="false">
      <c r="A182" s="16" t="str">
        <f aca="false">IF($B182="","",177)</f>
        <v/>
      </c>
      <c r="B182" s="16" t="str">
        <f aca="false">IFERROR(INDEX('NHẬP ĐƠN HÀNG'!$C$6:$C$505,MATCH(177,'NHẬP ĐƠN HÀNG'!$AB$6:$AB$505,0)),"")</f>
        <v/>
      </c>
      <c r="C182" s="16" t="str">
        <f aca="false">IF($B182="","",IFERROR(IF(INDEX('NHẬP ĐƠN HÀNG'!$D$6:$D$505,MATCH($B182,'NHẬP ĐƠN HÀNG'!$C$6:$C$505,0))="","",INDEX('NHẬP ĐƠN HÀNG'!$D$6:$D$505,MATCH($B182,'NHẬP ĐƠN HÀNG'!$C$6:$C$505,0))),""))</f>
        <v/>
      </c>
      <c r="D182" s="16" t="str">
        <f aca="false">IF($B182="","",IFERROR(IF(INDEX('NHẬP ĐƠN HÀNG'!$E$6:$E$505,MATCH($B182,'NHẬP ĐƠN HÀNG'!$C$6:$C$505,0))="","",INDEX('NHẬP ĐƠN HÀNG'!$E$6:$E$505,MATCH($B182,'NHẬP ĐƠN HÀNG'!$C$6:$C$505,0))),""))</f>
        <v/>
      </c>
      <c r="E182" s="16" t="str">
        <f aca="false">IF($B182="","",IFERROR(IF(INDEX('NHẬP ĐƠN HÀNG'!$F$6:$F$505,MATCH($B182,'NHẬP ĐƠN HÀNG'!$C$6:$C$505,0))="","",INDEX('NHẬP ĐƠN HÀNG'!$F$6:$F$505,MATCH($B182,'NHẬP ĐƠN HÀNG'!$C$6:$C$505,0))),""))</f>
        <v/>
      </c>
      <c r="F182" s="16" t="str">
        <f aca="false">IF($B182="","",IFERROR(IF(INDEX('NHẬP ĐƠN HÀNG'!$G$6:$G$505,MATCH($B182,'NHẬP ĐƠN HÀNG'!$C$6:$C$505,0))="","",INDEX('NHẬP ĐƠN HÀNG'!$G$6:$G$505,MATCH($B182,'NHẬP ĐƠN HÀNG'!$C$6:$C$505,0))),""))</f>
        <v/>
      </c>
      <c r="G182" s="10" t="str">
        <f aca="false">IF($B182="","",COUNTIFS('NHẬP ĐƠN HÀNG'!$C$6:$C$505,$B182,'NHẬP ĐƠN HÀNG'!$L$6:$L$505,"&gt;0"))</f>
        <v/>
      </c>
      <c r="H182" s="10" t="str">
        <f aca="false">IF($B182="","",SUMIF('NHẬP ĐƠN HÀNG'!$C$6:$C$505,$B182,'NHẬP ĐƠN HÀNG'!$L$6:$L$505))</f>
        <v/>
      </c>
      <c r="I182" s="10" t="str">
        <f aca="false">IF($B182="","",SUMIF('NHẬP ĐƠN HÀNG'!$C$6:$C$505,$B182,'NHẬP ĐƠN HÀNG'!$P$6:$P$505))</f>
        <v/>
      </c>
      <c r="J182" s="10" t="str">
        <f aca="false">IF($B182="","",SUMIF('NHẬP ĐƠN HÀNG'!$C$6:$C$505,$B182,'NHẬP ĐƠN HÀNG'!$Q$6:$Q$505))</f>
        <v/>
      </c>
      <c r="K182" s="10" t="str">
        <f aca="false">IF($B182="","",SUMIF('NHẬP ĐƠN HÀNG'!$C$6:$C$505,$B182,'NHẬP ĐƠN HÀNG'!$R$6:$R$505))</f>
        <v/>
      </c>
      <c r="L182" s="10" t="str">
        <f aca="false">IF($B182="","",SUMIF('NHẬP ĐƠN HÀNG'!$C$6:$C$505,$B182,'NHẬP ĐƠN HÀNG'!$U$6:$U$505))</f>
        <v/>
      </c>
      <c r="M182" s="34" t="str">
        <f aca="false">IF($B182="","",IF(SUMPRODUCT(MAX(('NHẬP ĐƠN HÀNG'!$C$6:$C$505=$B182)*'NHẬP ĐƠN HÀNG'!$B$6:$B$505))=0,"",SUMPRODUCT(MAX(('NHẬP ĐƠN HÀNG'!$C$6:$C$505=$B182)*'NHẬP ĐƠN HÀNG'!$B$6:$B$505))))</f>
        <v/>
      </c>
      <c r="N182" s="16" t="str">
        <f aca="false">IF($B182="","",IF($G182=0,"Chưa có đơn",IF(COUNTIFS('NHẬP ĐƠN HÀNG'!$C$6:$C$505,$B182,'NHẬP ĐƠN HÀNG'!$N$6:$N$505,"&gt;0")&gt;0,"Có lấy VAT","Không lấy VAT")))</f>
        <v/>
      </c>
    </row>
    <row r="183" customFormat="false" ht="15" hidden="false" customHeight="false" outlineLevel="0" collapsed="false">
      <c r="A183" s="16" t="str">
        <f aca="false">IF($B183="","",178)</f>
        <v/>
      </c>
      <c r="B183" s="16" t="str">
        <f aca="false">IFERROR(INDEX('NHẬP ĐƠN HÀNG'!$C$6:$C$505,MATCH(178,'NHẬP ĐƠN HÀNG'!$AB$6:$AB$505,0)),"")</f>
        <v/>
      </c>
      <c r="C183" s="16" t="str">
        <f aca="false">IF($B183="","",IFERROR(IF(INDEX('NHẬP ĐƠN HÀNG'!$D$6:$D$505,MATCH($B183,'NHẬP ĐƠN HÀNG'!$C$6:$C$505,0))="","",INDEX('NHẬP ĐƠN HÀNG'!$D$6:$D$505,MATCH($B183,'NHẬP ĐƠN HÀNG'!$C$6:$C$505,0))),""))</f>
        <v/>
      </c>
      <c r="D183" s="16" t="str">
        <f aca="false">IF($B183="","",IFERROR(IF(INDEX('NHẬP ĐƠN HÀNG'!$E$6:$E$505,MATCH($B183,'NHẬP ĐƠN HÀNG'!$C$6:$C$505,0))="","",INDEX('NHẬP ĐƠN HÀNG'!$E$6:$E$505,MATCH($B183,'NHẬP ĐƠN HÀNG'!$C$6:$C$505,0))),""))</f>
        <v/>
      </c>
      <c r="E183" s="16" t="str">
        <f aca="false">IF($B183="","",IFERROR(IF(INDEX('NHẬP ĐƠN HÀNG'!$F$6:$F$505,MATCH($B183,'NHẬP ĐƠN HÀNG'!$C$6:$C$505,0))="","",INDEX('NHẬP ĐƠN HÀNG'!$F$6:$F$505,MATCH($B183,'NHẬP ĐƠN HÀNG'!$C$6:$C$505,0))),""))</f>
        <v/>
      </c>
      <c r="F183" s="16" t="str">
        <f aca="false">IF($B183="","",IFERROR(IF(INDEX('NHẬP ĐƠN HÀNG'!$G$6:$G$505,MATCH($B183,'NHẬP ĐƠN HÀNG'!$C$6:$C$505,0))="","",INDEX('NHẬP ĐƠN HÀNG'!$G$6:$G$505,MATCH($B183,'NHẬP ĐƠN HÀNG'!$C$6:$C$505,0))),""))</f>
        <v/>
      </c>
      <c r="G183" s="10" t="str">
        <f aca="false">IF($B183="","",COUNTIFS('NHẬP ĐƠN HÀNG'!$C$6:$C$505,$B183,'NHẬP ĐƠN HÀNG'!$L$6:$L$505,"&gt;0"))</f>
        <v/>
      </c>
      <c r="H183" s="10" t="str">
        <f aca="false">IF($B183="","",SUMIF('NHẬP ĐƠN HÀNG'!$C$6:$C$505,$B183,'NHẬP ĐƠN HÀNG'!$L$6:$L$505))</f>
        <v/>
      </c>
      <c r="I183" s="10" t="str">
        <f aca="false">IF($B183="","",SUMIF('NHẬP ĐƠN HÀNG'!$C$6:$C$505,$B183,'NHẬP ĐƠN HÀNG'!$P$6:$P$505))</f>
        <v/>
      </c>
      <c r="J183" s="10" t="str">
        <f aca="false">IF($B183="","",SUMIF('NHẬP ĐƠN HÀNG'!$C$6:$C$505,$B183,'NHẬP ĐƠN HÀNG'!$Q$6:$Q$505))</f>
        <v/>
      </c>
      <c r="K183" s="10" t="str">
        <f aca="false">IF($B183="","",SUMIF('NHẬP ĐƠN HÀNG'!$C$6:$C$505,$B183,'NHẬP ĐƠN HÀNG'!$R$6:$R$505))</f>
        <v/>
      </c>
      <c r="L183" s="10" t="str">
        <f aca="false">IF($B183="","",SUMIF('NHẬP ĐƠN HÀNG'!$C$6:$C$505,$B183,'NHẬP ĐƠN HÀNG'!$U$6:$U$505))</f>
        <v/>
      </c>
      <c r="M183" s="34" t="str">
        <f aca="false">IF($B183="","",IF(SUMPRODUCT(MAX(('NHẬP ĐƠN HÀNG'!$C$6:$C$505=$B183)*'NHẬP ĐƠN HÀNG'!$B$6:$B$505))=0,"",SUMPRODUCT(MAX(('NHẬP ĐƠN HÀNG'!$C$6:$C$505=$B183)*'NHẬP ĐƠN HÀNG'!$B$6:$B$505))))</f>
        <v/>
      </c>
      <c r="N183" s="16" t="str">
        <f aca="false">IF($B183="","",IF($G183=0,"Chưa có đơn",IF(COUNTIFS('NHẬP ĐƠN HÀNG'!$C$6:$C$505,$B183,'NHẬP ĐƠN HÀNG'!$N$6:$N$505,"&gt;0")&gt;0,"Có lấy VAT","Không lấy VAT")))</f>
        <v/>
      </c>
    </row>
    <row r="184" customFormat="false" ht="15" hidden="false" customHeight="false" outlineLevel="0" collapsed="false">
      <c r="A184" s="16" t="str">
        <f aca="false">IF($B184="","",179)</f>
        <v/>
      </c>
      <c r="B184" s="16" t="str">
        <f aca="false">IFERROR(INDEX('NHẬP ĐƠN HÀNG'!$C$6:$C$505,MATCH(179,'NHẬP ĐƠN HÀNG'!$AB$6:$AB$505,0)),"")</f>
        <v/>
      </c>
      <c r="C184" s="16" t="str">
        <f aca="false">IF($B184="","",IFERROR(IF(INDEX('NHẬP ĐƠN HÀNG'!$D$6:$D$505,MATCH($B184,'NHẬP ĐƠN HÀNG'!$C$6:$C$505,0))="","",INDEX('NHẬP ĐƠN HÀNG'!$D$6:$D$505,MATCH($B184,'NHẬP ĐƠN HÀNG'!$C$6:$C$505,0))),""))</f>
        <v/>
      </c>
      <c r="D184" s="16" t="str">
        <f aca="false">IF($B184="","",IFERROR(IF(INDEX('NHẬP ĐƠN HÀNG'!$E$6:$E$505,MATCH($B184,'NHẬP ĐƠN HÀNG'!$C$6:$C$505,0))="","",INDEX('NHẬP ĐƠN HÀNG'!$E$6:$E$505,MATCH($B184,'NHẬP ĐƠN HÀNG'!$C$6:$C$505,0))),""))</f>
        <v/>
      </c>
      <c r="E184" s="16" t="str">
        <f aca="false">IF($B184="","",IFERROR(IF(INDEX('NHẬP ĐƠN HÀNG'!$F$6:$F$505,MATCH($B184,'NHẬP ĐƠN HÀNG'!$C$6:$C$505,0))="","",INDEX('NHẬP ĐƠN HÀNG'!$F$6:$F$505,MATCH($B184,'NHẬP ĐƠN HÀNG'!$C$6:$C$505,0))),""))</f>
        <v/>
      </c>
      <c r="F184" s="16" t="str">
        <f aca="false">IF($B184="","",IFERROR(IF(INDEX('NHẬP ĐƠN HÀNG'!$G$6:$G$505,MATCH($B184,'NHẬP ĐƠN HÀNG'!$C$6:$C$505,0))="","",INDEX('NHẬP ĐƠN HÀNG'!$G$6:$G$505,MATCH($B184,'NHẬP ĐƠN HÀNG'!$C$6:$C$505,0))),""))</f>
        <v/>
      </c>
      <c r="G184" s="10" t="str">
        <f aca="false">IF($B184="","",COUNTIFS('NHẬP ĐƠN HÀNG'!$C$6:$C$505,$B184,'NHẬP ĐƠN HÀNG'!$L$6:$L$505,"&gt;0"))</f>
        <v/>
      </c>
      <c r="H184" s="10" t="str">
        <f aca="false">IF($B184="","",SUMIF('NHẬP ĐƠN HÀNG'!$C$6:$C$505,$B184,'NHẬP ĐƠN HÀNG'!$L$6:$L$505))</f>
        <v/>
      </c>
      <c r="I184" s="10" t="str">
        <f aca="false">IF($B184="","",SUMIF('NHẬP ĐƠN HÀNG'!$C$6:$C$505,$B184,'NHẬP ĐƠN HÀNG'!$P$6:$P$505))</f>
        <v/>
      </c>
      <c r="J184" s="10" t="str">
        <f aca="false">IF($B184="","",SUMIF('NHẬP ĐƠN HÀNG'!$C$6:$C$505,$B184,'NHẬP ĐƠN HÀNG'!$Q$6:$Q$505))</f>
        <v/>
      </c>
      <c r="K184" s="10" t="str">
        <f aca="false">IF($B184="","",SUMIF('NHẬP ĐƠN HÀNG'!$C$6:$C$505,$B184,'NHẬP ĐƠN HÀNG'!$R$6:$R$505))</f>
        <v/>
      </c>
      <c r="L184" s="10" t="str">
        <f aca="false">IF($B184="","",SUMIF('NHẬP ĐƠN HÀNG'!$C$6:$C$505,$B184,'NHẬP ĐƠN HÀNG'!$U$6:$U$505))</f>
        <v/>
      </c>
      <c r="M184" s="34" t="str">
        <f aca="false">IF($B184="","",IF(SUMPRODUCT(MAX(('NHẬP ĐƠN HÀNG'!$C$6:$C$505=$B184)*'NHẬP ĐƠN HÀNG'!$B$6:$B$505))=0,"",SUMPRODUCT(MAX(('NHẬP ĐƠN HÀNG'!$C$6:$C$505=$B184)*'NHẬP ĐƠN HÀNG'!$B$6:$B$505))))</f>
        <v/>
      </c>
      <c r="N184" s="16" t="str">
        <f aca="false">IF($B184="","",IF($G184=0,"Chưa có đơn",IF(COUNTIFS('NHẬP ĐƠN HÀNG'!$C$6:$C$505,$B184,'NHẬP ĐƠN HÀNG'!$N$6:$N$505,"&gt;0")&gt;0,"Có lấy VAT","Không lấy VAT")))</f>
        <v/>
      </c>
    </row>
    <row r="185" customFormat="false" ht="15" hidden="false" customHeight="false" outlineLevel="0" collapsed="false">
      <c r="A185" s="16" t="str">
        <f aca="false">IF($B185="","",180)</f>
        <v/>
      </c>
      <c r="B185" s="16" t="str">
        <f aca="false">IFERROR(INDEX('NHẬP ĐƠN HÀNG'!$C$6:$C$505,MATCH(180,'NHẬP ĐƠN HÀNG'!$AB$6:$AB$505,0)),"")</f>
        <v/>
      </c>
      <c r="C185" s="16" t="str">
        <f aca="false">IF($B185="","",IFERROR(IF(INDEX('NHẬP ĐƠN HÀNG'!$D$6:$D$505,MATCH($B185,'NHẬP ĐƠN HÀNG'!$C$6:$C$505,0))="","",INDEX('NHẬP ĐƠN HÀNG'!$D$6:$D$505,MATCH($B185,'NHẬP ĐƠN HÀNG'!$C$6:$C$505,0))),""))</f>
        <v/>
      </c>
      <c r="D185" s="16" t="str">
        <f aca="false">IF($B185="","",IFERROR(IF(INDEX('NHẬP ĐƠN HÀNG'!$E$6:$E$505,MATCH($B185,'NHẬP ĐƠN HÀNG'!$C$6:$C$505,0))="","",INDEX('NHẬP ĐƠN HÀNG'!$E$6:$E$505,MATCH($B185,'NHẬP ĐƠN HÀNG'!$C$6:$C$505,0))),""))</f>
        <v/>
      </c>
      <c r="E185" s="16" t="str">
        <f aca="false">IF($B185="","",IFERROR(IF(INDEX('NHẬP ĐƠN HÀNG'!$F$6:$F$505,MATCH($B185,'NHẬP ĐƠN HÀNG'!$C$6:$C$505,0))="","",INDEX('NHẬP ĐƠN HÀNG'!$F$6:$F$505,MATCH($B185,'NHẬP ĐƠN HÀNG'!$C$6:$C$505,0))),""))</f>
        <v/>
      </c>
      <c r="F185" s="16" t="str">
        <f aca="false">IF($B185="","",IFERROR(IF(INDEX('NHẬP ĐƠN HÀNG'!$G$6:$G$505,MATCH($B185,'NHẬP ĐƠN HÀNG'!$C$6:$C$505,0))="","",INDEX('NHẬP ĐƠN HÀNG'!$G$6:$G$505,MATCH($B185,'NHẬP ĐƠN HÀNG'!$C$6:$C$505,0))),""))</f>
        <v/>
      </c>
      <c r="G185" s="10" t="str">
        <f aca="false">IF($B185="","",COUNTIFS('NHẬP ĐƠN HÀNG'!$C$6:$C$505,$B185,'NHẬP ĐƠN HÀNG'!$L$6:$L$505,"&gt;0"))</f>
        <v/>
      </c>
      <c r="H185" s="10" t="str">
        <f aca="false">IF($B185="","",SUMIF('NHẬP ĐƠN HÀNG'!$C$6:$C$505,$B185,'NHẬP ĐƠN HÀNG'!$L$6:$L$505))</f>
        <v/>
      </c>
      <c r="I185" s="10" t="str">
        <f aca="false">IF($B185="","",SUMIF('NHẬP ĐƠN HÀNG'!$C$6:$C$505,$B185,'NHẬP ĐƠN HÀNG'!$P$6:$P$505))</f>
        <v/>
      </c>
      <c r="J185" s="10" t="str">
        <f aca="false">IF($B185="","",SUMIF('NHẬP ĐƠN HÀNG'!$C$6:$C$505,$B185,'NHẬP ĐƠN HÀNG'!$Q$6:$Q$505))</f>
        <v/>
      </c>
      <c r="K185" s="10" t="str">
        <f aca="false">IF($B185="","",SUMIF('NHẬP ĐƠN HÀNG'!$C$6:$C$505,$B185,'NHẬP ĐƠN HÀNG'!$R$6:$R$505))</f>
        <v/>
      </c>
      <c r="L185" s="10" t="str">
        <f aca="false">IF($B185="","",SUMIF('NHẬP ĐƠN HÀNG'!$C$6:$C$505,$B185,'NHẬP ĐƠN HÀNG'!$U$6:$U$505))</f>
        <v/>
      </c>
      <c r="M185" s="34" t="str">
        <f aca="false">IF($B185="","",IF(SUMPRODUCT(MAX(('NHẬP ĐƠN HÀNG'!$C$6:$C$505=$B185)*'NHẬP ĐƠN HÀNG'!$B$6:$B$505))=0,"",SUMPRODUCT(MAX(('NHẬP ĐƠN HÀNG'!$C$6:$C$505=$B185)*'NHẬP ĐƠN HÀNG'!$B$6:$B$505))))</f>
        <v/>
      </c>
      <c r="N185" s="16" t="str">
        <f aca="false">IF($B185="","",IF($G185=0,"Chưa có đơn",IF(COUNTIFS('NHẬP ĐƠN HÀNG'!$C$6:$C$505,$B185,'NHẬP ĐƠN HÀNG'!$N$6:$N$505,"&gt;0")&gt;0,"Có lấy VAT","Không lấy VAT")))</f>
        <v/>
      </c>
    </row>
    <row r="186" customFormat="false" ht="15" hidden="false" customHeight="false" outlineLevel="0" collapsed="false">
      <c r="A186" s="16" t="str">
        <f aca="false">IF($B186="","",181)</f>
        <v/>
      </c>
      <c r="B186" s="16" t="str">
        <f aca="false">IFERROR(INDEX('NHẬP ĐƠN HÀNG'!$C$6:$C$505,MATCH(181,'NHẬP ĐƠN HÀNG'!$AB$6:$AB$505,0)),"")</f>
        <v/>
      </c>
      <c r="C186" s="16" t="str">
        <f aca="false">IF($B186="","",IFERROR(IF(INDEX('NHẬP ĐƠN HÀNG'!$D$6:$D$505,MATCH($B186,'NHẬP ĐƠN HÀNG'!$C$6:$C$505,0))="","",INDEX('NHẬP ĐƠN HÀNG'!$D$6:$D$505,MATCH($B186,'NHẬP ĐƠN HÀNG'!$C$6:$C$505,0))),""))</f>
        <v/>
      </c>
      <c r="D186" s="16" t="str">
        <f aca="false">IF($B186="","",IFERROR(IF(INDEX('NHẬP ĐƠN HÀNG'!$E$6:$E$505,MATCH($B186,'NHẬP ĐƠN HÀNG'!$C$6:$C$505,0))="","",INDEX('NHẬP ĐƠN HÀNG'!$E$6:$E$505,MATCH($B186,'NHẬP ĐƠN HÀNG'!$C$6:$C$505,0))),""))</f>
        <v/>
      </c>
      <c r="E186" s="16" t="str">
        <f aca="false">IF($B186="","",IFERROR(IF(INDEX('NHẬP ĐƠN HÀNG'!$F$6:$F$505,MATCH($B186,'NHẬP ĐƠN HÀNG'!$C$6:$C$505,0))="","",INDEX('NHẬP ĐƠN HÀNG'!$F$6:$F$505,MATCH($B186,'NHẬP ĐƠN HÀNG'!$C$6:$C$505,0))),""))</f>
        <v/>
      </c>
      <c r="F186" s="16" t="str">
        <f aca="false">IF($B186="","",IFERROR(IF(INDEX('NHẬP ĐƠN HÀNG'!$G$6:$G$505,MATCH($B186,'NHẬP ĐƠN HÀNG'!$C$6:$C$505,0))="","",INDEX('NHẬP ĐƠN HÀNG'!$G$6:$G$505,MATCH($B186,'NHẬP ĐƠN HÀNG'!$C$6:$C$505,0))),""))</f>
        <v/>
      </c>
      <c r="G186" s="10" t="str">
        <f aca="false">IF($B186="","",COUNTIFS('NHẬP ĐƠN HÀNG'!$C$6:$C$505,$B186,'NHẬP ĐƠN HÀNG'!$L$6:$L$505,"&gt;0"))</f>
        <v/>
      </c>
      <c r="H186" s="10" t="str">
        <f aca="false">IF($B186="","",SUMIF('NHẬP ĐƠN HÀNG'!$C$6:$C$505,$B186,'NHẬP ĐƠN HÀNG'!$L$6:$L$505))</f>
        <v/>
      </c>
      <c r="I186" s="10" t="str">
        <f aca="false">IF($B186="","",SUMIF('NHẬP ĐƠN HÀNG'!$C$6:$C$505,$B186,'NHẬP ĐƠN HÀNG'!$P$6:$P$505))</f>
        <v/>
      </c>
      <c r="J186" s="10" t="str">
        <f aca="false">IF($B186="","",SUMIF('NHẬP ĐƠN HÀNG'!$C$6:$C$505,$B186,'NHẬP ĐƠN HÀNG'!$Q$6:$Q$505))</f>
        <v/>
      </c>
      <c r="K186" s="10" t="str">
        <f aca="false">IF($B186="","",SUMIF('NHẬP ĐƠN HÀNG'!$C$6:$C$505,$B186,'NHẬP ĐƠN HÀNG'!$R$6:$R$505))</f>
        <v/>
      </c>
      <c r="L186" s="10" t="str">
        <f aca="false">IF($B186="","",SUMIF('NHẬP ĐƠN HÀNG'!$C$6:$C$505,$B186,'NHẬP ĐƠN HÀNG'!$U$6:$U$505))</f>
        <v/>
      </c>
      <c r="M186" s="34" t="str">
        <f aca="false">IF($B186="","",IF(SUMPRODUCT(MAX(('NHẬP ĐƠN HÀNG'!$C$6:$C$505=$B186)*'NHẬP ĐƠN HÀNG'!$B$6:$B$505))=0,"",SUMPRODUCT(MAX(('NHẬP ĐƠN HÀNG'!$C$6:$C$505=$B186)*'NHẬP ĐƠN HÀNG'!$B$6:$B$505))))</f>
        <v/>
      </c>
      <c r="N186" s="16" t="str">
        <f aca="false">IF($B186="","",IF($G186=0,"Chưa có đơn",IF(COUNTIFS('NHẬP ĐƠN HÀNG'!$C$6:$C$505,$B186,'NHẬP ĐƠN HÀNG'!$N$6:$N$505,"&gt;0")&gt;0,"Có lấy VAT","Không lấy VAT")))</f>
        <v/>
      </c>
    </row>
    <row r="187" customFormat="false" ht="15" hidden="false" customHeight="false" outlineLevel="0" collapsed="false">
      <c r="A187" s="16" t="str">
        <f aca="false">IF($B187="","",182)</f>
        <v/>
      </c>
      <c r="B187" s="16" t="str">
        <f aca="false">IFERROR(INDEX('NHẬP ĐƠN HÀNG'!$C$6:$C$505,MATCH(182,'NHẬP ĐƠN HÀNG'!$AB$6:$AB$505,0)),"")</f>
        <v/>
      </c>
      <c r="C187" s="16" t="str">
        <f aca="false">IF($B187="","",IFERROR(IF(INDEX('NHẬP ĐƠN HÀNG'!$D$6:$D$505,MATCH($B187,'NHẬP ĐƠN HÀNG'!$C$6:$C$505,0))="","",INDEX('NHẬP ĐƠN HÀNG'!$D$6:$D$505,MATCH($B187,'NHẬP ĐƠN HÀNG'!$C$6:$C$505,0))),""))</f>
        <v/>
      </c>
      <c r="D187" s="16" t="str">
        <f aca="false">IF($B187="","",IFERROR(IF(INDEX('NHẬP ĐƠN HÀNG'!$E$6:$E$505,MATCH($B187,'NHẬP ĐƠN HÀNG'!$C$6:$C$505,0))="","",INDEX('NHẬP ĐƠN HÀNG'!$E$6:$E$505,MATCH($B187,'NHẬP ĐƠN HÀNG'!$C$6:$C$505,0))),""))</f>
        <v/>
      </c>
      <c r="E187" s="16" t="str">
        <f aca="false">IF($B187="","",IFERROR(IF(INDEX('NHẬP ĐƠN HÀNG'!$F$6:$F$505,MATCH($B187,'NHẬP ĐƠN HÀNG'!$C$6:$C$505,0))="","",INDEX('NHẬP ĐƠN HÀNG'!$F$6:$F$505,MATCH($B187,'NHẬP ĐƠN HÀNG'!$C$6:$C$505,0))),""))</f>
        <v/>
      </c>
      <c r="F187" s="16" t="str">
        <f aca="false">IF($B187="","",IFERROR(IF(INDEX('NHẬP ĐƠN HÀNG'!$G$6:$G$505,MATCH($B187,'NHẬP ĐƠN HÀNG'!$C$6:$C$505,0))="","",INDEX('NHẬP ĐƠN HÀNG'!$G$6:$G$505,MATCH($B187,'NHẬP ĐƠN HÀNG'!$C$6:$C$505,0))),""))</f>
        <v/>
      </c>
      <c r="G187" s="10" t="str">
        <f aca="false">IF($B187="","",COUNTIFS('NHẬP ĐƠN HÀNG'!$C$6:$C$505,$B187,'NHẬP ĐƠN HÀNG'!$L$6:$L$505,"&gt;0"))</f>
        <v/>
      </c>
      <c r="H187" s="10" t="str">
        <f aca="false">IF($B187="","",SUMIF('NHẬP ĐƠN HÀNG'!$C$6:$C$505,$B187,'NHẬP ĐƠN HÀNG'!$L$6:$L$505))</f>
        <v/>
      </c>
      <c r="I187" s="10" t="str">
        <f aca="false">IF($B187="","",SUMIF('NHẬP ĐƠN HÀNG'!$C$6:$C$505,$B187,'NHẬP ĐƠN HÀNG'!$P$6:$P$505))</f>
        <v/>
      </c>
      <c r="J187" s="10" t="str">
        <f aca="false">IF($B187="","",SUMIF('NHẬP ĐƠN HÀNG'!$C$6:$C$505,$B187,'NHẬP ĐƠN HÀNG'!$Q$6:$Q$505))</f>
        <v/>
      </c>
      <c r="K187" s="10" t="str">
        <f aca="false">IF($B187="","",SUMIF('NHẬP ĐƠN HÀNG'!$C$6:$C$505,$B187,'NHẬP ĐƠN HÀNG'!$R$6:$R$505))</f>
        <v/>
      </c>
      <c r="L187" s="10" t="str">
        <f aca="false">IF($B187="","",SUMIF('NHẬP ĐƠN HÀNG'!$C$6:$C$505,$B187,'NHẬP ĐƠN HÀNG'!$U$6:$U$505))</f>
        <v/>
      </c>
      <c r="M187" s="34" t="str">
        <f aca="false">IF($B187="","",IF(SUMPRODUCT(MAX(('NHẬP ĐƠN HÀNG'!$C$6:$C$505=$B187)*'NHẬP ĐƠN HÀNG'!$B$6:$B$505))=0,"",SUMPRODUCT(MAX(('NHẬP ĐƠN HÀNG'!$C$6:$C$505=$B187)*'NHẬP ĐƠN HÀNG'!$B$6:$B$505))))</f>
        <v/>
      </c>
      <c r="N187" s="16" t="str">
        <f aca="false">IF($B187="","",IF($G187=0,"Chưa có đơn",IF(COUNTIFS('NHẬP ĐƠN HÀNG'!$C$6:$C$505,$B187,'NHẬP ĐƠN HÀNG'!$N$6:$N$505,"&gt;0")&gt;0,"Có lấy VAT","Không lấy VAT")))</f>
        <v/>
      </c>
    </row>
    <row r="188" customFormat="false" ht="15" hidden="false" customHeight="false" outlineLevel="0" collapsed="false">
      <c r="A188" s="16" t="str">
        <f aca="false">IF($B188="","",183)</f>
        <v/>
      </c>
      <c r="B188" s="16" t="str">
        <f aca="false">IFERROR(INDEX('NHẬP ĐƠN HÀNG'!$C$6:$C$505,MATCH(183,'NHẬP ĐƠN HÀNG'!$AB$6:$AB$505,0)),"")</f>
        <v/>
      </c>
      <c r="C188" s="16" t="str">
        <f aca="false">IF($B188="","",IFERROR(IF(INDEX('NHẬP ĐƠN HÀNG'!$D$6:$D$505,MATCH($B188,'NHẬP ĐƠN HÀNG'!$C$6:$C$505,0))="","",INDEX('NHẬP ĐƠN HÀNG'!$D$6:$D$505,MATCH($B188,'NHẬP ĐƠN HÀNG'!$C$6:$C$505,0))),""))</f>
        <v/>
      </c>
      <c r="D188" s="16" t="str">
        <f aca="false">IF($B188="","",IFERROR(IF(INDEX('NHẬP ĐƠN HÀNG'!$E$6:$E$505,MATCH($B188,'NHẬP ĐƠN HÀNG'!$C$6:$C$505,0))="","",INDEX('NHẬP ĐƠN HÀNG'!$E$6:$E$505,MATCH($B188,'NHẬP ĐƠN HÀNG'!$C$6:$C$505,0))),""))</f>
        <v/>
      </c>
      <c r="E188" s="16" t="str">
        <f aca="false">IF($B188="","",IFERROR(IF(INDEX('NHẬP ĐƠN HÀNG'!$F$6:$F$505,MATCH($B188,'NHẬP ĐƠN HÀNG'!$C$6:$C$505,0))="","",INDEX('NHẬP ĐƠN HÀNG'!$F$6:$F$505,MATCH($B188,'NHẬP ĐƠN HÀNG'!$C$6:$C$505,0))),""))</f>
        <v/>
      </c>
      <c r="F188" s="16" t="str">
        <f aca="false">IF($B188="","",IFERROR(IF(INDEX('NHẬP ĐƠN HÀNG'!$G$6:$G$505,MATCH($B188,'NHẬP ĐƠN HÀNG'!$C$6:$C$505,0))="","",INDEX('NHẬP ĐƠN HÀNG'!$G$6:$G$505,MATCH($B188,'NHẬP ĐƠN HÀNG'!$C$6:$C$505,0))),""))</f>
        <v/>
      </c>
      <c r="G188" s="10" t="str">
        <f aca="false">IF($B188="","",COUNTIFS('NHẬP ĐƠN HÀNG'!$C$6:$C$505,$B188,'NHẬP ĐƠN HÀNG'!$L$6:$L$505,"&gt;0"))</f>
        <v/>
      </c>
      <c r="H188" s="10" t="str">
        <f aca="false">IF($B188="","",SUMIF('NHẬP ĐƠN HÀNG'!$C$6:$C$505,$B188,'NHẬP ĐƠN HÀNG'!$L$6:$L$505))</f>
        <v/>
      </c>
      <c r="I188" s="10" t="str">
        <f aca="false">IF($B188="","",SUMIF('NHẬP ĐƠN HÀNG'!$C$6:$C$505,$B188,'NHẬP ĐƠN HÀNG'!$P$6:$P$505))</f>
        <v/>
      </c>
      <c r="J188" s="10" t="str">
        <f aca="false">IF($B188="","",SUMIF('NHẬP ĐƠN HÀNG'!$C$6:$C$505,$B188,'NHẬP ĐƠN HÀNG'!$Q$6:$Q$505))</f>
        <v/>
      </c>
      <c r="K188" s="10" t="str">
        <f aca="false">IF($B188="","",SUMIF('NHẬP ĐƠN HÀNG'!$C$6:$C$505,$B188,'NHẬP ĐƠN HÀNG'!$R$6:$R$505))</f>
        <v/>
      </c>
      <c r="L188" s="10" t="str">
        <f aca="false">IF($B188="","",SUMIF('NHẬP ĐƠN HÀNG'!$C$6:$C$505,$B188,'NHẬP ĐƠN HÀNG'!$U$6:$U$505))</f>
        <v/>
      </c>
      <c r="M188" s="34" t="str">
        <f aca="false">IF($B188="","",IF(SUMPRODUCT(MAX(('NHẬP ĐƠN HÀNG'!$C$6:$C$505=$B188)*'NHẬP ĐƠN HÀNG'!$B$6:$B$505))=0,"",SUMPRODUCT(MAX(('NHẬP ĐƠN HÀNG'!$C$6:$C$505=$B188)*'NHẬP ĐƠN HÀNG'!$B$6:$B$505))))</f>
        <v/>
      </c>
      <c r="N188" s="16" t="str">
        <f aca="false">IF($B188="","",IF($G188=0,"Chưa có đơn",IF(COUNTIFS('NHẬP ĐƠN HÀNG'!$C$6:$C$505,$B188,'NHẬP ĐƠN HÀNG'!$N$6:$N$505,"&gt;0")&gt;0,"Có lấy VAT","Không lấy VAT")))</f>
        <v/>
      </c>
    </row>
    <row r="189" customFormat="false" ht="15" hidden="false" customHeight="false" outlineLevel="0" collapsed="false">
      <c r="A189" s="16" t="str">
        <f aca="false">IF($B189="","",184)</f>
        <v/>
      </c>
      <c r="B189" s="16" t="str">
        <f aca="false">IFERROR(INDEX('NHẬP ĐƠN HÀNG'!$C$6:$C$505,MATCH(184,'NHẬP ĐƠN HÀNG'!$AB$6:$AB$505,0)),"")</f>
        <v/>
      </c>
      <c r="C189" s="16" t="str">
        <f aca="false">IF($B189="","",IFERROR(IF(INDEX('NHẬP ĐƠN HÀNG'!$D$6:$D$505,MATCH($B189,'NHẬP ĐƠN HÀNG'!$C$6:$C$505,0))="","",INDEX('NHẬP ĐƠN HÀNG'!$D$6:$D$505,MATCH($B189,'NHẬP ĐƠN HÀNG'!$C$6:$C$505,0))),""))</f>
        <v/>
      </c>
      <c r="D189" s="16" t="str">
        <f aca="false">IF($B189="","",IFERROR(IF(INDEX('NHẬP ĐƠN HÀNG'!$E$6:$E$505,MATCH($B189,'NHẬP ĐƠN HÀNG'!$C$6:$C$505,0))="","",INDEX('NHẬP ĐƠN HÀNG'!$E$6:$E$505,MATCH($B189,'NHẬP ĐƠN HÀNG'!$C$6:$C$505,0))),""))</f>
        <v/>
      </c>
      <c r="E189" s="16" t="str">
        <f aca="false">IF($B189="","",IFERROR(IF(INDEX('NHẬP ĐƠN HÀNG'!$F$6:$F$505,MATCH($B189,'NHẬP ĐƠN HÀNG'!$C$6:$C$505,0))="","",INDEX('NHẬP ĐƠN HÀNG'!$F$6:$F$505,MATCH($B189,'NHẬP ĐƠN HÀNG'!$C$6:$C$505,0))),""))</f>
        <v/>
      </c>
      <c r="F189" s="16" t="str">
        <f aca="false">IF($B189="","",IFERROR(IF(INDEX('NHẬP ĐƠN HÀNG'!$G$6:$G$505,MATCH($B189,'NHẬP ĐƠN HÀNG'!$C$6:$C$505,0))="","",INDEX('NHẬP ĐƠN HÀNG'!$G$6:$G$505,MATCH($B189,'NHẬP ĐƠN HÀNG'!$C$6:$C$505,0))),""))</f>
        <v/>
      </c>
      <c r="G189" s="10" t="str">
        <f aca="false">IF($B189="","",COUNTIFS('NHẬP ĐƠN HÀNG'!$C$6:$C$505,$B189,'NHẬP ĐƠN HÀNG'!$L$6:$L$505,"&gt;0"))</f>
        <v/>
      </c>
      <c r="H189" s="10" t="str">
        <f aca="false">IF($B189="","",SUMIF('NHẬP ĐƠN HÀNG'!$C$6:$C$505,$B189,'NHẬP ĐƠN HÀNG'!$L$6:$L$505))</f>
        <v/>
      </c>
      <c r="I189" s="10" t="str">
        <f aca="false">IF($B189="","",SUMIF('NHẬP ĐƠN HÀNG'!$C$6:$C$505,$B189,'NHẬP ĐƠN HÀNG'!$P$6:$P$505))</f>
        <v/>
      </c>
      <c r="J189" s="10" t="str">
        <f aca="false">IF($B189="","",SUMIF('NHẬP ĐƠN HÀNG'!$C$6:$C$505,$B189,'NHẬP ĐƠN HÀNG'!$Q$6:$Q$505))</f>
        <v/>
      </c>
      <c r="K189" s="10" t="str">
        <f aca="false">IF($B189="","",SUMIF('NHẬP ĐƠN HÀNG'!$C$6:$C$505,$B189,'NHẬP ĐƠN HÀNG'!$R$6:$R$505))</f>
        <v/>
      </c>
      <c r="L189" s="10" t="str">
        <f aca="false">IF($B189="","",SUMIF('NHẬP ĐƠN HÀNG'!$C$6:$C$505,$B189,'NHẬP ĐƠN HÀNG'!$U$6:$U$505))</f>
        <v/>
      </c>
      <c r="M189" s="34" t="str">
        <f aca="false">IF($B189="","",IF(SUMPRODUCT(MAX(('NHẬP ĐƠN HÀNG'!$C$6:$C$505=$B189)*'NHẬP ĐƠN HÀNG'!$B$6:$B$505))=0,"",SUMPRODUCT(MAX(('NHẬP ĐƠN HÀNG'!$C$6:$C$505=$B189)*'NHẬP ĐƠN HÀNG'!$B$6:$B$505))))</f>
        <v/>
      </c>
      <c r="N189" s="16" t="str">
        <f aca="false">IF($B189="","",IF($G189=0,"Chưa có đơn",IF(COUNTIFS('NHẬP ĐƠN HÀNG'!$C$6:$C$505,$B189,'NHẬP ĐƠN HÀNG'!$N$6:$N$505,"&gt;0")&gt;0,"Có lấy VAT","Không lấy VAT")))</f>
        <v/>
      </c>
    </row>
    <row r="190" customFormat="false" ht="15" hidden="false" customHeight="false" outlineLevel="0" collapsed="false">
      <c r="A190" s="16" t="str">
        <f aca="false">IF($B190="","",185)</f>
        <v/>
      </c>
      <c r="B190" s="16" t="str">
        <f aca="false">IFERROR(INDEX('NHẬP ĐƠN HÀNG'!$C$6:$C$505,MATCH(185,'NHẬP ĐƠN HÀNG'!$AB$6:$AB$505,0)),"")</f>
        <v/>
      </c>
      <c r="C190" s="16" t="str">
        <f aca="false">IF($B190="","",IFERROR(IF(INDEX('NHẬP ĐƠN HÀNG'!$D$6:$D$505,MATCH($B190,'NHẬP ĐƠN HÀNG'!$C$6:$C$505,0))="","",INDEX('NHẬP ĐƠN HÀNG'!$D$6:$D$505,MATCH($B190,'NHẬP ĐƠN HÀNG'!$C$6:$C$505,0))),""))</f>
        <v/>
      </c>
      <c r="D190" s="16" t="str">
        <f aca="false">IF($B190="","",IFERROR(IF(INDEX('NHẬP ĐƠN HÀNG'!$E$6:$E$505,MATCH($B190,'NHẬP ĐƠN HÀNG'!$C$6:$C$505,0))="","",INDEX('NHẬP ĐƠN HÀNG'!$E$6:$E$505,MATCH($B190,'NHẬP ĐƠN HÀNG'!$C$6:$C$505,0))),""))</f>
        <v/>
      </c>
      <c r="E190" s="16" t="str">
        <f aca="false">IF($B190="","",IFERROR(IF(INDEX('NHẬP ĐƠN HÀNG'!$F$6:$F$505,MATCH($B190,'NHẬP ĐƠN HÀNG'!$C$6:$C$505,0))="","",INDEX('NHẬP ĐƠN HÀNG'!$F$6:$F$505,MATCH($B190,'NHẬP ĐƠN HÀNG'!$C$6:$C$505,0))),""))</f>
        <v/>
      </c>
      <c r="F190" s="16" t="str">
        <f aca="false">IF($B190="","",IFERROR(IF(INDEX('NHẬP ĐƠN HÀNG'!$G$6:$G$505,MATCH($B190,'NHẬP ĐƠN HÀNG'!$C$6:$C$505,0))="","",INDEX('NHẬP ĐƠN HÀNG'!$G$6:$G$505,MATCH($B190,'NHẬP ĐƠN HÀNG'!$C$6:$C$505,0))),""))</f>
        <v/>
      </c>
      <c r="G190" s="10" t="str">
        <f aca="false">IF($B190="","",COUNTIFS('NHẬP ĐƠN HÀNG'!$C$6:$C$505,$B190,'NHẬP ĐƠN HÀNG'!$L$6:$L$505,"&gt;0"))</f>
        <v/>
      </c>
      <c r="H190" s="10" t="str">
        <f aca="false">IF($B190="","",SUMIF('NHẬP ĐƠN HÀNG'!$C$6:$C$505,$B190,'NHẬP ĐƠN HÀNG'!$L$6:$L$505))</f>
        <v/>
      </c>
      <c r="I190" s="10" t="str">
        <f aca="false">IF($B190="","",SUMIF('NHẬP ĐƠN HÀNG'!$C$6:$C$505,$B190,'NHẬP ĐƠN HÀNG'!$P$6:$P$505))</f>
        <v/>
      </c>
      <c r="J190" s="10" t="str">
        <f aca="false">IF($B190="","",SUMIF('NHẬP ĐƠN HÀNG'!$C$6:$C$505,$B190,'NHẬP ĐƠN HÀNG'!$Q$6:$Q$505))</f>
        <v/>
      </c>
      <c r="K190" s="10" t="str">
        <f aca="false">IF($B190="","",SUMIF('NHẬP ĐƠN HÀNG'!$C$6:$C$505,$B190,'NHẬP ĐƠN HÀNG'!$R$6:$R$505))</f>
        <v/>
      </c>
      <c r="L190" s="10" t="str">
        <f aca="false">IF($B190="","",SUMIF('NHẬP ĐƠN HÀNG'!$C$6:$C$505,$B190,'NHẬP ĐƠN HÀNG'!$U$6:$U$505))</f>
        <v/>
      </c>
      <c r="M190" s="34" t="str">
        <f aca="false">IF($B190="","",IF(SUMPRODUCT(MAX(('NHẬP ĐƠN HÀNG'!$C$6:$C$505=$B190)*'NHẬP ĐƠN HÀNG'!$B$6:$B$505))=0,"",SUMPRODUCT(MAX(('NHẬP ĐƠN HÀNG'!$C$6:$C$505=$B190)*'NHẬP ĐƠN HÀNG'!$B$6:$B$505))))</f>
        <v/>
      </c>
      <c r="N190" s="16" t="str">
        <f aca="false">IF($B190="","",IF($G190=0,"Chưa có đơn",IF(COUNTIFS('NHẬP ĐƠN HÀNG'!$C$6:$C$505,$B190,'NHẬP ĐƠN HÀNG'!$N$6:$N$505,"&gt;0")&gt;0,"Có lấy VAT","Không lấy VAT")))</f>
        <v/>
      </c>
    </row>
    <row r="191" customFormat="false" ht="15" hidden="false" customHeight="false" outlineLevel="0" collapsed="false">
      <c r="A191" s="16" t="str">
        <f aca="false">IF($B191="","",186)</f>
        <v/>
      </c>
      <c r="B191" s="16" t="str">
        <f aca="false">IFERROR(INDEX('NHẬP ĐƠN HÀNG'!$C$6:$C$505,MATCH(186,'NHẬP ĐƠN HÀNG'!$AB$6:$AB$505,0)),"")</f>
        <v/>
      </c>
      <c r="C191" s="16" t="str">
        <f aca="false">IF($B191="","",IFERROR(IF(INDEX('NHẬP ĐƠN HÀNG'!$D$6:$D$505,MATCH($B191,'NHẬP ĐƠN HÀNG'!$C$6:$C$505,0))="","",INDEX('NHẬP ĐƠN HÀNG'!$D$6:$D$505,MATCH($B191,'NHẬP ĐƠN HÀNG'!$C$6:$C$505,0))),""))</f>
        <v/>
      </c>
      <c r="D191" s="16" t="str">
        <f aca="false">IF($B191="","",IFERROR(IF(INDEX('NHẬP ĐƠN HÀNG'!$E$6:$E$505,MATCH($B191,'NHẬP ĐƠN HÀNG'!$C$6:$C$505,0))="","",INDEX('NHẬP ĐƠN HÀNG'!$E$6:$E$505,MATCH($B191,'NHẬP ĐƠN HÀNG'!$C$6:$C$505,0))),""))</f>
        <v/>
      </c>
      <c r="E191" s="16" t="str">
        <f aca="false">IF($B191="","",IFERROR(IF(INDEX('NHẬP ĐƠN HÀNG'!$F$6:$F$505,MATCH($B191,'NHẬP ĐƠN HÀNG'!$C$6:$C$505,0))="","",INDEX('NHẬP ĐƠN HÀNG'!$F$6:$F$505,MATCH($B191,'NHẬP ĐƠN HÀNG'!$C$6:$C$505,0))),""))</f>
        <v/>
      </c>
      <c r="F191" s="16" t="str">
        <f aca="false">IF($B191="","",IFERROR(IF(INDEX('NHẬP ĐƠN HÀNG'!$G$6:$G$505,MATCH($B191,'NHẬP ĐƠN HÀNG'!$C$6:$C$505,0))="","",INDEX('NHẬP ĐƠN HÀNG'!$G$6:$G$505,MATCH($B191,'NHẬP ĐƠN HÀNG'!$C$6:$C$505,0))),""))</f>
        <v/>
      </c>
      <c r="G191" s="10" t="str">
        <f aca="false">IF($B191="","",COUNTIFS('NHẬP ĐƠN HÀNG'!$C$6:$C$505,$B191,'NHẬP ĐƠN HÀNG'!$L$6:$L$505,"&gt;0"))</f>
        <v/>
      </c>
      <c r="H191" s="10" t="str">
        <f aca="false">IF($B191="","",SUMIF('NHẬP ĐƠN HÀNG'!$C$6:$C$505,$B191,'NHẬP ĐƠN HÀNG'!$L$6:$L$505))</f>
        <v/>
      </c>
      <c r="I191" s="10" t="str">
        <f aca="false">IF($B191="","",SUMIF('NHẬP ĐƠN HÀNG'!$C$6:$C$505,$B191,'NHẬP ĐƠN HÀNG'!$P$6:$P$505))</f>
        <v/>
      </c>
      <c r="J191" s="10" t="str">
        <f aca="false">IF($B191="","",SUMIF('NHẬP ĐƠN HÀNG'!$C$6:$C$505,$B191,'NHẬP ĐƠN HÀNG'!$Q$6:$Q$505))</f>
        <v/>
      </c>
      <c r="K191" s="10" t="str">
        <f aca="false">IF($B191="","",SUMIF('NHẬP ĐƠN HÀNG'!$C$6:$C$505,$B191,'NHẬP ĐƠN HÀNG'!$R$6:$R$505))</f>
        <v/>
      </c>
      <c r="L191" s="10" t="str">
        <f aca="false">IF($B191="","",SUMIF('NHẬP ĐƠN HÀNG'!$C$6:$C$505,$B191,'NHẬP ĐƠN HÀNG'!$U$6:$U$505))</f>
        <v/>
      </c>
      <c r="M191" s="34" t="str">
        <f aca="false">IF($B191="","",IF(SUMPRODUCT(MAX(('NHẬP ĐƠN HÀNG'!$C$6:$C$505=$B191)*'NHẬP ĐƠN HÀNG'!$B$6:$B$505))=0,"",SUMPRODUCT(MAX(('NHẬP ĐƠN HÀNG'!$C$6:$C$505=$B191)*'NHẬP ĐƠN HÀNG'!$B$6:$B$505))))</f>
        <v/>
      </c>
      <c r="N191" s="16" t="str">
        <f aca="false">IF($B191="","",IF($G191=0,"Chưa có đơn",IF(COUNTIFS('NHẬP ĐƠN HÀNG'!$C$6:$C$505,$B191,'NHẬP ĐƠN HÀNG'!$N$6:$N$505,"&gt;0")&gt;0,"Có lấy VAT","Không lấy VAT")))</f>
        <v/>
      </c>
    </row>
    <row r="192" customFormat="false" ht="15" hidden="false" customHeight="false" outlineLevel="0" collapsed="false">
      <c r="A192" s="16" t="str">
        <f aca="false">IF($B192="","",187)</f>
        <v/>
      </c>
      <c r="B192" s="16" t="str">
        <f aca="false">IFERROR(INDEX('NHẬP ĐƠN HÀNG'!$C$6:$C$505,MATCH(187,'NHẬP ĐƠN HÀNG'!$AB$6:$AB$505,0)),"")</f>
        <v/>
      </c>
      <c r="C192" s="16" t="str">
        <f aca="false">IF($B192="","",IFERROR(IF(INDEX('NHẬP ĐƠN HÀNG'!$D$6:$D$505,MATCH($B192,'NHẬP ĐƠN HÀNG'!$C$6:$C$505,0))="","",INDEX('NHẬP ĐƠN HÀNG'!$D$6:$D$505,MATCH($B192,'NHẬP ĐƠN HÀNG'!$C$6:$C$505,0))),""))</f>
        <v/>
      </c>
      <c r="D192" s="16" t="str">
        <f aca="false">IF($B192="","",IFERROR(IF(INDEX('NHẬP ĐƠN HÀNG'!$E$6:$E$505,MATCH($B192,'NHẬP ĐƠN HÀNG'!$C$6:$C$505,0))="","",INDEX('NHẬP ĐƠN HÀNG'!$E$6:$E$505,MATCH($B192,'NHẬP ĐƠN HÀNG'!$C$6:$C$505,0))),""))</f>
        <v/>
      </c>
      <c r="E192" s="16" t="str">
        <f aca="false">IF($B192="","",IFERROR(IF(INDEX('NHẬP ĐƠN HÀNG'!$F$6:$F$505,MATCH($B192,'NHẬP ĐƠN HÀNG'!$C$6:$C$505,0))="","",INDEX('NHẬP ĐƠN HÀNG'!$F$6:$F$505,MATCH($B192,'NHẬP ĐƠN HÀNG'!$C$6:$C$505,0))),""))</f>
        <v/>
      </c>
      <c r="F192" s="16" t="str">
        <f aca="false">IF($B192="","",IFERROR(IF(INDEX('NHẬP ĐƠN HÀNG'!$G$6:$G$505,MATCH($B192,'NHẬP ĐƠN HÀNG'!$C$6:$C$505,0))="","",INDEX('NHẬP ĐƠN HÀNG'!$G$6:$G$505,MATCH($B192,'NHẬP ĐƠN HÀNG'!$C$6:$C$505,0))),""))</f>
        <v/>
      </c>
      <c r="G192" s="10" t="str">
        <f aca="false">IF($B192="","",COUNTIFS('NHẬP ĐƠN HÀNG'!$C$6:$C$505,$B192,'NHẬP ĐƠN HÀNG'!$L$6:$L$505,"&gt;0"))</f>
        <v/>
      </c>
      <c r="H192" s="10" t="str">
        <f aca="false">IF($B192="","",SUMIF('NHẬP ĐƠN HÀNG'!$C$6:$C$505,$B192,'NHẬP ĐƠN HÀNG'!$L$6:$L$505))</f>
        <v/>
      </c>
      <c r="I192" s="10" t="str">
        <f aca="false">IF($B192="","",SUMIF('NHẬP ĐƠN HÀNG'!$C$6:$C$505,$B192,'NHẬP ĐƠN HÀNG'!$P$6:$P$505))</f>
        <v/>
      </c>
      <c r="J192" s="10" t="str">
        <f aca="false">IF($B192="","",SUMIF('NHẬP ĐƠN HÀNG'!$C$6:$C$505,$B192,'NHẬP ĐƠN HÀNG'!$Q$6:$Q$505))</f>
        <v/>
      </c>
      <c r="K192" s="10" t="str">
        <f aca="false">IF($B192="","",SUMIF('NHẬP ĐƠN HÀNG'!$C$6:$C$505,$B192,'NHẬP ĐƠN HÀNG'!$R$6:$R$505))</f>
        <v/>
      </c>
      <c r="L192" s="10" t="str">
        <f aca="false">IF($B192="","",SUMIF('NHẬP ĐƠN HÀNG'!$C$6:$C$505,$B192,'NHẬP ĐƠN HÀNG'!$U$6:$U$505))</f>
        <v/>
      </c>
      <c r="M192" s="34" t="str">
        <f aca="false">IF($B192="","",IF(SUMPRODUCT(MAX(('NHẬP ĐƠN HÀNG'!$C$6:$C$505=$B192)*'NHẬP ĐƠN HÀNG'!$B$6:$B$505))=0,"",SUMPRODUCT(MAX(('NHẬP ĐƠN HÀNG'!$C$6:$C$505=$B192)*'NHẬP ĐƠN HÀNG'!$B$6:$B$505))))</f>
        <v/>
      </c>
      <c r="N192" s="16" t="str">
        <f aca="false">IF($B192="","",IF($G192=0,"Chưa có đơn",IF(COUNTIFS('NHẬP ĐƠN HÀNG'!$C$6:$C$505,$B192,'NHẬP ĐƠN HÀNG'!$N$6:$N$505,"&gt;0")&gt;0,"Có lấy VAT","Không lấy VAT")))</f>
        <v/>
      </c>
    </row>
    <row r="193" customFormat="false" ht="15" hidden="false" customHeight="false" outlineLevel="0" collapsed="false">
      <c r="A193" s="16" t="str">
        <f aca="false">IF($B193="","",188)</f>
        <v/>
      </c>
      <c r="B193" s="16" t="str">
        <f aca="false">IFERROR(INDEX('NHẬP ĐƠN HÀNG'!$C$6:$C$505,MATCH(188,'NHẬP ĐƠN HÀNG'!$AB$6:$AB$505,0)),"")</f>
        <v/>
      </c>
      <c r="C193" s="16" t="str">
        <f aca="false">IF($B193="","",IFERROR(IF(INDEX('NHẬP ĐƠN HÀNG'!$D$6:$D$505,MATCH($B193,'NHẬP ĐƠN HÀNG'!$C$6:$C$505,0))="","",INDEX('NHẬP ĐƠN HÀNG'!$D$6:$D$505,MATCH($B193,'NHẬP ĐƠN HÀNG'!$C$6:$C$505,0))),""))</f>
        <v/>
      </c>
      <c r="D193" s="16" t="str">
        <f aca="false">IF($B193="","",IFERROR(IF(INDEX('NHẬP ĐƠN HÀNG'!$E$6:$E$505,MATCH($B193,'NHẬP ĐƠN HÀNG'!$C$6:$C$505,0))="","",INDEX('NHẬP ĐƠN HÀNG'!$E$6:$E$505,MATCH($B193,'NHẬP ĐƠN HÀNG'!$C$6:$C$505,0))),""))</f>
        <v/>
      </c>
      <c r="E193" s="16" t="str">
        <f aca="false">IF($B193="","",IFERROR(IF(INDEX('NHẬP ĐƠN HÀNG'!$F$6:$F$505,MATCH($B193,'NHẬP ĐƠN HÀNG'!$C$6:$C$505,0))="","",INDEX('NHẬP ĐƠN HÀNG'!$F$6:$F$505,MATCH($B193,'NHẬP ĐƠN HÀNG'!$C$6:$C$505,0))),""))</f>
        <v/>
      </c>
      <c r="F193" s="16" t="str">
        <f aca="false">IF($B193="","",IFERROR(IF(INDEX('NHẬP ĐƠN HÀNG'!$G$6:$G$505,MATCH($B193,'NHẬP ĐƠN HÀNG'!$C$6:$C$505,0))="","",INDEX('NHẬP ĐƠN HÀNG'!$G$6:$G$505,MATCH($B193,'NHẬP ĐƠN HÀNG'!$C$6:$C$505,0))),""))</f>
        <v/>
      </c>
      <c r="G193" s="10" t="str">
        <f aca="false">IF($B193="","",COUNTIFS('NHẬP ĐƠN HÀNG'!$C$6:$C$505,$B193,'NHẬP ĐƠN HÀNG'!$L$6:$L$505,"&gt;0"))</f>
        <v/>
      </c>
      <c r="H193" s="10" t="str">
        <f aca="false">IF($B193="","",SUMIF('NHẬP ĐƠN HÀNG'!$C$6:$C$505,$B193,'NHẬP ĐƠN HÀNG'!$L$6:$L$505))</f>
        <v/>
      </c>
      <c r="I193" s="10" t="str">
        <f aca="false">IF($B193="","",SUMIF('NHẬP ĐƠN HÀNG'!$C$6:$C$505,$B193,'NHẬP ĐƠN HÀNG'!$P$6:$P$505))</f>
        <v/>
      </c>
      <c r="J193" s="10" t="str">
        <f aca="false">IF($B193="","",SUMIF('NHẬP ĐƠN HÀNG'!$C$6:$C$505,$B193,'NHẬP ĐƠN HÀNG'!$Q$6:$Q$505))</f>
        <v/>
      </c>
      <c r="K193" s="10" t="str">
        <f aca="false">IF($B193="","",SUMIF('NHẬP ĐƠN HÀNG'!$C$6:$C$505,$B193,'NHẬP ĐƠN HÀNG'!$R$6:$R$505))</f>
        <v/>
      </c>
      <c r="L193" s="10" t="str">
        <f aca="false">IF($B193="","",SUMIF('NHẬP ĐƠN HÀNG'!$C$6:$C$505,$B193,'NHẬP ĐƠN HÀNG'!$U$6:$U$505))</f>
        <v/>
      </c>
      <c r="M193" s="34" t="str">
        <f aca="false">IF($B193="","",IF(SUMPRODUCT(MAX(('NHẬP ĐƠN HÀNG'!$C$6:$C$505=$B193)*'NHẬP ĐƠN HÀNG'!$B$6:$B$505))=0,"",SUMPRODUCT(MAX(('NHẬP ĐƠN HÀNG'!$C$6:$C$505=$B193)*'NHẬP ĐƠN HÀNG'!$B$6:$B$505))))</f>
        <v/>
      </c>
      <c r="N193" s="16" t="str">
        <f aca="false">IF($B193="","",IF($G193=0,"Chưa có đơn",IF(COUNTIFS('NHẬP ĐƠN HÀNG'!$C$6:$C$505,$B193,'NHẬP ĐƠN HÀNG'!$N$6:$N$505,"&gt;0")&gt;0,"Có lấy VAT","Không lấy VAT")))</f>
        <v/>
      </c>
    </row>
    <row r="194" customFormat="false" ht="15" hidden="false" customHeight="false" outlineLevel="0" collapsed="false">
      <c r="A194" s="16" t="str">
        <f aca="false">IF($B194="","",189)</f>
        <v/>
      </c>
      <c r="B194" s="16" t="str">
        <f aca="false">IFERROR(INDEX('NHẬP ĐƠN HÀNG'!$C$6:$C$505,MATCH(189,'NHẬP ĐƠN HÀNG'!$AB$6:$AB$505,0)),"")</f>
        <v/>
      </c>
      <c r="C194" s="16" t="str">
        <f aca="false">IF($B194="","",IFERROR(IF(INDEX('NHẬP ĐƠN HÀNG'!$D$6:$D$505,MATCH($B194,'NHẬP ĐƠN HÀNG'!$C$6:$C$505,0))="","",INDEX('NHẬP ĐƠN HÀNG'!$D$6:$D$505,MATCH($B194,'NHẬP ĐƠN HÀNG'!$C$6:$C$505,0))),""))</f>
        <v/>
      </c>
      <c r="D194" s="16" t="str">
        <f aca="false">IF($B194="","",IFERROR(IF(INDEX('NHẬP ĐƠN HÀNG'!$E$6:$E$505,MATCH($B194,'NHẬP ĐƠN HÀNG'!$C$6:$C$505,0))="","",INDEX('NHẬP ĐƠN HÀNG'!$E$6:$E$505,MATCH($B194,'NHẬP ĐƠN HÀNG'!$C$6:$C$505,0))),""))</f>
        <v/>
      </c>
      <c r="E194" s="16" t="str">
        <f aca="false">IF($B194="","",IFERROR(IF(INDEX('NHẬP ĐƠN HÀNG'!$F$6:$F$505,MATCH($B194,'NHẬP ĐƠN HÀNG'!$C$6:$C$505,0))="","",INDEX('NHẬP ĐƠN HÀNG'!$F$6:$F$505,MATCH($B194,'NHẬP ĐƠN HÀNG'!$C$6:$C$505,0))),""))</f>
        <v/>
      </c>
      <c r="F194" s="16" t="str">
        <f aca="false">IF($B194="","",IFERROR(IF(INDEX('NHẬP ĐƠN HÀNG'!$G$6:$G$505,MATCH($B194,'NHẬP ĐƠN HÀNG'!$C$6:$C$505,0))="","",INDEX('NHẬP ĐƠN HÀNG'!$G$6:$G$505,MATCH($B194,'NHẬP ĐƠN HÀNG'!$C$6:$C$505,0))),""))</f>
        <v/>
      </c>
      <c r="G194" s="10" t="str">
        <f aca="false">IF($B194="","",COUNTIFS('NHẬP ĐƠN HÀNG'!$C$6:$C$505,$B194,'NHẬP ĐƠN HÀNG'!$L$6:$L$505,"&gt;0"))</f>
        <v/>
      </c>
      <c r="H194" s="10" t="str">
        <f aca="false">IF($B194="","",SUMIF('NHẬP ĐƠN HÀNG'!$C$6:$C$505,$B194,'NHẬP ĐƠN HÀNG'!$L$6:$L$505))</f>
        <v/>
      </c>
      <c r="I194" s="10" t="str">
        <f aca="false">IF($B194="","",SUMIF('NHẬP ĐƠN HÀNG'!$C$6:$C$505,$B194,'NHẬP ĐƠN HÀNG'!$P$6:$P$505))</f>
        <v/>
      </c>
      <c r="J194" s="10" t="str">
        <f aca="false">IF($B194="","",SUMIF('NHẬP ĐƠN HÀNG'!$C$6:$C$505,$B194,'NHẬP ĐƠN HÀNG'!$Q$6:$Q$505))</f>
        <v/>
      </c>
      <c r="K194" s="10" t="str">
        <f aca="false">IF($B194="","",SUMIF('NHẬP ĐƠN HÀNG'!$C$6:$C$505,$B194,'NHẬP ĐƠN HÀNG'!$R$6:$R$505))</f>
        <v/>
      </c>
      <c r="L194" s="10" t="str">
        <f aca="false">IF($B194="","",SUMIF('NHẬP ĐƠN HÀNG'!$C$6:$C$505,$B194,'NHẬP ĐƠN HÀNG'!$U$6:$U$505))</f>
        <v/>
      </c>
      <c r="M194" s="34" t="str">
        <f aca="false">IF($B194="","",IF(SUMPRODUCT(MAX(('NHẬP ĐƠN HÀNG'!$C$6:$C$505=$B194)*'NHẬP ĐƠN HÀNG'!$B$6:$B$505))=0,"",SUMPRODUCT(MAX(('NHẬP ĐƠN HÀNG'!$C$6:$C$505=$B194)*'NHẬP ĐƠN HÀNG'!$B$6:$B$505))))</f>
        <v/>
      </c>
      <c r="N194" s="16" t="str">
        <f aca="false">IF($B194="","",IF($G194=0,"Chưa có đơn",IF(COUNTIFS('NHẬP ĐƠN HÀNG'!$C$6:$C$505,$B194,'NHẬP ĐƠN HÀNG'!$N$6:$N$505,"&gt;0")&gt;0,"Có lấy VAT","Không lấy VAT")))</f>
        <v/>
      </c>
    </row>
    <row r="195" customFormat="false" ht="15" hidden="false" customHeight="false" outlineLevel="0" collapsed="false">
      <c r="A195" s="16" t="str">
        <f aca="false">IF($B195="","",190)</f>
        <v/>
      </c>
      <c r="B195" s="16" t="str">
        <f aca="false">IFERROR(INDEX('NHẬP ĐƠN HÀNG'!$C$6:$C$505,MATCH(190,'NHẬP ĐƠN HÀNG'!$AB$6:$AB$505,0)),"")</f>
        <v/>
      </c>
      <c r="C195" s="16" t="str">
        <f aca="false">IF($B195="","",IFERROR(IF(INDEX('NHẬP ĐƠN HÀNG'!$D$6:$D$505,MATCH($B195,'NHẬP ĐƠN HÀNG'!$C$6:$C$505,0))="","",INDEX('NHẬP ĐƠN HÀNG'!$D$6:$D$505,MATCH($B195,'NHẬP ĐƠN HÀNG'!$C$6:$C$505,0))),""))</f>
        <v/>
      </c>
      <c r="D195" s="16" t="str">
        <f aca="false">IF($B195="","",IFERROR(IF(INDEX('NHẬP ĐƠN HÀNG'!$E$6:$E$505,MATCH($B195,'NHẬP ĐƠN HÀNG'!$C$6:$C$505,0))="","",INDEX('NHẬP ĐƠN HÀNG'!$E$6:$E$505,MATCH($B195,'NHẬP ĐƠN HÀNG'!$C$6:$C$505,0))),""))</f>
        <v/>
      </c>
      <c r="E195" s="16" t="str">
        <f aca="false">IF($B195="","",IFERROR(IF(INDEX('NHẬP ĐƠN HÀNG'!$F$6:$F$505,MATCH($B195,'NHẬP ĐƠN HÀNG'!$C$6:$C$505,0))="","",INDEX('NHẬP ĐƠN HÀNG'!$F$6:$F$505,MATCH($B195,'NHẬP ĐƠN HÀNG'!$C$6:$C$505,0))),""))</f>
        <v/>
      </c>
      <c r="F195" s="16" t="str">
        <f aca="false">IF($B195="","",IFERROR(IF(INDEX('NHẬP ĐƠN HÀNG'!$G$6:$G$505,MATCH($B195,'NHẬP ĐƠN HÀNG'!$C$6:$C$505,0))="","",INDEX('NHẬP ĐƠN HÀNG'!$G$6:$G$505,MATCH($B195,'NHẬP ĐƠN HÀNG'!$C$6:$C$505,0))),""))</f>
        <v/>
      </c>
      <c r="G195" s="10" t="str">
        <f aca="false">IF($B195="","",COUNTIFS('NHẬP ĐƠN HÀNG'!$C$6:$C$505,$B195,'NHẬP ĐƠN HÀNG'!$L$6:$L$505,"&gt;0"))</f>
        <v/>
      </c>
      <c r="H195" s="10" t="str">
        <f aca="false">IF($B195="","",SUMIF('NHẬP ĐƠN HÀNG'!$C$6:$C$505,$B195,'NHẬP ĐƠN HÀNG'!$L$6:$L$505))</f>
        <v/>
      </c>
      <c r="I195" s="10" t="str">
        <f aca="false">IF($B195="","",SUMIF('NHẬP ĐƠN HÀNG'!$C$6:$C$505,$B195,'NHẬP ĐƠN HÀNG'!$P$6:$P$505))</f>
        <v/>
      </c>
      <c r="J195" s="10" t="str">
        <f aca="false">IF($B195="","",SUMIF('NHẬP ĐƠN HÀNG'!$C$6:$C$505,$B195,'NHẬP ĐƠN HÀNG'!$Q$6:$Q$505))</f>
        <v/>
      </c>
      <c r="K195" s="10" t="str">
        <f aca="false">IF($B195="","",SUMIF('NHẬP ĐƠN HÀNG'!$C$6:$C$505,$B195,'NHẬP ĐƠN HÀNG'!$R$6:$R$505))</f>
        <v/>
      </c>
      <c r="L195" s="10" t="str">
        <f aca="false">IF($B195="","",SUMIF('NHẬP ĐƠN HÀNG'!$C$6:$C$505,$B195,'NHẬP ĐƠN HÀNG'!$U$6:$U$505))</f>
        <v/>
      </c>
      <c r="M195" s="34" t="str">
        <f aca="false">IF($B195="","",IF(SUMPRODUCT(MAX(('NHẬP ĐƠN HÀNG'!$C$6:$C$505=$B195)*'NHẬP ĐƠN HÀNG'!$B$6:$B$505))=0,"",SUMPRODUCT(MAX(('NHẬP ĐƠN HÀNG'!$C$6:$C$505=$B195)*'NHẬP ĐƠN HÀNG'!$B$6:$B$505))))</f>
        <v/>
      </c>
      <c r="N195" s="16" t="str">
        <f aca="false">IF($B195="","",IF($G195=0,"Chưa có đơn",IF(COUNTIFS('NHẬP ĐƠN HÀNG'!$C$6:$C$505,$B195,'NHẬP ĐƠN HÀNG'!$N$6:$N$505,"&gt;0")&gt;0,"Có lấy VAT","Không lấy VAT")))</f>
        <v/>
      </c>
    </row>
    <row r="196" customFormat="false" ht="15" hidden="false" customHeight="false" outlineLevel="0" collapsed="false">
      <c r="A196" s="16" t="str">
        <f aca="false">IF($B196="","",191)</f>
        <v/>
      </c>
      <c r="B196" s="16" t="str">
        <f aca="false">IFERROR(INDEX('NHẬP ĐƠN HÀNG'!$C$6:$C$505,MATCH(191,'NHẬP ĐƠN HÀNG'!$AB$6:$AB$505,0)),"")</f>
        <v/>
      </c>
      <c r="C196" s="16" t="str">
        <f aca="false">IF($B196="","",IFERROR(IF(INDEX('NHẬP ĐƠN HÀNG'!$D$6:$D$505,MATCH($B196,'NHẬP ĐƠN HÀNG'!$C$6:$C$505,0))="","",INDEX('NHẬP ĐƠN HÀNG'!$D$6:$D$505,MATCH($B196,'NHẬP ĐƠN HÀNG'!$C$6:$C$505,0))),""))</f>
        <v/>
      </c>
      <c r="D196" s="16" t="str">
        <f aca="false">IF($B196="","",IFERROR(IF(INDEX('NHẬP ĐƠN HÀNG'!$E$6:$E$505,MATCH($B196,'NHẬP ĐƠN HÀNG'!$C$6:$C$505,0))="","",INDEX('NHẬP ĐƠN HÀNG'!$E$6:$E$505,MATCH($B196,'NHẬP ĐƠN HÀNG'!$C$6:$C$505,0))),""))</f>
        <v/>
      </c>
      <c r="E196" s="16" t="str">
        <f aca="false">IF($B196="","",IFERROR(IF(INDEX('NHẬP ĐƠN HÀNG'!$F$6:$F$505,MATCH($B196,'NHẬP ĐƠN HÀNG'!$C$6:$C$505,0))="","",INDEX('NHẬP ĐƠN HÀNG'!$F$6:$F$505,MATCH($B196,'NHẬP ĐƠN HÀNG'!$C$6:$C$505,0))),""))</f>
        <v/>
      </c>
      <c r="F196" s="16" t="str">
        <f aca="false">IF($B196="","",IFERROR(IF(INDEX('NHẬP ĐƠN HÀNG'!$G$6:$G$505,MATCH($B196,'NHẬP ĐƠN HÀNG'!$C$6:$C$505,0))="","",INDEX('NHẬP ĐƠN HÀNG'!$G$6:$G$505,MATCH($B196,'NHẬP ĐƠN HÀNG'!$C$6:$C$505,0))),""))</f>
        <v/>
      </c>
      <c r="G196" s="10" t="str">
        <f aca="false">IF($B196="","",COUNTIFS('NHẬP ĐƠN HÀNG'!$C$6:$C$505,$B196,'NHẬP ĐƠN HÀNG'!$L$6:$L$505,"&gt;0"))</f>
        <v/>
      </c>
      <c r="H196" s="10" t="str">
        <f aca="false">IF($B196="","",SUMIF('NHẬP ĐƠN HÀNG'!$C$6:$C$505,$B196,'NHẬP ĐƠN HÀNG'!$L$6:$L$505))</f>
        <v/>
      </c>
      <c r="I196" s="10" t="str">
        <f aca="false">IF($B196="","",SUMIF('NHẬP ĐƠN HÀNG'!$C$6:$C$505,$B196,'NHẬP ĐƠN HÀNG'!$P$6:$P$505))</f>
        <v/>
      </c>
      <c r="J196" s="10" t="str">
        <f aca="false">IF($B196="","",SUMIF('NHẬP ĐƠN HÀNG'!$C$6:$C$505,$B196,'NHẬP ĐƠN HÀNG'!$Q$6:$Q$505))</f>
        <v/>
      </c>
      <c r="K196" s="10" t="str">
        <f aca="false">IF($B196="","",SUMIF('NHẬP ĐƠN HÀNG'!$C$6:$C$505,$B196,'NHẬP ĐƠN HÀNG'!$R$6:$R$505))</f>
        <v/>
      </c>
      <c r="L196" s="10" t="str">
        <f aca="false">IF($B196="","",SUMIF('NHẬP ĐƠN HÀNG'!$C$6:$C$505,$B196,'NHẬP ĐƠN HÀNG'!$U$6:$U$505))</f>
        <v/>
      </c>
      <c r="M196" s="34" t="str">
        <f aca="false">IF($B196="","",IF(SUMPRODUCT(MAX(('NHẬP ĐƠN HÀNG'!$C$6:$C$505=$B196)*'NHẬP ĐƠN HÀNG'!$B$6:$B$505))=0,"",SUMPRODUCT(MAX(('NHẬP ĐƠN HÀNG'!$C$6:$C$505=$B196)*'NHẬP ĐƠN HÀNG'!$B$6:$B$505))))</f>
        <v/>
      </c>
      <c r="N196" s="16" t="str">
        <f aca="false">IF($B196="","",IF($G196=0,"Chưa có đơn",IF(COUNTIFS('NHẬP ĐƠN HÀNG'!$C$6:$C$505,$B196,'NHẬP ĐƠN HÀNG'!$N$6:$N$505,"&gt;0")&gt;0,"Có lấy VAT","Không lấy VAT")))</f>
        <v/>
      </c>
    </row>
    <row r="197" customFormat="false" ht="15" hidden="false" customHeight="false" outlineLevel="0" collapsed="false">
      <c r="A197" s="16" t="str">
        <f aca="false">IF($B197="","",192)</f>
        <v/>
      </c>
      <c r="B197" s="16" t="str">
        <f aca="false">IFERROR(INDEX('NHẬP ĐƠN HÀNG'!$C$6:$C$505,MATCH(192,'NHẬP ĐƠN HÀNG'!$AB$6:$AB$505,0)),"")</f>
        <v/>
      </c>
      <c r="C197" s="16" t="str">
        <f aca="false">IF($B197="","",IFERROR(IF(INDEX('NHẬP ĐƠN HÀNG'!$D$6:$D$505,MATCH($B197,'NHẬP ĐƠN HÀNG'!$C$6:$C$505,0))="","",INDEX('NHẬP ĐƠN HÀNG'!$D$6:$D$505,MATCH($B197,'NHẬP ĐƠN HÀNG'!$C$6:$C$505,0))),""))</f>
        <v/>
      </c>
      <c r="D197" s="16" t="str">
        <f aca="false">IF($B197="","",IFERROR(IF(INDEX('NHẬP ĐƠN HÀNG'!$E$6:$E$505,MATCH($B197,'NHẬP ĐƠN HÀNG'!$C$6:$C$505,0))="","",INDEX('NHẬP ĐƠN HÀNG'!$E$6:$E$505,MATCH($B197,'NHẬP ĐƠN HÀNG'!$C$6:$C$505,0))),""))</f>
        <v/>
      </c>
      <c r="E197" s="16" t="str">
        <f aca="false">IF($B197="","",IFERROR(IF(INDEX('NHẬP ĐƠN HÀNG'!$F$6:$F$505,MATCH($B197,'NHẬP ĐƠN HÀNG'!$C$6:$C$505,0))="","",INDEX('NHẬP ĐƠN HÀNG'!$F$6:$F$505,MATCH($B197,'NHẬP ĐƠN HÀNG'!$C$6:$C$505,0))),""))</f>
        <v/>
      </c>
      <c r="F197" s="16" t="str">
        <f aca="false">IF($B197="","",IFERROR(IF(INDEX('NHẬP ĐƠN HÀNG'!$G$6:$G$505,MATCH($B197,'NHẬP ĐƠN HÀNG'!$C$6:$C$505,0))="","",INDEX('NHẬP ĐƠN HÀNG'!$G$6:$G$505,MATCH($B197,'NHẬP ĐƠN HÀNG'!$C$6:$C$505,0))),""))</f>
        <v/>
      </c>
      <c r="G197" s="10" t="str">
        <f aca="false">IF($B197="","",COUNTIFS('NHẬP ĐƠN HÀNG'!$C$6:$C$505,$B197,'NHẬP ĐƠN HÀNG'!$L$6:$L$505,"&gt;0"))</f>
        <v/>
      </c>
      <c r="H197" s="10" t="str">
        <f aca="false">IF($B197="","",SUMIF('NHẬP ĐƠN HÀNG'!$C$6:$C$505,$B197,'NHẬP ĐƠN HÀNG'!$L$6:$L$505))</f>
        <v/>
      </c>
      <c r="I197" s="10" t="str">
        <f aca="false">IF($B197="","",SUMIF('NHẬP ĐƠN HÀNG'!$C$6:$C$505,$B197,'NHẬP ĐƠN HÀNG'!$P$6:$P$505))</f>
        <v/>
      </c>
      <c r="J197" s="10" t="str">
        <f aca="false">IF($B197="","",SUMIF('NHẬP ĐƠN HÀNG'!$C$6:$C$505,$B197,'NHẬP ĐƠN HÀNG'!$Q$6:$Q$505))</f>
        <v/>
      </c>
      <c r="K197" s="10" t="str">
        <f aca="false">IF($B197="","",SUMIF('NHẬP ĐƠN HÀNG'!$C$6:$C$505,$B197,'NHẬP ĐƠN HÀNG'!$R$6:$R$505))</f>
        <v/>
      </c>
      <c r="L197" s="10" t="str">
        <f aca="false">IF($B197="","",SUMIF('NHẬP ĐƠN HÀNG'!$C$6:$C$505,$B197,'NHẬP ĐƠN HÀNG'!$U$6:$U$505))</f>
        <v/>
      </c>
      <c r="M197" s="34" t="str">
        <f aca="false">IF($B197="","",IF(SUMPRODUCT(MAX(('NHẬP ĐƠN HÀNG'!$C$6:$C$505=$B197)*'NHẬP ĐƠN HÀNG'!$B$6:$B$505))=0,"",SUMPRODUCT(MAX(('NHẬP ĐƠN HÀNG'!$C$6:$C$505=$B197)*'NHẬP ĐƠN HÀNG'!$B$6:$B$505))))</f>
        <v/>
      </c>
      <c r="N197" s="16" t="str">
        <f aca="false">IF($B197="","",IF($G197=0,"Chưa có đơn",IF(COUNTIFS('NHẬP ĐƠN HÀNG'!$C$6:$C$505,$B197,'NHẬP ĐƠN HÀNG'!$N$6:$N$505,"&gt;0")&gt;0,"Có lấy VAT","Không lấy VAT")))</f>
        <v/>
      </c>
    </row>
    <row r="198" customFormat="false" ht="15" hidden="false" customHeight="false" outlineLevel="0" collapsed="false">
      <c r="A198" s="16" t="str">
        <f aca="false">IF($B198="","",193)</f>
        <v/>
      </c>
      <c r="B198" s="16" t="str">
        <f aca="false">IFERROR(INDEX('NHẬP ĐƠN HÀNG'!$C$6:$C$505,MATCH(193,'NHẬP ĐƠN HÀNG'!$AB$6:$AB$505,0)),"")</f>
        <v/>
      </c>
      <c r="C198" s="16" t="str">
        <f aca="false">IF($B198="","",IFERROR(IF(INDEX('NHẬP ĐƠN HÀNG'!$D$6:$D$505,MATCH($B198,'NHẬP ĐƠN HÀNG'!$C$6:$C$505,0))="","",INDEX('NHẬP ĐƠN HÀNG'!$D$6:$D$505,MATCH($B198,'NHẬP ĐƠN HÀNG'!$C$6:$C$505,0))),""))</f>
        <v/>
      </c>
      <c r="D198" s="16" t="str">
        <f aca="false">IF($B198="","",IFERROR(IF(INDEX('NHẬP ĐƠN HÀNG'!$E$6:$E$505,MATCH($B198,'NHẬP ĐƠN HÀNG'!$C$6:$C$505,0))="","",INDEX('NHẬP ĐƠN HÀNG'!$E$6:$E$505,MATCH($B198,'NHẬP ĐƠN HÀNG'!$C$6:$C$505,0))),""))</f>
        <v/>
      </c>
      <c r="E198" s="16" t="str">
        <f aca="false">IF($B198="","",IFERROR(IF(INDEX('NHẬP ĐƠN HÀNG'!$F$6:$F$505,MATCH($B198,'NHẬP ĐƠN HÀNG'!$C$6:$C$505,0))="","",INDEX('NHẬP ĐƠN HÀNG'!$F$6:$F$505,MATCH($B198,'NHẬP ĐƠN HÀNG'!$C$6:$C$505,0))),""))</f>
        <v/>
      </c>
      <c r="F198" s="16" t="str">
        <f aca="false">IF($B198="","",IFERROR(IF(INDEX('NHẬP ĐƠN HÀNG'!$G$6:$G$505,MATCH($B198,'NHẬP ĐƠN HÀNG'!$C$6:$C$505,0))="","",INDEX('NHẬP ĐƠN HÀNG'!$G$6:$G$505,MATCH($B198,'NHẬP ĐƠN HÀNG'!$C$6:$C$505,0))),""))</f>
        <v/>
      </c>
      <c r="G198" s="10" t="str">
        <f aca="false">IF($B198="","",COUNTIFS('NHẬP ĐƠN HÀNG'!$C$6:$C$505,$B198,'NHẬP ĐƠN HÀNG'!$L$6:$L$505,"&gt;0"))</f>
        <v/>
      </c>
      <c r="H198" s="10" t="str">
        <f aca="false">IF($B198="","",SUMIF('NHẬP ĐƠN HÀNG'!$C$6:$C$505,$B198,'NHẬP ĐƠN HÀNG'!$L$6:$L$505))</f>
        <v/>
      </c>
      <c r="I198" s="10" t="str">
        <f aca="false">IF($B198="","",SUMIF('NHẬP ĐƠN HÀNG'!$C$6:$C$505,$B198,'NHẬP ĐƠN HÀNG'!$P$6:$P$505))</f>
        <v/>
      </c>
      <c r="J198" s="10" t="str">
        <f aca="false">IF($B198="","",SUMIF('NHẬP ĐƠN HÀNG'!$C$6:$C$505,$B198,'NHẬP ĐƠN HÀNG'!$Q$6:$Q$505))</f>
        <v/>
      </c>
      <c r="K198" s="10" t="str">
        <f aca="false">IF($B198="","",SUMIF('NHẬP ĐƠN HÀNG'!$C$6:$C$505,$B198,'NHẬP ĐƠN HÀNG'!$R$6:$R$505))</f>
        <v/>
      </c>
      <c r="L198" s="10" t="str">
        <f aca="false">IF($B198="","",SUMIF('NHẬP ĐƠN HÀNG'!$C$6:$C$505,$B198,'NHẬP ĐƠN HÀNG'!$U$6:$U$505))</f>
        <v/>
      </c>
      <c r="M198" s="34" t="str">
        <f aca="false">IF($B198="","",IF(SUMPRODUCT(MAX(('NHẬP ĐƠN HÀNG'!$C$6:$C$505=$B198)*'NHẬP ĐƠN HÀNG'!$B$6:$B$505))=0,"",SUMPRODUCT(MAX(('NHẬP ĐƠN HÀNG'!$C$6:$C$505=$B198)*'NHẬP ĐƠN HÀNG'!$B$6:$B$505))))</f>
        <v/>
      </c>
      <c r="N198" s="16" t="str">
        <f aca="false">IF($B198="","",IF($G198=0,"Chưa có đơn",IF(COUNTIFS('NHẬP ĐƠN HÀNG'!$C$6:$C$505,$B198,'NHẬP ĐƠN HÀNG'!$N$6:$N$505,"&gt;0")&gt;0,"Có lấy VAT","Không lấy VAT")))</f>
        <v/>
      </c>
    </row>
    <row r="199" customFormat="false" ht="15" hidden="false" customHeight="false" outlineLevel="0" collapsed="false">
      <c r="A199" s="16" t="str">
        <f aca="false">IF($B199="","",194)</f>
        <v/>
      </c>
      <c r="B199" s="16" t="str">
        <f aca="false">IFERROR(INDEX('NHẬP ĐƠN HÀNG'!$C$6:$C$505,MATCH(194,'NHẬP ĐƠN HÀNG'!$AB$6:$AB$505,0)),"")</f>
        <v/>
      </c>
      <c r="C199" s="16" t="str">
        <f aca="false">IF($B199="","",IFERROR(IF(INDEX('NHẬP ĐƠN HÀNG'!$D$6:$D$505,MATCH($B199,'NHẬP ĐƠN HÀNG'!$C$6:$C$505,0))="","",INDEX('NHẬP ĐƠN HÀNG'!$D$6:$D$505,MATCH($B199,'NHẬP ĐƠN HÀNG'!$C$6:$C$505,0))),""))</f>
        <v/>
      </c>
      <c r="D199" s="16" t="str">
        <f aca="false">IF($B199="","",IFERROR(IF(INDEX('NHẬP ĐƠN HÀNG'!$E$6:$E$505,MATCH($B199,'NHẬP ĐƠN HÀNG'!$C$6:$C$505,0))="","",INDEX('NHẬP ĐƠN HÀNG'!$E$6:$E$505,MATCH($B199,'NHẬP ĐƠN HÀNG'!$C$6:$C$505,0))),""))</f>
        <v/>
      </c>
      <c r="E199" s="16" t="str">
        <f aca="false">IF($B199="","",IFERROR(IF(INDEX('NHẬP ĐƠN HÀNG'!$F$6:$F$505,MATCH($B199,'NHẬP ĐƠN HÀNG'!$C$6:$C$505,0))="","",INDEX('NHẬP ĐƠN HÀNG'!$F$6:$F$505,MATCH($B199,'NHẬP ĐƠN HÀNG'!$C$6:$C$505,0))),""))</f>
        <v/>
      </c>
      <c r="F199" s="16" t="str">
        <f aca="false">IF($B199="","",IFERROR(IF(INDEX('NHẬP ĐƠN HÀNG'!$G$6:$G$505,MATCH($B199,'NHẬP ĐƠN HÀNG'!$C$6:$C$505,0))="","",INDEX('NHẬP ĐƠN HÀNG'!$G$6:$G$505,MATCH($B199,'NHẬP ĐƠN HÀNG'!$C$6:$C$505,0))),""))</f>
        <v/>
      </c>
      <c r="G199" s="10" t="str">
        <f aca="false">IF($B199="","",COUNTIFS('NHẬP ĐƠN HÀNG'!$C$6:$C$505,$B199,'NHẬP ĐƠN HÀNG'!$L$6:$L$505,"&gt;0"))</f>
        <v/>
      </c>
      <c r="H199" s="10" t="str">
        <f aca="false">IF($B199="","",SUMIF('NHẬP ĐƠN HÀNG'!$C$6:$C$505,$B199,'NHẬP ĐƠN HÀNG'!$L$6:$L$505))</f>
        <v/>
      </c>
      <c r="I199" s="10" t="str">
        <f aca="false">IF($B199="","",SUMIF('NHẬP ĐƠN HÀNG'!$C$6:$C$505,$B199,'NHẬP ĐƠN HÀNG'!$P$6:$P$505))</f>
        <v/>
      </c>
      <c r="J199" s="10" t="str">
        <f aca="false">IF($B199="","",SUMIF('NHẬP ĐƠN HÀNG'!$C$6:$C$505,$B199,'NHẬP ĐƠN HÀNG'!$Q$6:$Q$505))</f>
        <v/>
      </c>
      <c r="K199" s="10" t="str">
        <f aca="false">IF($B199="","",SUMIF('NHẬP ĐƠN HÀNG'!$C$6:$C$505,$B199,'NHẬP ĐƠN HÀNG'!$R$6:$R$505))</f>
        <v/>
      </c>
      <c r="L199" s="10" t="str">
        <f aca="false">IF($B199="","",SUMIF('NHẬP ĐƠN HÀNG'!$C$6:$C$505,$B199,'NHẬP ĐƠN HÀNG'!$U$6:$U$505))</f>
        <v/>
      </c>
      <c r="M199" s="34" t="str">
        <f aca="false">IF($B199="","",IF(SUMPRODUCT(MAX(('NHẬP ĐƠN HÀNG'!$C$6:$C$505=$B199)*'NHẬP ĐƠN HÀNG'!$B$6:$B$505))=0,"",SUMPRODUCT(MAX(('NHẬP ĐƠN HÀNG'!$C$6:$C$505=$B199)*'NHẬP ĐƠN HÀNG'!$B$6:$B$505))))</f>
        <v/>
      </c>
      <c r="N199" s="16" t="str">
        <f aca="false">IF($B199="","",IF($G199=0,"Chưa có đơn",IF(COUNTIFS('NHẬP ĐƠN HÀNG'!$C$6:$C$505,$B199,'NHẬP ĐƠN HÀNG'!$N$6:$N$505,"&gt;0")&gt;0,"Có lấy VAT","Không lấy VAT")))</f>
        <v/>
      </c>
    </row>
    <row r="200" customFormat="false" ht="15" hidden="false" customHeight="false" outlineLevel="0" collapsed="false">
      <c r="A200" s="16" t="str">
        <f aca="false">IF($B200="","",195)</f>
        <v/>
      </c>
      <c r="B200" s="16" t="str">
        <f aca="false">IFERROR(INDEX('NHẬP ĐƠN HÀNG'!$C$6:$C$505,MATCH(195,'NHẬP ĐƠN HÀNG'!$AB$6:$AB$505,0)),"")</f>
        <v/>
      </c>
      <c r="C200" s="16" t="str">
        <f aca="false">IF($B200="","",IFERROR(IF(INDEX('NHẬP ĐƠN HÀNG'!$D$6:$D$505,MATCH($B200,'NHẬP ĐƠN HÀNG'!$C$6:$C$505,0))="","",INDEX('NHẬP ĐƠN HÀNG'!$D$6:$D$505,MATCH($B200,'NHẬP ĐƠN HÀNG'!$C$6:$C$505,0))),""))</f>
        <v/>
      </c>
      <c r="D200" s="16" t="str">
        <f aca="false">IF($B200="","",IFERROR(IF(INDEX('NHẬP ĐƠN HÀNG'!$E$6:$E$505,MATCH($B200,'NHẬP ĐƠN HÀNG'!$C$6:$C$505,0))="","",INDEX('NHẬP ĐƠN HÀNG'!$E$6:$E$505,MATCH($B200,'NHẬP ĐƠN HÀNG'!$C$6:$C$505,0))),""))</f>
        <v/>
      </c>
      <c r="E200" s="16" t="str">
        <f aca="false">IF($B200="","",IFERROR(IF(INDEX('NHẬP ĐƠN HÀNG'!$F$6:$F$505,MATCH($B200,'NHẬP ĐƠN HÀNG'!$C$6:$C$505,0))="","",INDEX('NHẬP ĐƠN HÀNG'!$F$6:$F$505,MATCH($B200,'NHẬP ĐƠN HÀNG'!$C$6:$C$505,0))),""))</f>
        <v/>
      </c>
      <c r="F200" s="16" t="str">
        <f aca="false">IF($B200="","",IFERROR(IF(INDEX('NHẬP ĐƠN HÀNG'!$G$6:$G$505,MATCH($B200,'NHẬP ĐƠN HÀNG'!$C$6:$C$505,0))="","",INDEX('NHẬP ĐƠN HÀNG'!$G$6:$G$505,MATCH($B200,'NHẬP ĐƠN HÀNG'!$C$6:$C$505,0))),""))</f>
        <v/>
      </c>
      <c r="G200" s="10" t="str">
        <f aca="false">IF($B200="","",COUNTIFS('NHẬP ĐƠN HÀNG'!$C$6:$C$505,$B200,'NHẬP ĐƠN HÀNG'!$L$6:$L$505,"&gt;0"))</f>
        <v/>
      </c>
      <c r="H200" s="10" t="str">
        <f aca="false">IF($B200="","",SUMIF('NHẬP ĐƠN HÀNG'!$C$6:$C$505,$B200,'NHẬP ĐƠN HÀNG'!$L$6:$L$505))</f>
        <v/>
      </c>
      <c r="I200" s="10" t="str">
        <f aca="false">IF($B200="","",SUMIF('NHẬP ĐƠN HÀNG'!$C$6:$C$505,$B200,'NHẬP ĐƠN HÀNG'!$P$6:$P$505))</f>
        <v/>
      </c>
      <c r="J200" s="10" t="str">
        <f aca="false">IF($B200="","",SUMIF('NHẬP ĐƠN HÀNG'!$C$6:$C$505,$B200,'NHẬP ĐƠN HÀNG'!$Q$6:$Q$505))</f>
        <v/>
      </c>
      <c r="K200" s="10" t="str">
        <f aca="false">IF($B200="","",SUMIF('NHẬP ĐƠN HÀNG'!$C$6:$C$505,$B200,'NHẬP ĐƠN HÀNG'!$R$6:$R$505))</f>
        <v/>
      </c>
      <c r="L200" s="10" t="str">
        <f aca="false">IF($B200="","",SUMIF('NHẬP ĐƠN HÀNG'!$C$6:$C$505,$B200,'NHẬP ĐƠN HÀNG'!$U$6:$U$505))</f>
        <v/>
      </c>
      <c r="M200" s="34" t="str">
        <f aca="false">IF($B200="","",IF(SUMPRODUCT(MAX(('NHẬP ĐƠN HÀNG'!$C$6:$C$505=$B200)*'NHẬP ĐƠN HÀNG'!$B$6:$B$505))=0,"",SUMPRODUCT(MAX(('NHẬP ĐƠN HÀNG'!$C$6:$C$505=$B200)*'NHẬP ĐƠN HÀNG'!$B$6:$B$505))))</f>
        <v/>
      </c>
      <c r="N200" s="16" t="str">
        <f aca="false">IF($B200="","",IF($G200=0,"Chưa có đơn",IF(COUNTIFS('NHẬP ĐƠN HÀNG'!$C$6:$C$505,$B200,'NHẬP ĐƠN HÀNG'!$N$6:$N$505,"&gt;0")&gt;0,"Có lấy VAT","Không lấy VAT")))</f>
        <v/>
      </c>
    </row>
    <row r="201" customFormat="false" ht="15" hidden="false" customHeight="false" outlineLevel="0" collapsed="false">
      <c r="A201" s="16" t="str">
        <f aca="false">IF($B201="","",196)</f>
        <v/>
      </c>
      <c r="B201" s="16" t="str">
        <f aca="false">IFERROR(INDEX('NHẬP ĐƠN HÀNG'!$C$6:$C$505,MATCH(196,'NHẬP ĐƠN HÀNG'!$AB$6:$AB$505,0)),"")</f>
        <v/>
      </c>
      <c r="C201" s="16" t="str">
        <f aca="false">IF($B201="","",IFERROR(IF(INDEX('NHẬP ĐƠN HÀNG'!$D$6:$D$505,MATCH($B201,'NHẬP ĐƠN HÀNG'!$C$6:$C$505,0))="","",INDEX('NHẬP ĐƠN HÀNG'!$D$6:$D$505,MATCH($B201,'NHẬP ĐƠN HÀNG'!$C$6:$C$505,0))),""))</f>
        <v/>
      </c>
      <c r="D201" s="16" t="str">
        <f aca="false">IF($B201="","",IFERROR(IF(INDEX('NHẬP ĐƠN HÀNG'!$E$6:$E$505,MATCH($B201,'NHẬP ĐƠN HÀNG'!$C$6:$C$505,0))="","",INDEX('NHẬP ĐƠN HÀNG'!$E$6:$E$505,MATCH($B201,'NHẬP ĐƠN HÀNG'!$C$6:$C$505,0))),""))</f>
        <v/>
      </c>
      <c r="E201" s="16" t="str">
        <f aca="false">IF($B201="","",IFERROR(IF(INDEX('NHẬP ĐƠN HÀNG'!$F$6:$F$505,MATCH($B201,'NHẬP ĐƠN HÀNG'!$C$6:$C$505,0))="","",INDEX('NHẬP ĐƠN HÀNG'!$F$6:$F$505,MATCH($B201,'NHẬP ĐƠN HÀNG'!$C$6:$C$505,0))),""))</f>
        <v/>
      </c>
      <c r="F201" s="16" t="str">
        <f aca="false">IF($B201="","",IFERROR(IF(INDEX('NHẬP ĐƠN HÀNG'!$G$6:$G$505,MATCH($B201,'NHẬP ĐƠN HÀNG'!$C$6:$C$505,0))="","",INDEX('NHẬP ĐƠN HÀNG'!$G$6:$G$505,MATCH($B201,'NHẬP ĐƠN HÀNG'!$C$6:$C$505,0))),""))</f>
        <v/>
      </c>
      <c r="G201" s="10" t="str">
        <f aca="false">IF($B201="","",COUNTIFS('NHẬP ĐƠN HÀNG'!$C$6:$C$505,$B201,'NHẬP ĐƠN HÀNG'!$L$6:$L$505,"&gt;0"))</f>
        <v/>
      </c>
      <c r="H201" s="10" t="str">
        <f aca="false">IF($B201="","",SUMIF('NHẬP ĐƠN HÀNG'!$C$6:$C$505,$B201,'NHẬP ĐƠN HÀNG'!$L$6:$L$505))</f>
        <v/>
      </c>
      <c r="I201" s="10" t="str">
        <f aca="false">IF($B201="","",SUMIF('NHẬP ĐƠN HÀNG'!$C$6:$C$505,$B201,'NHẬP ĐƠN HÀNG'!$P$6:$P$505))</f>
        <v/>
      </c>
      <c r="J201" s="10" t="str">
        <f aca="false">IF($B201="","",SUMIF('NHẬP ĐƠN HÀNG'!$C$6:$C$505,$B201,'NHẬP ĐƠN HÀNG'!$Q$6:$Q$505))</f>
        <v/>
      </c>
      <c r="K201" s="10" t="str">
        <f aca="false">IF($B201="","",SUMIF('NHẬP ĐƠN HÀNG'!$C$6:$C$505,$B201,'NHẬP ĐƠN HÀNG'!$R$6:$R$505))</f>
        <v/>
      </c>
      <c r="L201" s="10" t="str">
        <f aca="false">IF($B201="","",SUMIF('NHẬP ĐƠN HÀNG'!$C$6:$C$505,$B201,'NHẬP ĐƠN HÀNG'!$U$6:$U$505))</f>
        <v/>
      </c>
      <c r="M201" s="34" t="str">
        <f aca="false">IF($B201="","",IF(SUMPRODUCT(MAX(('NHẬP ĐƠN HÀNG'!$C$6:$C$505=$B201)*'NHẬP ĐƠN HÀNG'!$B$6:$B$505))=0,"",SUMPRODUCT(MAX(('NHẬP ĐƠN HÀNG'!$C$6:$C$505=$B201)*'NHẬP ĐƠN HÀNG'!$B$6:$B$505))))</f>
        <v/>
      </c>
      <c r="N201" s="16" t="str">
        <f aca="false">IF($B201="","",IF($G201=0,"Chưa có đơn",IF(COUNTIFS('NHẬP ĐƠN HÀNG'!$C$6:$C$505,$B201,'NHẬP ĐƠN HÀNG'!$N$6:$N$505,"&gt;0")&gt;0,"Có lấy VAT","Không lấy VAT")))</f>
        <v/>
      </c>
    </row>
    <row r="202" customFormat="false" ht="15" hidden="false" customHeight="false" outlineLevel="0" collapsed="false">
      <c r="A202" s="16" t="str">
        <f aca="false">IF($B202="","",197)</f>
        <v/>
      </c>
      <c r="B202" s="16" t="str">
        <f aca="false">IFERROR(INDEX('NHẬP ĐƠN HÀNG'!$C$6:$C$505,MATCH(197,'NHẬP ĐƠN HÀNG'!$AB$6:$AB$505,0)),"")</f>
        <v/>
      </c>
      <c r="C202" s="16" t="str">
        <f aca="false">IF($B202="","",IFERROR(IF(INDEX('NHẬP ĐƠN HÀNG'!$D$6:$D$505,MATCH($B202,'NHẬP ĐƠN HÀNG'!$C$6:$C$505,0))="","",INDEX('NHẬP ĐƠN HÀNG'!$D$6:$D$505,MATCH($B202,'NHẬP ĐƠN HÀNG'!$C$6:$C$505,0))),""))</f>
        <v/>
      </c>
      <c r="D202" s="16" t="str">
        <f aca="false">IF($B202="","",IFERROR(IF(INDEX('NHẬP ĐƠN HÀNG'!$E$6:$E$505,MATCH($B202,'NHẬP ĐƠN HÀNG'!$C$6:$C$505,0))="","",INDEX('NHẬP ĐƠN HÀNG'!$E$6:$E$505,MATCH($B202,'NHẬP ĐƠN HÀNG'!$C$6:$C$505,0))),""))</f>
        <v/>
      </c>
      <c r="E202" s="16" t="str">
        <f aca="false">IF($B202="","",IFERROR(IF(INDEX('NHẬP ĐƠN HÀNG'!$F$6:$F$505,MATCH($B202,'NHẬP ĐƠN HÀNG'!$C$6:$C$505,0))="","",INDEX('NHẬP ĐƠN HÀNG'!$F$6:$F$505,MATCH($B202,'NHẬP ĐƠN HÀNG'!$C$6:$C$505,0))),""))</f>
        <v/>
      </c>
      <c r="F202" s="16" t="str">
        <f aca="false">IF($B202="","",IFERROR(IF(INDEX('NHẬP ĐƠN HÀNG'!$G$6:$G$505,MATCH($B202,'NHẬP ĐƠN HÀNG'!$C$6:$C$505,0))="","",INDEX('NHẬP ĐƠN HÀNG'!$G$6:$G$505,MATCH($B202,'NHẬP ĐƠN HÀNG'!$C$6:$C$505,0))),""))</f>
        <v/>
      </c>
      <c r="G202" s="10" t="str">
        <f aca="false">IF($B202="","",COUNTIFS('NHẬP ĐƠN HÀNG'!$C$6:$C$505,$B202,'NHẬP ĐƠN HÀNG'!$L$6:$L$505,"&gt;0"))</f>
        <v/>
      </c>
      <c r="H202" s="10" t="str">
        <f aca="false">IF($B202="","",SUMIF('NHẬP ĐƠN HÀNG'!$C$6:$C$505,$B202,'NHẬP ĐƠN HÀNG'!$L$6:$L$505))</f>
        <v/>
      </c>
      <c r="I202" s="10" t="str">
        <f aca="false">IF($B202="","",SUMIF('NHẬP ĐƠN HÀNG'!$C$6:$C$505,$B202,'NHẬP ĐƠN HÀNG'!$P$6:$P$505))</f>
        <v/>
      </c>
      <c r="J202" s="10" t="str">
        <f aca="false">IF($B202="","",SUMIF('NHẬP ĐƠN HÀNG'!$C$6:$C$505,$B202,'NHẬP ĐƠN HÀNG'!$Q$6:$Q$505))</f>
        <v/>
      </c>
      <c r="K202" s="10" t="str">
        <f aca="false">IF($B202="","",SUMIF('NHẬP ĐƠN HÀNG'!$C$6:$C$505,$B202,'NHẬP ĐƠN HÀNG'!$R$6:$R$505))</f>
        <v/>
      </c>
      <c r="L202" s="10" t="str">
        <f aca="false">IF($B202="","",SUMIF('NHẬP ĐƠN HÀNG'!$C$6:$C$505,$B202,'NHẬP ĐƠN HÀNG'!$U$6:$U$505))</f>
        <v/>
      </c>
      <c r="M202" s="34" t="str">
        <f aca="false">IF($B202="","",IF(SUMPRODUCT(MAX(('NHẬP ĐƠN HÀNG'!$C$6:$C$505=$B202)*'NHẬP ĐƠN HÀNG'!$B$6:$B$505))=0,"",SUMPRODUCT(MAX(('NHẬP ĐƠN HÀNG'!$C$6:$C$505=$B202)*'NHẬP ĐƠN HÀNG'!$B$6:$B$505))))</f>
        <v/>
      </c>
      <c r="N202" s="16" t="str">
        <f aca="false">IF($B202="","",IF($G202=0,"Chưa có đơn",IF(COUNTIFS('NHẬP ĐƠN HÀNG'!$C$6:$C$505,$B202,'NHẬP ĐƠN HÀNG'!$N$6:$N$505,"&gt;0")&gt;0,"Có lấy VAT","Không lấy VAT")))</f>
        <v/>
      </c>
    </row>
    <row r="203" customFormat="false" ht="15" hidden="false" customHeight="false" outlineLevel="0" collapsed="false">
      <c r="A203" s="16" t="str">
        <f aca="false">IF($B203="","",198)</f>
        <v/>
      </c>
      <c r="B203" s="16" t="str">
        <f aca="false">IFERROR(INDEX('NHẬP ĐƠN HÀNG'!$C$6:$C$505,MATCH(198,'NHẬP ĐƠN HÀNG'!$AB$6:$AB$505,0)),"")</f>
        <v/>
      </c>
      <c r="C203" s="16" t="str">
        <f aca="false">IF($B203="","",IFERROR(IF(INDEX('NHẬP ĐƠN HÀNG'!$D$6:$D$505,MATCH($B203,'NHẬP ĐƠN HÀNG'!$C$6:$C$505,0))="","",INDEX('NHẬP ĐƠN HÀNG'!$D$6:$D$505,MATCH($B203,'NHẬP ĐƠN HÀNG'!$C$6:$C$505,0))),""))</f>
        <v/>
      </c>
      <c r="D203" s="16" t="str">
        <f aca="false">IF($B203="","",IFERROR(IF(INDEX('NHẬP ĐƠN HÀNG'!$E$6:$E$505,MATCH($B203,'NHẬP ĐƠN HÀNG'!$C$6:$C$505,0))="","",INDEX('NHẬP ĐƠN HÀNG'!$E$6:$E$505,MATCH($B203,'NHẬP ĐƠN HÀNG'!$C$6:$C$505,0))),""))</f>
        <v/>
      </c>
      <c r="E203" s="16" t="str">
        <f aca="false">IF($B203="","",IFERROR(IF(INDEX('NHẬP ĐƠN HÀNG'!$F$6:$F$505,MATCH($B203,'NHẬP ĐƠN HÀNG'!$C$6:$C$505,0))="","",INDEX('NHẬP ĐƠN HÀNG'!$F$6:$F$505,MATCH($B203,'NHẬP ĐƠN HÀNG'!$C$6:$C$505,0))),""))</f>
        <v/>
      </c>
      <c r="F203" s="16" t="str">
        <f aca="false">IF($B203="","",IFERROR(IF(INDEX('NHẬP ĐƠN HÀNG'!$G$6:$G$505,MATCH($B203,'NHẬP ĐƠN HÀNG'!$C$6:$C$505,0))="","",INDEX('NHẬP ĐƠN HÀNG'!$G$6:$G$505,MATCH($B203,'NHẬP ĐƠN HÀNG'!$C$6:$C$505,0))),""))</f>
        <v/>
      </c>
      <c r="G203" s="10" t="str">
        <f aca="false">IF($B203="","",COUNTIFS('NHẬP ĐƠN HÀNG'!$C$6:$C$505,$B203,'NHẬP ĐƠN HÀNG'!$L$6:$L$505,"&gt;0"))</f>
        <v/>
      </c>
      <c r="H203" s="10" t="str">
        <f aca="false">IF($B203="","",SUMIF('NHẬP ĐƠN HÀNG'!$C$6:$C$505,$B203,'NHẬP ĐƠN HÀNG'!$L$6:$L$505))</f>
        <v/>
      </c>
      <c r="I203" s="10" t="str">
        <f aca="false">IF($B203="","",SUMIF('NHẬP ĐƠN HÀNG'!$C$6:$C$505,$B203,'NHẬP ĐƠN HÀNG'!$P$6:$P$505))</f>
        <v/>
      </c>
      <c r="J203" s="10" t="str">
        <f aca="false">IF($B203="","",SUMIF('NHẬP ĐƠN HÀNG'!$C$6:$C$505,$B203,'NHẬP ĐƠN HÀNG'!$Q$6:$Q$505))</f>
        <v/>
      </c>
      <c r="K203" s="10" t="str">
        <f aca="false">IF($B203="","",SUMIF('NHẬP ĐƠN HÀNG'!$C$6:$C$505,$B203,'NHẬP ĐƠN HÀNG'!$R$6:$R$505))</f>
        <v/>
      </c>
      <c r="L203" s="10" t="str">
        <f aca="false">IF($B203="","",SUMIF('NHẬP ĐƠN HÀNG'!$C$6:$C$505,$B203,'NHẬP ĐƠN HÀNG'!$U$6:$U$505))</f>
        <v/>
      </c>
      <c r="M203" s="34" t="str">
        <f aca="false">IF($B203="","",IF(SUMPRODUCT(MAX(('NHẬP ĐƠN HÀNG'!$C$6:$C$505=$B203)*'NHẬP ĐƠN HÀNG'!$B$6:$B$505))=0,"",SUMPRODUCT(MAX(('NHẬP ĐƠN HÀNG'!$C$6:$C$505=$B203)*'NHẬP ĐƠN HÀNG'!$B$6:$B$505))))</f>
        <v/>
      </c>
      <c r="N203" s="16" t="str">
        <f aca="false">IF($B203="","",IF($G203=0,"Chưa có đơn",IF(COUNTIFS('NHẬP ĐƠN HÀNG'!$C$6:$C$505,$B203,'NHẬP ĐƠN HÀNG'!$N$6:$N$505,"&gt;0")&gt;0,"Có lấy VAT","Không lấy VAT")))</f>
        <v/>
      </c>
    </row>
    <row r="204" customFormat="false" ht="15" hidden="false" customHeight="false" outlineLevel="0" collapsed="false">
      <c r="A204" s="16" t="str">
        <f aca="false">IF($B204="","",199)</f>
        <v/>
      </c>
      <c r="B204" s="16" t="str">
        <f aca="false">IFERROR(INDEX('NHẬP ĐƠN HÀNG'!$C$6:$C$505,MATCH(199,'NHẬP ĐƠN HÀNG'!$AB$6:$AB$505,0)),"")</f>
        <v/>
      </c>
      <c r="C204" s="16" t="str">
        <f aca="false">IF($B204="","",IFERROR(IF(INDEX('NHẬP ĐƠN HÀNG'!$D$6:$D$505,MATCH($B204,'NHẬP ĐƠN HÀNG'!$C$6:$C$505,0))="","",INDEX('NHẬP ĐƠN HÀNG'!$D$6:$D$505,MATCH($B204,'NHẬP ĐƠN HÀNG'!$C$6:$C$505,0))),""))</f>
        <v/>
      </c>
      <c r="D204" s="16" t="str">
        <f aca="false">IF($B204="","",IFERROR(IF(INDEX('NHẬP ĐƠN HÀNG'!$E$6:$E$505,MATCH($B204,'NHẬP ĐƠN HÀNG'!$C$6:$C$505,0))="","",INDEX('NHẬP ĐƠN HÀNG'!$E$6:$E$505,MATCH($B204,'NHẬP ĐƠN HÀNG'!$C$6:$C$505,0))),""))</f>
        <v/>
      </c>
      <c r="E204" s="16" t="str">
        <f aca="false">IF($B204="","",IFERROR(IF(INDEX('NHẬP ĐƠN HÀNG'!$F$6:$F$505,MATCH($B204,'NHẬP ĐƠN HÀNG'!$C$6:$C$505,0))="","",INDEX('NHẬP ĐƠN HÀNG'!$F$6:$F$505,MATCH($B204,'NHẬP ĐƠN HÀNG'!$C$6:$C$505,0))),""))</f>
        <v/>
      </c>
      <c r="F204" s="16" t="str">
        <f aca="false">IF($B204="","",IFERROR(IF(INDEX('NHẬP ĐƠN HÀNG'!$G$6:$G$505,MATCH($B204,'NHẬP ĐƠN HÀNG'!$C$6:$C$505,0))="","",INDEX('NHẬP ĐƠN HÀNG'!$G$6:$G$505,MATCH($B204,'NHẬP ĐƠN HÀNG'!$C$6:$C$505,0))),""))</f>
        <v/>
      </c>
      <c r="G204" s="10" t="str">
        <f aca="false">IF($B204="","",COUNTIFS('NHẬP ĐƠN HÀNG'!$C$6:$C$505,$B204,'NHẬP ĐƠN HÀNG'!$L$6:$L$505,"&gt;0"))</f>
        <v/>
      </c>
      <c r="H204" s="10" t="str">
        <f aca="false">IF($B204="","",SUMIF('NHẬP ĐƠN HÀNG'!$C$6:$C$505,$B204,'NHẬP ĐƠN HÀNG'!$L$6:$L$505))</f>
        <v/>
      </c>
      <c r="I204" s="10" t="str">
        <f aca="false">IF($B204="","",SUMIF('NHẬP ĐƠN HÀNG'!$C$6:$C$505,$B204,'NHẬP ĐƠN HÀNG'!$P$6:$P$505))</f>
        <v/>
      </c>
      <c r="J204" s="10" t="str">
        <f aca="false">IF($B204="","",SUMIF('NHẬP ĐƠN HÀNG'!$C$6:$C$505,$B204,'NHẬP ĐƠN HÀNG'!$Q$6:$Q$505))</f>
        <v/>
      </c>
      <c r="K204" s="10" t="str">
        <f aca="false">IF($B204="","",SUMIF('NHẬP ĐƠN HÀNG'!$C$6:$C$505,$B204,'NHẬP ĐƠN HÀNG'!$R$6:$R$505))</f>
        <v/>
      </c>
      <c r="L204" s="10" t="str">
        <f aca="false">IF($B204="","",SUMIF('NHẬP ĐƠN HÀNG'!$C$6:$C$505,$B204,'NHẬP ĐƠN HÀNG'!$U$6:$U$505))</f>
        <v/>
      </c>
      <c r="M204" s="34" t="str">
        <f aca="false">IF($B204="","",IF(SUMPRODUCT(MAX(('NHẬP ĐƠN HÀNG'!$C$6:$C$505=$B204)*'NHẬP ĐƠN HÀNG'!$B$6:$B$505))=0,"",SUMPRODUCT(MAX(('NHẬP ĐƠN HÀNG'!$C$6:$C$505=$B204)*'NHẬP ĐƠN HÀNG'!$B$6:$B$505))))</f>
        <v/>
      </c>
      <c r="N204" s="16" t="str">
        <f aca="false">IF($B204="","",IF($G204=0,"Chưa có đơn",IF(COUNTIFS('NHẬP ĐƠN HÀNG'!$C$6:$C$505,$B204,'NHẬP ĐƠN HÀNG'!$N$6:$N$505,"&gt;0")&gt;0,"Có lấy VAT","Không lấy VAT")))</f>
        <v/>
      </c>
    </row>
    <row r="205" customFormat="false" ht="15" hidden="false" customHeight="false" outlineLevel="0" collapsed="false">
      <c r="A205" s="16" t="str">
        <f aca="false">IF($B205="","",200)</f>
        <v/>
      </c>
      <c r="B205" s="16" t="str">
        <f aca="false">IFERROR(INDEX('NHẬP ĐƠN HÀNG'!$C$6:$C$505,MATCH(200,'NHẬP ĐƠN HÀNG'!$AB$6:$AB$505,0)),"")</f>
        <v/>
      </c>
      <c r="C205" s="16" t="str">
        <f aca="false">IF($B205="","",IFERROR(IF(INDEX('NHẬP ĐƠN HÀNG'!$D$6:$D$505,MATCH($B205,'NHẬP ĐƠN HÀNG'!$C$6:$C$505,0))="","",INDEX('NHẬP ĐƠN HÀNG'!$D$6:$D$505,MATCH($B205,'NHẬP ĐƠN HÀNG'!$C$6:$C$505,0))),""))</f>
        <v/>
      </c>
      <c r="D205" s="16" t="str">
        <f aca="false">IF($B205="","",IFERROR(IF(INDEX('NHẬP ĐƠN HÀNG'!$E$6:$E$505,MATCH($B205,'NHẬP ĐƠN HÀNG'!$C$6:$C$505,0))="","",INDEX('NHẬP ĐƠN HÀNG'!$E$6:$E$505,MATCH($B205,'NHẬP ĐƠN HÀNG'!$C$6:$C$505,0))),""))</f>
        <v/>
      </c>
      <c r="E205" s="16" t="str">
        <f aca="false">IF($B205="","",IFERROR(IF(INDEX('NHẬP ĐƠN HÀNG'!$F$6:$F$505,MATCH($B205,'NHẬP ĐƠN HÀNG'!$C$6:$C$505,0))="","",INDEX('NHẬP ĐƠN HÀNG'!$F$6:$F$505,MATCH($B205,'NHẬP ĐƠN HÀNG'!$C$6:$C$505,0))),""))</f>
        <v/>
      </c>
      <c r="F205" s="16" t="str">
        <f aca="false">IF($B205="","",IFERROR(IF(INDEX('NHẬP ĐƠN HÀNG'!$G$6:$G$505,MATCH($B205,'NHẬP ĐƠN HÀNG'!$C$6:$C$505,0))="","",INDEX('NHẬP ĐƠN HÀNG'!$G$6:$G$505,MATCH($B205,'NHẬP ĐƠN HÀNG'!$C$6:$C$505,0))),""))</f>
        <v/>
      </c>
      <c r="G205" s="10" t="str">
        <f aca="false">IF($B205="","",COUNTIFS('NHẬP ĐƠN HÀNG'!$C$6:$C$505,$B205,'NHẬP ĐƠN HÀNG'!$L$6:$L$505,"&gt;0"))</f>
        <v/>
      </c>
      <c r="H205" s="10" t="str">
        <f aca="false">IF($B205="","",SUMIF('NHẬP ĐƠN HÀNG'!$C$6:$C$505,$B205,'NHẬP ĐƠN HÀNG'!$L$6:$L$505))</f>
        <v/>
      </c>
      <c r="I205" s="10" t="str">
        <f aca="false">IF($B205="","",SUMIF('NHẬP ĐƠN HÀNG'!$C$6:$C$505,$B205,'NHẬP ĐƠN HÀNG'!$P$6:$P$505))</f>
        <v/>
      </c>
      <c r="J205" s="10" t="str">
        <f aca="false">IF($B205="","",SUMIF('NHẬP ĐƠN HÀNG'!$C$6:$C$505,$B205,'NHẬP ĐƠN HÀNG'!$Q$6:$Q$505))</f>
        <v/>
      </c>
      <c r="K205" s="10" t="str">
        <f aca="false">IF($B205="","",SUMIF('NHẬP ĐƠN HÀNG'!$C$6:$C$505,$B205,'NHẬP ĐƠN HÀNG'!$R$6:$R$505))</f>
        <v/>
      </c>
      <c r="L205" s="10" t="str">
        <f aca="false">IF($B205="","",SUMIF('NHẬP ĐƠN HÀNG'!$C$6:$C$505,$B205,'NHẬP ĐƠN HÀNG'!$U$6:$U$505))</f>
        <v/>
      </c>
      <c r="M205" s="34" t="str">
        <f aca="false">IF($B205="","",IF(SUMPRODUCT(MAX(('NHẬP ĐƠN HÀNG'!$C$6:$C$505=$B205)*'NHẬP ĐƠN HÀNG'!$B$6:$B$505))=0,"",SUMPRODUCT(MAX(('NHẬP ĐƠN HÀNG'!$C$6:$C$505=$B205)*'NHẬP ĐƠN HÀNG'!$B$6:$B$505))))</f>
        <v/>
      </c>
      <c r="N205" s="16" t="str">
        <f aca="false">IF($B205="","",IF($G205=0,"Chưa có đơn",IF(COUNTIFS('NHẬP ĐƠN HÀNG'!$C$6:$C$505,$B205,'NHẬP ĐƠN HÀNG'!$N$6:$N$505,"&gt;0")&gt;0,"Có lấy VAT","Không lấy VAT")))</f>
        <v/>
      </c>
    </row>
  </sheetData>
  <autoFilter ref="A5:N205"/>
  <mergeCells count="2">
    <mergeCell ref="A1:N1"/>
    <mergeCell ref="A2:N2"/>
  </mergeCells>
  <conditionalFormatting sqref="K6:K205">
    <cfRule type="cellIs" priority="2" operator="greaterThan" aboveAverage="0" equalAverage="0" bottom="0" percent="0" rank="0" text="" dxfId="1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L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32"/>
    <col collapsed="false" customWidth="true" hidden="false" outlineLevel="0" max="6" min="6" style="0" width="10"/>
    <col collapsed="false" customWidth="true" hidden="false" outlineLevel="0" max="8" min="7" style="0" width="17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30"/>
    <col collapsed="false" customWidth="true" hidden="true" outlineLevel="0" max="12" min="12" style="0" width="13"/>
  </cols>
  <sheetData>
    <row r="1" customFormat="false" ht="30" hidden="false" customHeight="true" outlineLevel="0" collapsed="false">
      <c r="A1" s="1" t="s">
        <v>165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166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6.15" hidden="false" customHeight="false" outlineLevel="0" collapsed="false">
      <c r="A3" s="20" t="s">
        <v>167</v>
      </c>
      <c r="B3" s="35" t="n">
        <f aca="false">SUM('NHẬP ĐƠN HÀNG'!$R$6:$R$505)</f>
        <v>9281200</v>
      </c>
      <c r="C3" s="20" t="s">
        <v>168</v>
      </c>
      <c r="D3" s="35" t="n">
        <f aca="false">COUNTIF('NHẬP ĐƠN HÀNG'!$R$6:$R$505,"&gt;0")</f>
        <v>4</v>
      </c>
    </row>
    <row r="5" customFormat="false" ht="33.75" hidden="false" customHeight="true" outlineLevel="0" collapsed="false">
      <c r="A5" s="7" t="s">
        <v>92</v>
      </c>
      <c r="B5" s="7" t="s">
        <v>93</v>
      </c>
      <c r="C5" s="7" t="s">
        <v>94</v>
      </c>
      <c r="D5" s="7" t="s">
        <v>95</v>
      </c>
      <c r="E5" s="7" t="s">
        <v>55</v>
      </c>
      <c r="F5" s="7" t="s">
        <v>99</v>
      </c>
      <c r="G5" s="7" t="s">
        <v>88</v>
      </c>
      <c r="H5" s="7" t="s">
        <v>104</v>
      </c>
      <c r="I5" s="7" t="s">
        <v>90</v>
      </c>
      <c r="J5" s="7" t="s">
        <v>169</v>
      </c>
      <c r="K5" s="7" t="s">
        <v>61</v>
      </c>
    </row>
    <row r="6" customFormat="false" ht="15" hidden="false" customHeight="false" outlineLevel="0" collapsed="false">
      <c r="A6" s="16" t="n">
        <f aca="false">IF($L6="","",1)</f>
        <v>1</v>
      </c>
      <c r="B6" s="34" t="str">
        <f aca="false">IF($L6="","",IF(INDEX('NHẬP ĐƠN HÀNG'!$B$6:$B$505,$L6)="","",INDEX('NHẬP ĐƠN HÀNG'!$B$6:$B$505,$L6)))</f>
        <v/>
      </c>
      <c r="C6" s="16" t="str">
        <f aca="false">IF($L6="","",IF(INDEX('NHẬP ĐƠN HÀNG'!$C$6:$C$505,$L6)="","",INDEX('NHẬP ĐƠN HÀNG'!$C$6:$C$505,$L6)))</f>
        <v>BGB - GẤU TỐT NGHIỆP AMES EL</v>
      </c>
      <c r="D6" s="16" t="str">
        <f aca="false">IF($L6="","",IF(INDEX('NHẬP ĐƠN HÀNG'!$D$6:$D$505,$L6)="","",INDEX('NHẬP ĐƠN HÀNG'!$D$6:$D$505,$L6)))</f>
        <v>0865895498</v>
      </c>
      <c r="E6" s="16" t="str">
        <f aca="false">IF($L6="","",IF(INDEX('NHẬP ĐƠN HÀNG'!$H$6:$H$505,$L6)="","",INDEX('NHẬP ĐƠN HÀNG'!$H$6:$H$505,$L6)))</f>
        <v>GẤU TỐT NGHIỆP</v>
      </c>
      <c r="F6" s="10" t="n">
        <f aca="false">IF($L6="","",N(INDEX('NHẬP ĐƠN HÀNG'!$I$6:$I$505,$L6)))</f>
        <v>20</v>
      </c>
      <c r="G6" s="10" t="n">
        <f aca="false">IF($L6="","",N(INDEX('NHẬP ĐƠN HÀNG'!$P$6:$P$505,$L6)))</f>
        <v>1231200</v>
      </c>
      <c r="H6" s="10" t="n">
        <f aca="false">IF($L6="","",N(INDEX('NHẬP ĐƠN HÀNG'!$Q$6:$Q$505,$L6)))</f>
        <v>0</v>
      </c>
      <c r="I6" s="10" t="n">
        <f aca="false">IF($L6="","",N(INDEX('NHẬP ĐƠN HÀNG'!$R$6:$R$505,$L6)))</f>
        <v>1231200</v>
      </c>
      <c r="J6" s="10" t="str">
        <f aca="true">IF(OR($L6="",$B6=""),"",MAX(0,TODAY()-$B6))</f>
        <v/>
      </c>
      <c r="K6" s="16" t="str">
        <f aca="false">IF($L6="","",IF(INDEX('NHẬP ĐƠN HÀNG'!$W$6:$W$505,$L6)="","",INDEX('NHẬP ĐƠN HÀNG'!$W$6:$W$505,$L6)))</f>
        <v>Chuyển từ file cũ (DH-000003) – file cũ THIẾU NGÀY ĐẶT, vui lòng bổ sung</v>
      </c>
      <c r="L6" s="36" t="n">
        <f aca="false">IFERROR(MATCH(1,'NHẬP ĐƠN HÀNG'!$Y$6:$Y$505,0),"")</f>
        <v>1</v>
      </c>
    </row>
    <row r="7" customFormat="false" ht="15" hidden="false" customHeight="false" outlineLevel="0" collapsed="false">
      <c r="A7" s="16" t="n">
        <f aca="false">IF($L7="","",2)</f>
        <v>2</v>
      </c>
      <c r="B7" s="34" t="n">
        <f aca="false">IF($L7="","",IF(INDEX('NHẬP ĐƠN HÀNG'!$B$6:$B$505,$L7)="","",INDEX('NHẬP ĐƠN HÀNG'!$B$6:$B$505,$L7)))</f>
        <v>46224</v>
      </c>
      <c r="C7" s="16" t="str">
        <f aca="false">IF($L7="","",IF(INDEX('NHẬP ĐƠN HÀNG'!$C$6:$C$505,$L7)="","",INDEX('NHẬP ĐƠN HÀNG'!$C$6:$C$505,$L7)))</f>
        <v>NGUYỆT ANH</v>
      </c>
      <c r="D7" s="16" t="str">
        <f aca="false">IF($L7="","",IF(INDEX('NHẬP ĐƠN HÀNG'!$D$6:$D$505,$L7)="","",INDEX('NHẬP ĐƠN HÀNG'!$D$6:$D$505,$L7)))</f>
        <v>0914121088</v>
      </c>
      <c r="E7" s="16" t="str">
        <f aca="false">IF($L7="","",IF(INDEX('NHẬP ĐƠN HÀNG'!$H$6:$H$505,$L7)="","",INDEX('NHẬP ĐƠN HÀNG'!$H$6:$H$505,$L7)))</f>
        <v>GẤU TEDDY 25CM TRẮNG</v>
      </c>
      <c r="F7" s="10" t="n">
        <f aca="false">IF($L7="","",N(INDEX('NHẬP ĐƠN HÀNG'!$I$6:$I$505,$L7)))</f>
        <v>130</v>
      </c>
      <c r="G7" s="10" t="n">
        <f aca="false">IF($L7="","",N(INDEX('NHẬP ĐƠN HÀNG'!$P$6:$P$505,$L7)))</f>
        <v>6240000</v>
      </c>
      <c r="H7" s="10" t="n">
        <f aca="false">IF($L7="","",N(INDEX('NHẬP ĐƠN HÀNG'!$Q$6:$Q$505,$L7)))</f>
        <v>3110000</v>
      </c>
      <c r="I7" s="10" t="n">
        <f aca="false">IF($L7="","",N(INDEX('NHẬP ĐƠN HÀNG'!$R$6:$R$505,$L7)))</f>
        <v>3130000</v>
      </c>
      <c r="J7" s="10" t="n">
        <f aca="true">IF(OR($L7="",$B7=""),"",MAX(0,TODAY()-$B7))</f>
        <v>12</v>
      </c>
      <c r="K7" s="16" t="str">
        <f aca="false">IF($L7="","",IF(INDEX('NHẬP ĐƠN HÀNG'!$W$6:$W$505,$L7)="","",INDEX('NHẬP ĐƠN HÀNG'!$W$6:$W$505,$L7)))</f>
        <v>Chuyển từ file cũ (DH-000006)</v>
      </c>
      <c r="L7" s="36" t="n">
        <f aca="false">IFERROR(MATCH(2,'NHẬP ĐƠN HÀNG'!$Y$6:$Y$505,0),"")</f>
        <v>2</v>
      </c>
    </row>
    <row r="8" customFormat="false" ht="15" hidden="false" customHeight="false" outlineLevel="0" collapsed="false">
      <c r="A8" s="16" t="n">
        <f aca="false">IF($L8="","",3)</f>
        <v>3</v>
      </c>
      <c r="B8" s="34" t="n">
        <f aca="false">IF($L8="","",IF(INDEX('NHẬP ĐƠN HÀNG'!$B$6:$B$505,$L8)="","",INDEX('NHẬP ĐƠN HÀNG'!$B$6:$B$505,$L8)))</f>
        <v>46224</v>
      </c>
      <c r="C8" s="16" t="str">
        <f aca="false">IF($L8="","",IF(INDEX('NHẬP ĐƠN HÀNG'!$C$6:$C$505,$L8)="","",INDEX('NHẬP ĐƠN HÀNG'!$C$6:$C$505,$L8)))</f>
        <v>KH-0007 (file cũ chưa có tên)</v>
      </c>
      <c r="D8" s="16" t="str">
        <f aca="false">IF($L8="","",IF(INDEX('NHẬP ĐƠN HÀNG'!$D$6:$D$505,$L8)="","",INDEX('NHẬP ĐƠN HÀNG'!$D$6:$D$505,$L8)))</f>
        <v/>
      </c>
      <c r="E8" s="16" t="str">
        <f aca="false">IF($L8="","",IF(INDEX('NHẬP ĐƠN HÀNG'!$H$6:$H$505,$L8)="","",INDEX('NHẬP ĐƠN HÀNG'!$H$6:$H$505,$L8)))</f>
        <v>GỐI ÔM CỎ</v>
      </c>
      <c r="F8" s="10" t="n">
        <f aca="false">IF($L8="","",N(INDEX('NHẬP ĐƠN HÀNG'!$I$6:$I$505,$L8)))</f>
        <v>80</v>
      </c>
      <c r="G8" s="10" t="n">
        <f aca="false">IF($L8="","",N(INDEX('NHẬP ĐƠN HÀNG'!$P$6:$P$505,$L8)))</f>
        <v>4160000</v>
      </c>
      <c r="H8" s="10" t="n">
        <f aca="false">IF($L8="","",N(INDEX('NHẬP ĐƠN HÀNG'!$Q$6:$Q$505,$L8)))</f>
        <v>1500000</v>
      </c>
      <c r="I8" s="10" t="n">
        <f aca="false">IF($L8="","",N(INDEX('NHẬP ĐƠN HÀNG'!$R$6:$R$505,$L8)))</f>
        <v>2660000</v>
      </c>
      <c r="J8" s="10" t="n">
        <f aca="true">IF(OR($L8="",$B8=""),"",MAX(0,TODAY()-$B8))</f>
        <v>12</v>
      </c>
      <c r="K8" s="16" t="str">
        <f aca="false">IF($L8="","",IF(INDEX('NHẬP ĐƠN HÀNG'!$W$6:$W$505,$L8)="","",INDEX('NHẬP ĐƠN HÀNG'!$W$6:$W$505,$L8)))</f>
        <v>Chuyển từ file cũ (DH-000007) – bổ sung tên và SĐT khách</v>
      </c>
      <c r="L8" s="36" t="n">
        <f aca="false">IFERROR(MATCH(3,'NHẬP ĐƠN HÀNG'!$Y$6:$Y$505,0),"")</f>
        <v>3</v>
      </c>
    </row>
    <row r="9" customFormat="false" ht="15" hidden="false" customHeight="false" outlineLevel="0" collapsed="false">
      <c r="A9" s="16" t="n">
        <f aca="false">IF($L9="","",4)</f>
        <v>4</v>
      </c>
      <c r="B9" s="34" t="n">
        <f aca="false">IF($L9="","",IF(INDEX('NHẬP ĐƠN HÀNG'!$B$6:$B$505,$L9)="","",INDEX('NHẬP ĐƠN HÀNG'!$B$6:$B$505,$L9)))</f>
        <v>46224</v>
      </c>
      <c r="C9" s="16" t="str">
        <f aca="false">IF($L9="","",IF(INDEX('NHẬP ĐƠN HÀNG'!$C$6:$C$505,$L9)="","",INDEX('NHẬP ĐƠN HÀNG'!$C$6:$C$505,$L9)))</f>
        <v>KH-007 (file cũ chưa có tên)</v>
      </c>
      <c r="D9" s="16" t="str">
        <f aca="false">IF($L9="","",IF(INDEX('NHẬP ĐƠN HÀNG'!$D$6:$D$505,$L9)="","",INDEX('NHẬP ĐƠN HÀNG'!$D$6:$D$505,$L9)))</f>
        <v/>
      </c>
      <c r="E9" s="16" t="str">
        <f aca="false">IF($L9="","",IF(INDEX('NHẬP ĐƠN HÀNG'!$H$6:$H$505,$L9)="","",INDEX('NHẬP ĐƠN HÀNG'!$H$6:$H$505,$L9)))</f>
        <v>GẤU TEDDY 25CM TRẮNG</v>
      </c>
      <c r="F9" s="10" t="n">
        <f aca="false">IF($L9="","",N(INDEX('NHẬP ĐƠN HÀNG'!$I$6:$I$505,$L9)))</f>
        <v>80</v>
      </c>
      <c r="G9" s="10" t="n">
        <f aca="false">IF($L9="","",N(INDEX('NHẬP ĐƠN HÀNG'!$P$6:$P$505,$L9)))</f>
        <v>3760000</v>
      </c>
      <c r="H9" s="10" t="n">
        <f aca="false">IF($L9="","",N(INDEX('NHẬP ĐƠN HÀNG'!$Q$6:$Q$505,$L9)))</f>
        <v>1500000</v>
      </c>
      <c r="I9" s="10" t="n">
        <f aca="false">IF($L9="","",N(INDEX('NHẬP ĐƠN HÀNG'!$R$6:$R$505,$L9)))</f>
        <v>2260000</v>
      </c>
      <c r="J9" s="10" t="n">
        <f aca="true">IF(OR($L9="",$B9=""),"",MAX(0,TODAY()-$B9))</f>
        <v>12</v>
      </c>
      <c r="K9" s="16" t="str">
        <f aca="false">IF($L9="","",IF(INDEX('NHẬP ĐƠN HÀNG'!$W$6:$W$505,$L9)="","",INDEX('NHẬP ĐƠN HÀNG'!$W$6:$W$505,$L9)))</f>
        <v>Chuyển từ file cũ (DH-000008) – bổ sung tên và SĐT khách</v>
      </c>
      <c r="L9" s="36" t="n">
        <f aca="false">IFERROR(MATCH(4,'NHẬP ĐƠN HÀNG'!$Y$6:$Y$505,0),"")</f>
        <v>4</v>
      </c>
    </row>
    <row r="10" customFormat="false" ht="15" hidden="false" customHeight="false" outlineLevel="0" collapsed="false">
      <c r="A10" s="16" t="str">
        <f aca="false">IF($L10="","",5)</f>
        <v/>
      </c>
      <c r="B10" s="34" t="str">
        <f aca="false">IF($L10="","",IF(INDEX('NHẬP ĐƠN HÀNG'!$B$6:$B$505,$L10)="","",INDEX('NHẬP ĐƠN HÀNG'!$B$6:$B$505,$L10)))</f>
        <v/>
      </c>
      <c r="C10" s="16" t="str">
        <f aca="false">IF($L10="","",IF(INDEX('NHẬP ĐƠN HÀNG'!$C$6:$C$505,$L10)="","",INDEX('NHẬP ĐƠN HÀNG'!$C$6:$C$505,$L10)))</f>
        <v/>
      </c>
      <c r="D10" s="16" t="str">
        <f aca="false">IF($L10="","",IF(INDEX('NHẬP ĐƠN HÀNG'!$D$6:$D$505,$L10)="","",INDEX('NHẬP ĐƠN HÀNG'!$D$6:$D$505,$L10)))</f>
        <v/>
      </c>
      <c r="E10" s="16" t="str">
        <f aca="false">IF($L10="","",IF(INDEX('NHẬP ĐƠN HÀNG'!$H$6:$H$505,$L10)="","",INDEX('NHẬP ĐƠN HÀNG'!$H$6:$H$505,$L10)))</f>
        <v/>
      </c>
      <c r="F10" s="10" t="str">
        <f aca="false">IF($L10="","",N(INDEX('NHẬP ĐƠN HÀNG'!$I$6:$I$505,$L10)))</f>
        <v/>
      </c>
      <c r="G10" s="10" t="str">
        <f aca="false">IF($L10="","",N(INDEX('NHẬP ĐƠN HÀNG'!$P$6:$P$505,$L10)))</f>
        <v/>
      </c>
      <c r="H10" s="10" t="str">
        <f aca="false">IF($L10="","",N(INDEX('NHẬP ĐƠN HÀNG'!$Q$6:$Q$505,$L10)))</f>
        <v/>
      </c>
      <c r="I10" s="10" t="str">
        <f aca="false">IF($L10="","",N(INDEX('NHẬP ĐƠN HÀNG'!$R$6:$R$505,$L10)))</f>
        <v/>
      </c>
      <c r="J10" s="10" t="str">
        <f aca="true">IF(OR($L10="",$B10=""),"",MAX(0,TODAY()-$B10))</f>
        <v/>
      </c>
      <c r="K10" s="16" t="str">
        <f aca="false">IF($L10="","",IF(INDEX('NHẬP ĐƠN HÀNG'!$W$6:$W$505,$L10)="","",INDEX('NHẬP ĐƠN HÀNG'!$W$6:$W$505,$L10)))</f>
        <v/>
      </c>
      <c r="L10" s="0" t="str">
        <f aca="false">IFERROR(MATCH(5,'NHẬP ĐƠN HÀNG'!$Y$6:$Y$505,0),"")</f>
        <v/>
      </c>
    </row>
    <row r="11" customFormat="false" ht="15" hidden="false" customHeight="false" outlineLevel="0" collapsed="false">
      <c r="A11" s="16" t="str">
        <f aca="false">IF($L11="","",6)</f>
        <v/>
      </c>
      <c r="B11" s="34" t="str">
        <f aca="false">IF($L11="","",IF(INDEX('NHẬP ĐƠN HÀNG'!$B$6:$B$505,$L11)="","",INDEX('NHẬP ĐƠN HÀNG'!$B$6:$B$505,$L11)))</f>
        <v/>
      </c>
      <c r="C11" s="16" t="str">
        <f aca="false">IF($L11="","",IF(INDEX('NHẬP ĐƠN HÀNG'!$C$6:$C$505,$L11)="","",INDEX('NHẬP ĐƠN HÀNG'!$C$6:$C$505,$L11)))</f>
        <v/>
      </c>
      <c r="D11" s="16" t="str">
        <f aca="false">IF($L11="","",IF(INDEX('NHẬP ĐƠN HÀNG'!$D$6:$D$505,$L11)="","",INDEX('NHẬP ĐƠN HÀNG'!$D$6:$D$505,$L11)))</f>
        <v/>
      </c>
      <c r="E11" s="16" t="str">
        <f aca="false">IF($L11="","",IF(INDEX('NHẬP ĐƠN HÀNG'!$H$6:$H$505,$L11)="","",INDEX('NHẬP ĐƠN HÀNG'!$H$6:$H$505,$L11)))</f>
        <v/>
      </c>
      <c r="F11" s="10" t="str">
        <f aca="false">IF($L11="","",N(INDEX('NHẬP ĐƠN HÀNG'!$I$6:$I$505,$L11)))</f>
        <v/>
      </c>
      <c r="G11" s="10" t="str">
        <f aca="false">IF($L11="","",N(INDEX('NHẬP ĐƠN HÀNG'!$P$6:$P$505,$L11)))</f>
        <v/>
      </c>
      <c r="H11" s="10" t="str">
        <f aca="false">IF($L11="","",N(INDEX('NHẬP ĐƠN HÀNG'!$Q$6:$Q$505,$L11)))</f>
        <v/>
      </c>
      <c r="I11" s="10" t="str">
        <f aca="false">IF($L11="","",N(INDEX('NHẬP ĐƠN HÀNG'!$R$6:$R$505,$L11)))</f>
        <v/>
      </c>
      <c r="J11" s="10" t="str">
        <f aca="true">IF(OR($L11="",$B11=""),"",MAX(0,TODAY()-$B11))</f>
        <v/>
      </c>
      <c r="K11" s="16" t="str">
        <f aca="false">IF($L11="","",IF(INDEX('NHẬP ĐƠN HÀNG'!$W$6:$W$505,$L11)="","",INDEX('NHẬP ĐƠN HÀNG'!$W$6:$W$505,$L11)))</f>
        <v/>
      </c>
      <c r="L11" s="0" t="str">
        <f aca="false">IFERROR(MATCH(6,'NHẬP ĐƠN HÀNG'!$Y$6:$Y$505,0),"")</f>
        <v/>
      </c>
    </row>
    <row r="12" customFormat="false" ht="15" hidden="false" customHeight="false" outlineLevel="0" collapsed="false">
      <c r="A12" s="16" t="str">
        <f aca="false">IF($L12="","",7)</f>
        <v/>
      </c>
      <c r="B12" s="34" t="str">
        <f aca="false">IF($L12="","",IF(INDEX('NHẬP ĐƠN HÀNG'!$B$6:$B$505,$L12)="","",INDEX('NHẬP ĐƠN HÀNG'!$B$6:$B$505,$L12)))</f>
        <v/>
      </c>
      <c r="C12" s="16" t="str">
        <f aca="false">IF($L12="","",IF(INDEX('NHẬP ĐƠN HÀNG'!$C$6:$C$505,$L12)="","",INDEX('NHẬP ĐƠN HÀNG'!$C$6:$C$505,$L12)))</f>
        <v/>
      </c>
      <c r="D12" s="16" t="str">
        <f aca="false">IF($L12="","",IF(INDEX('NHẬP ĐƠN HÀNG'!$D$6:$D$505,$L12)="","",INDEX('NHẬP ĐƠN HÀNG'!$D$6:$D$505,$L12)))</f>
        <v/>
      </c>
      <c r="E12" s="16" t="str">
        <f aca="false">IF($L12="","",IF(INDEX('NHẬP ĐƠN HÀNG'!$H$6:$H$505,$L12)="","",INDEX('NHẬP ĐƠN HÀNG'!$H$6:$H$505,$L12)))</f>
        <v/>
      </c>
      <c r="F12" s="10" t="str">
        <f aca="false">IF($L12="","",N(INDEX('NHẬP ĐƠN HÀNG'!$I$6:$I$505,$L12)))</f>
        <v/>
      </c>
      <c r="G12" s="10" t="str">
        <f aca="false">IF($L12="","",N(INDEX('NHẬP ĐƠN HÀNG'!$P$6:$P$505,$L12)))</f>
        <v/>
      </c>
      <c r="H12" s="10" t="str">
        <f aca="false">IF($L12="","",N(INDEX('NHẬP ĐƠN HÀNG'!$Q$6:$Q$505,$L12)))</f>
        <v/>
      </c>
      <c r="I12" s="10" t="str">
        <f aca="false">IF($L12="","",N(INDEX('NHẬP ĐƠN HÀNG'!$R$6:$R$505,$L12)))</f>
        <v/>
      </c>
      <c r="J12" s="10" t="str">
        <f aca="true">IF(OR($L12="",$B12=""),"",MAX(0,TODAY()-$B12))</f>
        <v/>
      </c>
      <c r="K12" s="16" t="str">
        <f aca="false">IF($L12="","",IF(INDEX('NHẬP ĐƠN HÀNG'!$W$6:$W$505,$L12)="","",INDEX('NHẬP ĐƠN HÀNG'!$W$6:$W$505,$L12)))</f>
        <v/>
      </c>
      <c r="L12" s="0" t="str">
        <f aca="false">IFERROR(MATCH(7,'NHẬP ĐƠN HÀNG'!$Y$6:$Y$505,0),"")</f>
        <v/>
      </c>
    </row>
    <row r="13" customFormat="false" ht="15" hidden="false" customHeight="false" outlineLevel="0" collapsed="false">
      <c r="A13" s="16" t="str">
        <f aca="false">IF($L13="","",8)</f>
        <v/>
      </c>
      <c r="B13" s="34" t="str">
        <f aca="false">IF($L13="","",IF(INDEX('NHẬP ĐƠN HÀNG'!$B$6:$B$505,$L13)="","",INDEX('NHẬP ĐƠN HÀNG'!$B$6:$B$505,$L13)))</f>
        <v/>
      </c>
      <c r="C13" s="16" t="str">
        <f aca="false">IF($L13="","",IF(INDEX('NHẬP ĐƠN HÀNG'!$C$6:$C$505,$L13)="","",INDEX('NHẬP ĐƠN HÀNG'!$C$6:$C$505,$L13)))</f>
        <v/>
      </c>
      <c r="D13" s="16" t="str">
        <f aca="false">IF($L13="","",IF(INDEX('NHẬP ĐƠN HÀNG'!$D$6:$D$505,$L13)="","",INDEX('NHẬP ĐƠN HÀNG'!$D$6:$D$505,$L13)))</f>
        <v/>
      </c>
      <c r="E13" s="16" t="str">
        <f aca="false">IF($L13="","",IF(INDEX('NHẬP ĐƠN HÀNG'!$H$6:$H$505,$L13)="","",INDEX('NHẬP ĐƠN HÀNG'!$H$6:$H$505,$L13)))</f>
        <v/>
      </c>
      <c r="F13" s="10" t="str">
        <f aca="false">IF($L13="","",N(INDEX('NHẬP ĐƠN HÀNG'!$I$6:$I$505,$L13)))</f>
        <v/>
      </c>
      <c r="G13" s="10" t="str">
        <f aca="false">IF($L13="","",N(INDEX('NHẬP ĐƠN HÀNG'!$P$6:$P$505,$L13)))</f>
        <v/>
      </c>
      <c r="H13" s="10" t="str">
        <f aca="false">IF($L13="","",N(INDEX('NHẬP ĐƠN HÀNG'!$Q$6:$Q$505,$L13)))</f>
        <v/>
      </c>
      <c r="I13" s="10" t="str">
        <f aca="false">IF($L13="","",N(INDEX('NHẬP ĐƠN HÀNG'!$R$6:$R$505,$L13)))</f>
        <v/>
      </c>
      <c r="J13" s="10" t="str">
        <f aca="true">IF(OR($L13="",$B13=""),"",MAX(0,TODAY()-$B13))</f>
        <v/>
      </c>
      <c r="K13" s="16" t="str">
        <f aca="false">IF($L13="","",IF(INDEX('NHẬP ĐƠN HÀNG'!$W$6:$W$505,$L13)="","",INDEX('NHẬP ĐƠN HÀNG'!$W$6:$W$505,$L13)))</f>
        <v/>
      </c>
      <c r="L13" s="0" t="str">
        <f aca="false">IFERROR(MATCH(8,'NHẬP ĐƠN HÀNG'!$Y$6:$Y$505,0),"")</f>
        <v/>
      </c>
    </row>
    <row r="14" customFormat="false" ht="15" hidden="false" customHeight="false" outlineLevel="0" collapsed="false">
      <c r="A14" s="16" t="str">
        <f aca="false">IF($L14="","",9)</f>
        <v/>
      </c>
      <c r="B14" s="34" t="str">
        <f aca="false">IF($L14="","",IF(INDEX('NHẬP ĐƠN HÀNG'!$B$6:$B$505,$L14)="","",INDEX('NHẬP ĐƠN HÀNG'!$B$6:$B$505,$L14)))</f>
        <v/>
      </c>
      <c r="C14" s="16" t="str">
        <f aca="false">IF($L14="","",IF(INDEX('NHẬP ĐƠN HÀNG'!$C$6:$C$505,$L14)="","",INDEX('NHẬP ĐƠN HÀNG'!$C$6:$C$505,$L14)))</f>
        <v/>
      </c>
      <c r="D14" s="16" t="str">
        <f aca="false">IF($L14="","",IF(INDEX('NHẬP ĐƠN HÀNG'!$D$6:$D$505,$L14)="","",INDEX('NHẬP ĐƠN HÀNG'!$D$6:$D$505,$L14)))</f>
        <v/>
      </c>
      <c r="E14" s="16" t="str">
        <f aca="false">IF($L14="","",IF(INDEX('NHẬP ĐƠN HÀNG'!$H$6:$H$505,$L14)="","",INDEX('NHẬP ĐƠN HÀNG'!$H$6:$H$505,$L14)))</f>
        <v/>
      </c>
      <c r="F14" s="10" t="str">
        <f aca="false">IF($L14="","",N(INDEX('NHẬP ĐƠN HÀNG'!$I$6:$I$505,$L14)))</f>
        <v/>
      </c>
      <c r="G14" s="10" t="str">
        <f aca="false">IF($L14="","",N(INDEX('NHẬP ĐƠN HÀNG'!$P$6:$P$505,$L14)))</f>
        <v/>
      </c>
      <c r="H14" s="10" t="str">
        <f aca="false">IF($L14="","",N(INDEX('NHẬP ĐƠN HÀNG'!$Q$6:$Q$505,$L14)))</f>
        <v/>
      </c>
      <c r="I14" s="10" t="str">
        <f aca="false">IF($L14="","",N(INDEX('NHẬP ĐƠN HÀNG'!$R$6:$R$505,$L14)))</f>
        <v/>
      </c>
      <c r="J14" s="10" t="str">
        <f aca="true">IF(OR($L14="",$B14=""),"",MAX(0,TODAY()-$B14))</f>
        <v/>
      </c>
      <c r="K14" s="16" t="str">
        <f aca="false">IF($L14="","",IF(INDEX('NHẬP ĐƠN HÀNG'!$W$6:$W$505,$L14)="","",INDEX('NHẬP ĐƠN HÀNG'!$W$6:$W$505,$L14)))</f>
        <v/>
      </c>
      <c r="L14" s="0" t="str">
        <f aca="false">IFERROR(MATCH(9,'NHẬP ĐƠN HÀNG'!$Y$6:$Y$505,0),"")</f>
        <v/>
      </c>
    </row>
    <row r="15" customFormat="false" ht="15" hidden="false" customHeight="false" outlineLevel="0" collapsed="false">
      <c r="A15" s="16" t="str">
        <f aca="false">IF($L15="","",10)</f>
        <v/>
      </c>
      <c r="B15" s="34" t="str">
        <f aca="false">IF($L15="","",IF(INDEX('NHẬP ĐƠN HÀNG'!$B$6:$B$505,$L15)="","",INDEX('NHẬP ĐƠN HÀNG'!$B$6:$B$505,$L15)))</f>
        <v/>
      </c>
      <c r="C15" s="16" t="str">
        <f aca="false">IF($L15="","",IF(INDEX('NHẬP ĐƠN HÀNG'!$C$6:$C$505,$L15)="","",INDEX('NHẬP ĐƠN HÀNG'!$C$6:$C$505,$L15)))</f>
        <v/>
      </c>
      <c r="D15" s="16" t="str">
        <f aca="false">IF($L15="","",IF(INDEX('NHẬP ĐƠN HÀNG'!$D$6:$D$505,$L15)="","",INDEX('NHẬP ĐƠN HÀNG'!$D$6:$D$505,$L15)))</f>
        <v/>
      </c>
      <c r="E15" s="16" t="str">
        <f aca="false">IF($L15="","",IF(INDEX('NHẬP ĐƠN HÀNG'!$H$6:$H$505,$L15)="","",INDEX('NHẬP ĐƠN HÀNG'!$H$6:$H$505,$L15)))</f>
        <v/>
      </c>
      <c r="F15" s="10" t="str">
        <f aca="false">IF($L15="","",N(INDEX('NHẬP ĐƠN HÀNG'!$I$6:$I$505,$L15)))</f>
        <v/>
      </c>
      <c r="G15" s="10" t="str">
        <f aca="false">IF($L15="","",N(INDEX('NHẬP ĐƠN HÀNG'!$P$6:$P$505,$L15)))</f>
        <v/>
      </c>
      <c r="H15" s="10" t="str">
        <f aca="false">IF($L15="","",N(INDEX('NHẬP ĐƠN HÀNG'!$Q$6:$Q$505,$L15)))</f>
        <v/>
      </c>
      <c r="I15" s="10" t="str">
        <f aca="false">IF($L15="","",N(INDEX('NHẬP ĐƠN HÀNG'!$R$6:$R$505,$L15)))</f>
        <v/>
      </c>
      <c r="J15" s="10" t="str">
        <f aca="true">IF(OR($L15="",$B15=""),"",MAX(0,TODAY()-$B15))</f>
        <v/>
      </c>
      <c r="K15" s="16" t="str">
        <f aca="false">IF($L15="","",IF(INDEX('NHẬP ĐƠN HÀNG'!$W$6:$W$505,$L15)="","",INDEX('NHẬP ĐƠN HÀNG'!$W$6:$W$505,$L15)))</f>
        <v/>
      </c>
      <c r="L15" s="0" t="str">
        <f aca="false">IFERROR(MATCH(10,'NHẬP ĐƠN HÀNG'!$Y$6:$Y$505,0),"")</f>
        <v/>
      </c>
    </row>
    <row r="16" customFormat="false" ht="15" hidden="false" customHeight="false" outlineLevel="0" collapsed="false">
      <c r="A16" s="16" t="str">
        <f aca="false">IF($L16="","",11)</f>
        <v/>
      </c>
      <c r="B16" s="34" t="str">
        <f aca="false">IF($L16="","",IF(INDEX('NHẬP ĐƠN HÀNG'!$B$6:$B$505,$L16)="","",INDEX('NHẬP ĐƠN HÀNG'!$B$6:$B$505,$L16)))</f>
        <v/>
      </c>
      <c r="C16" s="16" t="str">
        <f aca="false">IF($L16="","",IF(INDEX('NHẬP ĐƠN HÀNG'!$C$6:$C$505,$L16)="","",INDEX('NHẬP ĐƠN HÀNG'!$C$6:$C$505,$L16)))</f>
        <v/>
      </c>
      <c r="D16" s="16" t="str">
        <f aca="false">IF($L16="","",IF(INDEX('NHẬP ĐƠN HÀNG'!$D$6:$D$505,$L16)="","",INDEX('NHẬP ĐƠN HÀNG'!$D$6:$D$505,$L16)))</f>
        <v/>
      </c>
      <c r="E16" s="16" t="str">
        <f aca="false">IF($L16="","",IF(INDEX('NHẬP ĐƠN HÀNG'!$H$6:$H$505,$L16)="","",INDEX('NHẬP ĐƠN HÀNG'!$H$6:$H$505,$L16)))</f>
        <v/>
      </c>
      <c r="F16" s="10" t="str">
        <f aca="false">IF($L16="","",N(INDEX('NHẬP ĐƠN HÀNG'!$I$6:$I$505,$L16)))</f>
        <v/>
      </c>
      <c r="G16" s="10" t="str">
        <f aca="false">IF($L16="","",N(INDEX('NHẬP ĐƠN HÀNG'!$P$6:$P$505,$L16)))</f>
        <v/>
      </c>
      <c r="H16" s="10" t="str">
        <f aca="false">IF($L16="","",N(INDEX('NHẬP ĐƠN HÀNG'!$Q$6:$Q$505,$L16)))</f>
        <v/>
      </c>
      <c r="I16" s="10" t="str">
        <f aca="false">IF($L16="","",N(INDEX('NHẬP ĐƠN HÀNG'!$R$6:$R$505,$L16)))</f>
        <v/>
      </c>
      <c r="J16" s="10" t="str">
        <f aca="true">IF(OR($L16="",$B16=""),"",MAX(0,TODAY()-$B16))</f>
        <v/>
      </c>
      <c r="K16" s="16" t="str">
        <f aca="false">IF($L16="","",IF(INDEX('NHẬP ĐƠN HÀNG'!$W$6:$W$505,$L16)="","",INDEX('NHẬP ĐƠN HÀNG'!$W$6:$W$505,$L16)))</f>
        <v/>
      </c>
      <c r="L16" s="0" t="str">
        <f aca="false">IFERROR(MATCH(11,'NHẬP ĐƠN HÀNG'!$Y$6:$Y$505,0),"")</f>
        <v/>
      </c>
    </row>
    <row r="17" customFormat="false" ht="15" hidden="false" customHeight="false" outlineLevel="0" collapsed="false">
      <c r="A17" s="16" t="str">
        <f aca="false">IF($L17="","",12)</f>
        <v/>
      </c>
      <c r="B17" s="34" t="str">
        <f aca="false">IF($L17="","",IF(INDEX('NHẬP ĐƠN HÀNG'!$B$6:$B$505,$L17)="","",INDEX('NHẬP ĐƠN HÀNG'!$B$6:$B$505,$L17)))</f>
        <v/>
      </c>
      <c r="C17" s="16" t="str">
        <f aca="false">IF($L17="","",IF(INDEX('NHẬP ĐƠN HÀNG'!$C$6:$C$505,$L17)="","",INDEX('NHẬP ĐƠN HÀNG'!$C$6:$C$505,$L17)))</f>
        <v/>
      </c>
      <c r="D17" s="16" t="str">
        <f aca="false">IF($L17="","",IF(INDEX('NHẬP ĐƠN HÀNG'!$D$6:$D$505,$L17)="","",INDEX('NHẬP ĐƠN HÀNG'!$D$6:$D$505,$L17)))</f>
        <v/>
      </c>
      <c r="E17" s="16" t="str">
        <f aca="false">IF($L17="","",IF(INDEX('NHẬP ĐƠN HÀNG'!$H$6:$H$505,$L17)="","",INDEX('NHẬP ĐƠN HÀNG'!$H$6:$H$505,$L17)))</f>
        <v/>
      </c>
      <c r="F17" s="10" t="str">
        <f aca="false">IF($L17="","",N(INDEX('NHẬP ĐƠN HÀNG'!$I$6:$I$505,$L17)))</f>
        <v/>
      </c>
      <c r="G17" s="10" t="str">
        <f aca="false">IF($L17="","",N(INDEX('NHẬP ĐƠN HÀNG'!$P$6:$P$505,$L17)))</f>
        <v/>
      </c>
      <c r="H17" s="10" t="str">
        <f aca="false">IF($L17="","",N(INDEX('NHẬP ĐƠN HÀNG'!$Q$6:$Q$505,$L17)))</f>
        <v/>
      </c>
      <c r="I17" s="10" t="str">
        <f aca="false">IF($L17="","",N(INDEX('NHẬP ĐƠN HÀNG'!$R$6:$R$505,$L17)))</f>
        <v/>
      </c>
      <c r="J17" s="10" t="str">
        <f aca="true">IF(OR($L17="",$B17=""),"",MAX(0,TODAY()-$B17))</f>
        <v/>
      </c>
      <c r="K17" s="16" t="str">
        <f aca="false">IF($L17="","",IF(INDEX('NHẬP ĐƠN HÀNG'!$W$6:$W$505,$L17)="","",INDEX('NHẬP ĐƠN HÀNG'!$W$6:$W$505,$L17)))</f>
        <v/>
      </c>
      <c r="L17" s="0" t="str">
        <f aca="false">IFERROR(MATCH(12,'NHẬP ĐƠN HÀNG'!$Y$6:$Y$505,0),"")</f>
        <v/>
      </c>
    </row>
    <row r="18" customFormat="false" ht="15" hidden="false" customHeight="false" outlineLevel="0" collapsed="false">
      <c r="A18" s="16" t="str">
        <f aca="false">IF($L18="","",13)</f>
        <v/>
      </c>
      <c r="B18" s="34" t="str">
        <f aca="false">IF($L18="","",IF(INDEX('NHẬP ĐƠN HÀNG'!$B$6:$B$505,$L18)="","",INDEX('NHẬP ĐƠN HÀNG'!$B$6:$B$505,$L18)))</f>
        <v/>
      </c>
      <c r="C18" s="16" t="str">
        <f aca="false">IF($L18="","",IF(INDEX('NHẬP ĐƠN HÀNG'!$C$6:$C$505,$L18)="","",INDEX('NHẬP ĐƠN HÀNG'!$C$6:$C$505,$L18)))</f>
        <v/>
      </c>
      <c r="D18" s="16" t="str">
        <f aca="false">IF($L18="","",IF(INDEX('NHẬP ĐƠN HÀNG'!$D$6:$D$505,$L18)="","",INDEX('NHẬP ĐƠN HÀNG'!$D$6:$D$505,$L18)))</f>
        <v/>
      </c>
      <c r="E18" s="16" t="str">
        <f aca="false">IF($L18="","",IF(INDEX('NHẬP ĐƠN HÀNG'!$H$6:$H$505,$L18)="","",INDEX('NHẬP ĐƠN HÀNG'!$H$6:$H$505,$L18)))</f>
        <v/>
      </c>
      <c r="F18" s="10" t="str">
        <f aca="false">IF($L18="","",N(INDEX('NHẬP ĐƠN HÀNG'!$I$6:$I$505,$L18)))</f>
        <v/>
      </c>
      <c r="G18" s="10" t="str">
        <f aca="false">IF($L18="","",N(INDEX('NHẬP ĐƠN HÀNG'!$P$6:$P$505,$L18)))</f>
        <v/>
      </c>
      <c r="H18" s="10" t="str">
        <f aca="false">IF($L18="","",N(INDEX('NHẬP ĐƠN HÀNG'!$Q$6:$Q$505,$L18)))</f>
        <v/>
      </c>
      <c r="I18" s="10" t="str">
        <f aca="false">IF($L18="","",N(INDEX('NHẬP ĐƠN HÀNG'!$R$6:$R$505,$L18)))</f>
        <v/>
      </c>
      <c r="J18" s="10" t="str">
        <f aca="true">IF(OR($L18="",$B18=""),"",MAX(0,TODAY()-$B18))</f>
        <v/>
      </c>
      <c r="K18" s="16" t="str">
        <f aca="false">IF($L18="","",IF(INDEX('NHẬP ĐƠN HÀNG'!$W$6:$W$505,$L18)="","",INDEX('NHẬP ĐƠN HÀNG'!$W$6:$W$505,$L18)))</f>
        <v/>
      </c>
      <c r="L18" s="0" t="str">
        <f aca="false">IFERROR(MATCH(13,'NHẬP ĐƠN HÀNG'!$Y$6:$Y$505,0),"")</f>
        <v/>
      </c>
    </row>
    <row r="19" customFormat="false" ht="15" hidden="false" customHeight="false" outlineLevel="0" collapsed="false">
      <c r="A19" s="16" t="str">
        <f aca="false">IF($L19="","",14)</f>
        <v/>
      </c>
      <c r="B19" s="34" t="str">
        <f aca="false">IF($L19="","",IF(INDEX('NHẬP ĐƠN HÀNG'!$B$6:$B$505,$L19)="","",INDEX('NHẬP ĐƠN HÀNG'!$B$6:$B$505,$L19)))</f>
        <v/>
      </c>
      <c r="C19" s="16" t="str">
        <f aca="false">IF($L19="","",IF(INDEX('NHẬP ĐƠN HÀNG'!$C$6:$C$505,$L19)="","",INDEX('NHẬP ĐƠN HÀNG'!$C$6:$C$505,$L19)))</f>
        <v/>
      </c>
      <c r="D19" s="16" t="str">
        <f aca="false">IF($L19="","",IF(INDEX('NHẬP ĐƠN HÀNG'!$D$6:$D$505,$L19)="","",INDEX('NHẬP ĐƠN HÀNG'!$D$6:$D$505,$L19)))</f>
        <v/>
      </c>
      <c r="E19" s="16" t="str">
        <f aca="false">IF($L19="","",IF(INDEX('NHẬP ĐƠN HÀNG'!$H$6:$H$505,$L19)="","",INDEX('NHẬP ĐƠN HÀNG'!$H$6:$H$505,$L19)))</f>
        <v/>
      </c>
      <c r="F19" s="10" t="str">
        <f aca="false">IF($L19="","",N(INDEX('NHẬP ĐƠN HÀNG'!$I$6:$I$505,$L19)))</f>
        <v/>
      </c>
      <c r="G19" s="10" t="str">
        <f aca="false">IF($L19="","",N(INDEX('NHẬP ĐƠN HÀNG'!$P$6:$P$505,$L19)))</f>
        <v/>
      </c>
      <c r="H19" s="10" t="str">
        <f aca="false">IF($L19="","",N(INDEX('NHẬP ĐƠN HÀNG'!$Q$6:$Q$505,$L19)))</f>
        <v/>
      </c>
      <c r="I19" s="10" t="str">
        <f aca="false">IF($L19="","",N(INDEX('NHẬP ĐƠN HÀNG'!$R$6:$R$505,$L19)))</f>
        <v/>
      </c>
      <c r="J19" s="10" t="str">
        <f aca="true">IF(OR($L19="",$B19=""),"",MAX(0,TODAY()-$B19))</f>
        <v/>
      </c>
      <c r="K19" s="16" t="str">
        <f aca="false">IF($L19="","",IF(INDEX('NHẬP ĐƠN HÀNG'!$W$6:$W$505,$L19)="","",INDEX('NHẬP ĐƠN HÀNG'!$W$6:$W$505,$L19)))</f>
        <v/>
      </c>
      <c r="L19" s="0" t="str">
        <f aca="false">IFERROR(MATCH(14,'NHẬP ĐƠN HÀNG'!$Y$6:$Y$505,0),"")</f>
        <v/>
      </c>
    </row>
    <row r="20" customFormat="false" ht="15" hidden="false" customHeight="false" outlineLevel="0" collapsed="false">
      <c r="A20" s="16" t="str">
        <f aca="false">IF($L20="","",15)</f>
        <v/>
      </c>
      <c r="B20" s="34" t="str">
        <f aca="false">IF($L20="","",IF(INDEX('NHẬP ĐƠN HÀNG'!$B$6:$B$505,$L20)="","",INDEX('NHẬP ĐƠN HÀNG'!$B$6:$B$505,$L20)))</f>
        <v/>
      </c>
      <c r="C20" s="16" t="str">
        <f aca="false">IF($L20="","",IF(INDEX('NHẬP ĐƠN HÀNG'!$C$6:$C$505,$L20)="","",INDEX('NHẬP ĐƠN HÀNG'!$C$6:$C$505,$L20)))</f>
        <v/>
      </c>
      <c r="D20" s="16" t="str">
        <f aca="false">IF($L20="","",IF(INDEX('NHẬP ĐƠN HÀNG'!$D$6:$D$505,$L20)="","",INDEX('NHẬP ĐƠN HÀNG'!$D$6:$D$505,$L20)))</f>
        <v/>
      </c>
      <c r="E20" s="16" t="str">
        <f aca="false">IF($L20="","",IF(INDEX('NHẬP ĐƠN HÀNG'!$H$6:$H$505,$L20)="","",INDEX('NHẬP ĐƠN HÀNG'!$H$6:$H$505,$L20)))</f>
        <v/>
      </c>
      <c r="F20" s="10" t="str">
        <f aca="false">IF($L20="","",N(INDEX('NHẬP ĐƠN HÀNG'!$I$6:$I$505,$L20)))</f>
        <v/>
      </c>
      <c r="G20" s="10" t="str">
        <f aca="false">IF($L20="","",N(INDEX('NHẬP ĐƠN HÀNG'!$P$6:$P$505,$L20)))</f>
        <v/>
      </c>
      <c r="H20" s="10" t="str">
        <f aca="false">IF($L20="","",N(INDEX('NHẬP ĐƠN HÀNG'!$Q$6:$Q$505,$L20)))</f>
        <v/>
      </c>
      <c r="I20" s="10" t="str">
        <f aca="false">IF($L20="","",N(INDEX('NHẬP ĐƠN HÀNG'!$R$6:$R$505,$L20)))</f>
        <v/>
      </c>
      <c r="J20" s="10" t="str">
        <f aca="true">IF(OR($L20="",$B20=""),"",MAX(0,TODAY()-$B20))</f>
        <v/>
      </c>
      <c r="K20" s="16" t="str">
        <f aca="false">IF($L20="","",IF(INDEX('NHẬP ĐƠN HÀNG'!$W$6:$W$505,$L20)="","",INDEX('NHẬP ĐƠN HÀNG'!$W$6:$W$505,$L20)))</f>
        <v/>
      </c>
      <c r="L20" s="0" t="str">
        <f aca="false">IFERROR(MATCH(15,'NHẬP ĐƠN HÀNG'!$Y$6:$Y$505,0),"")</f>
        <v/>
      </c>
    </row>
    <row r="21" customFormat="false" ht="15" hidden="false" customHeight="false" outlineLevel="0" collapsed="false">
      <c r="A21" s="16" t="str">
        <f aca="false">IF($L21="","",16)</f>
        <v/>
      </c>
      <c r="B21" s="34" t="str">
        <f aca="false">IF($L21="","",IF(INDEX('NHẬP ĐƠN HÀNG'!$B$6:$B$505,$L21)="","",INDEX('NHẬP ĐƠN HÀNG'!$B$6:$B$505,$L21)))</f>
        <v/>
      </c>
      <c r="C21" s="16" t="str">
        <f aca="false">IF($L21="","",IF(INDEX('NHẬP ĐƠN HÀNG'!$C$6:$C$505,$L21)="","",INDEX('NHẬP ĐƠN HÀNG'!$C$6:$C$505,$L21)))</f>
        <v/>
      </c>
      <c r="D21" s="16" t="str">
        <f aca="false">IF($L21="","",IF(INDEX('NHẬP ĐƠN HÀNG'!$D$6:$D$505,$L21)="","",INDEX('NHẬP ĐƠN HÀNG'!$D$6:$D$505,$L21)))</f>
        <v/>
      </c>
      <c r="E21" s="16" t="str">
        <f aca="false">IF($L21="","",IF(INDEX('NHẬP ĐƠN HÀNG'!$H$6:$H$505,$L21)="","",INDEX('NHẬP ĐƠN HÀNG'!$H$6:$H$505,$L21)))</f>
        <v/>
      </c>
      <c r="F21" s="10" t="str">
        <f aca="false">IF($L21="","",N(INDEX('NHẬP ĐƠN HÀNG'!$I$6:$I$505,$L21)))</f>
        <v/>
      </c>
      <c r="G21" s="10" t="str">
        <f aca="false">IF($L21="","",N(INDEX('NHẬP ĐƠN HÀNG'!$P$6:$P$505,$L21)))</f>
        <v/>
      </c>
      <c r="H21" s="10" t="str">
        <f aca="false">IF($L21="","",N(INDEX('NHẬP ĐƠN HÀNG'!$Q$6:$Q$505,$L21)))</f>
        <v/>
      </c>
      <c r="I21" s="10" t="str">
        <f aca="false">IF($L21="","",N(INDEX('NHẬP ĐƠN HÀNG'!$R$6:$R$505,$L21)))</f>
        <v/>
      </c>
      <c r="J21" s="10" t="str">
        <f aca="true">IF(OR($L21="",$B21=""),"",MAX(0,TODAY()-$B21))</f>
        <v/>
      </c>
      <c r="K21" s="16" t="str">
        <f aca="false">IF($L21="","",IF(INDEX('NHẬP ĐƠN HÀNG'!$W$6:$W$505,$L21)="","",INDEX('NHẬP ĐƠN HÀNG'!$W$6:$W$505,$L21)))</f>
        <v/>
      </c>
      <c r="L21" s="0" t="str">
        <f aca="false">IFERROR(MATCH(16,'NHẬP ĐƠN HÀNG'!$Y$6:$Y$505,0),"")</f>
        <v/>
      </c>
    </row>
    <row r="22" customFormat="false" ht="15" hidden="false" customHeight="false" outlineLevel="0" collapsed="false">
      <c r="A22" s="16" t="str">
        <f aca="false">IF($L22="","",17)</f>
        <v/>
      </c>
      <c r="B22" s="34" t="str">
        <f aca="false">IF($L22="","",IF(INDEX('NHẬP ĐƠN HÀNG'!$B$6:$B$505,$L22)="","",INDEX('NHẬP ĐƠN HÀNG'!$B$6:$B$505,$L22)))</f>
        <v/>
      </c>
      <c r="C22" s="16" t="str">
        <f aca="false">IF($L22="","",IF(INDEX('NHẬP ĐƠN HÀNG'!$C$6:$C$505,$L22)="","",INDEX('NHẬP ĐƠN HÀNG'!$C$6:$C$505,$L22)))</f>
        <v/>
      </c>
      <c r="D22" s="16" t="str">
        <f aca="false">IF($L22="","",IF(INDEX('NHẬP ĐƠN HÀNG'!$D$6:$D$505,$L22)="","",INDEX('NHẬP ĐƠN HÀNG'!$D$6:$D$505,$L22)))</f>
        <v/>
      </c>
      <c r="E22" s="16" t="str">
        <f aca="false">IF($L22="","",IF(INDEX('NHẬP ĐƠN HÀNG'!$H$6:$H$505,$L22)="","",INDEX('NHẬP ĐƠN HÀNG'!$H$6:$H$505,$L22)))</f>
        <v/>
      </c>
      <c r="F22" s="10" t="str">
        <f aca="false">IF($L22="","",N(INDEX('NHẬP ĐƠN HÀNG'!$I$6:$I$505,$L22)))</f>
        <v/>
      </c>
      <c r="G22" s="10" t="str">
        <f aca="false">IF($L22="","",N(INDEX('NHẬP ĐƠN HÀNG'!$P$6:$P$505,$L22)))</f>
        <v/>
      </c>
      <c r="H22" s="10" t="str">
        <f aca="false">IF($L22="","",N(INDEX('NHẬP ĐƠN HÀNG'!$Q$6:$Q$505,$L22)))</f>
        <v/>
      </c>
      <c r="I22" s="10" t="str">
        <f aca="false">IF($L22="","",N(INDEX('NHẬP ĐƠN HÀNG'!$R$6:$R$505,$L22)))</f>
        <v/>
      </c>
      <c r="J22" s="10" t="str">
        <f aca="true">IF(OR($L22="",$B22=""),"",MAX(0,TODAY()-$B22))</f>
        <v/>
      </c>
      <c r="K22" s="16" t="str">
        <f aca="false">IF($L22="","",IF(INDEX('NHẬP ĐƠN HÀNG'!$W$6:$W$505,$L22)="","",INDEX('NHẬP ĐƠN HÀNG'!$W$6:$W$505,$L22)))</f>
        <v/>
      </c>
      <c r="L22" s="0" t="str">
        <f aca="false">IFERROR(MATCH(17,'NHẬP ĐƠN HÀNG'!$Y$6:$Y$505,0),"")</f>
        <v/>
      </c>
    </row>
    <row r="23" customFormat="false" ht="15" hidden="false" customHeight="false" outlineLevel="0" collapsed="false">
      <c r="A23" s="16" t="str">
        <f aca="false">IF($L23="","",18)</f>
        <v/>
      </c>
      <c r="B23" s="34" t="str">
        <f aca="false">IF($L23="","",IF(INDEX('NHẬP ĐƠN HÀNG'!$B$6:$B$505,$L23)="","",INDEX('NHẬP ĐƠN HÀNG'!$B$6:$B$505,$L23)))</f>
        <v/>
      </c>
      <c r="C23" s="16" t="str">
        <f aca="false">IF($L23="","",IF(INDEX('NHẬP ĐƠN HÀNG'!$C$6:$C$505,$L23)="","",INDEX('NHẬP ĐƠN HÀNG'!$C$6:$C$505,$L23)))</f>
        <v/>
      </c>
      <c r="D23" s="16" t="str">
        <f aca="false">IF($L23="","",IF(INDEX('NHẬP ĐƠN HÀNG'!$D$6:$D$505,$L23)="","",INDEX('NHẬP ĐƠN HÀNG'!$D$6:$D$505,$L23)))</f>
        <v/>
      </c>
      <c r="E23" s="16" t="str">
        <f aca="false">IF($L23="","",IF(INDEX('NHẬP ĐƠN HÀNG'!$H$6:$H$505,$L23)="","",INDEX('NHẬP ĐƠN HÀNG'!$H$6:$H$505,$L23)))</f>
        <v/>
      </c>
      <c r="F23" s="10" t="str">
        <f aca="false">IF($L23="","",N(INDEX('NHẬP ĐƠN HÀNG'!$I$6:$I$505,$L23)))</f>
        <v/>
      </c>
      <c r="G23" s="10" t="str">
        <f aca="false">IF($L23="","",N(INDEX('NHẬP ĐƠN HÀNG'!$P$6:$P$505,$L23)))</f>
        <v/>
      </c>
      <c r="H23" s="10" t="str">
        <f aca="false">IF($L23="","",N(INDEX('NHẬP ĐƠN HÀNG'!$Q$6:$Q$505,$L23)))</f>
        <v/>
      </c>
      <c r="I23" s="10" t="str">
        <f aca="false">IF($L23="","",N(INDEX('NHẬP ĐƠN HÀNG'!$R$6:$R$505,$L23)))</f>
        <v/>
      </c>
      <c r="J23" s="10" t="str">
        <f aca="true">IF(OR($L23="",$B23=""),"",MAX(0,TODAY()-$B23))</f>
        <v/>
      </c>
      <c r="K23" s="16" t="str">
        <f aca="false">IF($L23="","",IF(INDEX('NHẬP ĐƠN HÀNG'!$W$6:$W$505,$L23)="","",INDEX('NHẬP ĐƠN HÀNG'!$W$6:$W$505,$L23)))</f>
        <v/>
      </c>
      <c r="L23" s="0" t="str">
        <f aca="false">IFERROR(MATCH(18,'NHẬP ĐƠN HÀNG'!$Y$6:$Y$505,0),"")</f>
        <v/>
      </c>
    </row>
    <row r="24" customFormat="false" ht="15" hidden="false" customHeight="false" outlineLevel="0" collapsed="false">
      <c r="A24" s="16" t="str">
        <f aca="false">IF($L24="","",19)</f>
        <v/>
      </c>
      <c r="B24" s="34" t="str">
        <f aca="false">IF($L24="","",IF(INDEX('NHẬP ĐƠN HÀNG'!$B$6:$B$505,$L24)="","",INDEX('NHẬP ĐƠN HÀNG'!$B$6:$B$505,$L24)))</f>
        <v/>
      </c>
      <c r="C24" s="16" t="str">
        <f aca="false">IF($L24="","",IF(INDEX('NHẬP ĐƠN HÀNG'!$C$6:$C$505,$L24)="","",INDEX('NHẬP ĐƠN HÀNG'!$C$6:$C$505,$L24)))</f>
        <v/>
      </c>
      <c r="D24" s="16" t="str">
        <f aca="false">IF($L24="","",IF(INDEX('NHẬP ĐƠN HÀNG'!$D$6:$D$505,$L24)="","",INDEX('NHẬP ĐƠN HÀNG'!$D$6:$D$505,$L24)))</f>
        <v/>
      </c>
      <c r="E24" s="16" t="str">
        <f aca="false">IF($L24="","",IF(INDEX('NHẬP ĐƠN HÀNG'!$H$6:$H$505,$L24)="","",INDEX('NHẬP ĐƠN HÀNG'!$H$6:$H$505,$L24)))</f>
        <v/>
      </c>
      <c r="F24" s="10" t="str">
        <f aca="false">IF($L24="","",N(INDEX('NHẬP ĐƠN HÀNG'!$I$6:$I$505,$L24)))</f>
        <v/>
      </c>
      <c r="G24" s="10" t="str">
        <f aca="false">IF($L24="","",N(INDEX('NHẬP ĐƠN HÀNG'!$P$6:$P$505,$L24)))</f>
        <v/>
      </c>
      <c r="H24" s="10" t="str">
        <f aca="false">IF($L24="","",N(INDEX('NHẬP ĐƠN HÀNG'!$Q$6:$Q$505,$L24)))</f>
        <v/>
      </c>
      <c r="I24" s="10" t="str">
        <f aca="false">IF($L24="","",N(INDEX('NHẬP ĐƠN HÀNG'!$R$6:$R$505,$L24)))</f>
        <v/>
      </c>
      <c r="J24" s="10" t="str">
        <f aca="true">IF(OR($L24="",$B24=""),"",MAX(0,TODAY()-$B24))</f>
        <v/>
      </c>
      <c r="K24" s="16" t="str">
        <f aca="false">IF($L24="","",IF(INDEX('NHẬP ĐƠN HÀNG'!$W$6:$W$505,$L24)="","",INDEX('NHẬP ĐƠN HÀNG'!$W$6:$W$505,$L24)))</f>
        <v/>
      </c>
      <c r="L24" s="0" t="str">
        <f aca="false">IFERROR(MATCH(19,'NHẬP ĐƠN HÀNG'!$Y$6:$Y$505,0),"")</f>
        <v/>
      </c>
    </row>
    <row r="25" customFormat="false" ht="15" hidden="false" customHeight="false" outlineLevel="0" collapsed="false">
      <c r="A25" s="16" t="str">
        <f aca="false">IF($L25="","",20)</f>
        <v/>
      </c>
      <c r="B25" s="34" t="str">
        <f aca="false">IF($L25="","",IF(INDEX('NHẬP ĐƠN HÀNG'!$B$6:$B$505,$L25)="","",INDEX('NHẬP ĐƠN HÀNG'!$B$6:$B$505,$L25)))</f>
        <v/>
      </c>
      <c r="C25" s="16" t="str">
        <f aca="false">IF($L25="","",IF(INDEX('NHẬP ĐƠN HÀNG'!$C$6:$C$505,$L25)="","",INDEX('NHẬP ĐƠN HÀNG'!$C$6:$C$505,$L25)))</f>
        <v/>
      </c>
      <c r="D25" s="16" t="str">
        <f aca="false">IF($L25="","",IF(INDEX('NHẬP ĐƠN HÀNG'!$D$6:$D$505,$L25)="","",INDEX('NHẬP ĐƠN HÀNG'!$D$6:$D$505,$L25)))</f>
        <v/>
      </c>
      <c r="E25" s="16" t="str">
        <f aca="false">IF($L25="","",IF(INDEX('NHẬP ĐƠN HÀNG'!$H$6:$H$505,$L25)="","",INDEX('NHẬP ĐƠN HÀNG'!$H$6:$H$505,$L25)))</f>
        <v/>
      </c>
      <c r="F25" s="10" t="str">
        <f aca="false">IF($L25="","",N(INDEX('NHẬP ĐƠN HÀNG'!$I$6:$I$505,$L25)))</f>
        <v/>
      </c>
      <c r="G25" s="10" t="str">
        <f aca="false">IF($L25="","",N(INDEX('NHẬP ĐƠN HÀNG'!$P$6:$P$505,$L25)))</f>
        <v/>
      </c>
      <c r="H25" s="10" t="str">
        <f aca="false">IF($L25="","",N(INDEX('NHẬP ĐƠN HÀNG'!$Q$6:$Q$505,$L25)))</f>
        <v/>
      </c>
      <c r="I25" s="10" t="str">
        <f aca="false">IF($L25="","",N(INDEX('NHẬP ĐƠN HÀNG'!$R$6:$R$505,$L25)))</f>
        <v/>
      </c>
      <c r="J25" s="10" t="str">
        <f aca="true">IF(OR($L25="",$B25=""),"",MAX(0,TODAY()-$B25))</f>
        <v/>
      </c>
      <c r="K25" s="16" t="str">
        <f aca="false">IF($L25="","",IF(INDEX('NHẬP ĐƠN HÀNG'!$W$6:$W$505,$L25)="","",INDEX('NHẬP ĐƠN HÀNG'!$W$6:$W$505,$L25)))</f>
        <v/>
      </c>
      <c r="L25" s="0" t="str">
        <f aca="false">IFERROR(MATCH(20,'NHẬP ĐƠN HÀNG'!$Y$6:$Y$505,0),"")</f>
        <v/>
      </c>
    </row>
    <row r="26" customFormat="false" ht="15" hidden="false" customHeight="false" outlineLevel="0" collapsed="false">
      <c r="A26" s="16" t="str">
        <f aca="false">IF($L26="","",21)</f>
        <v/>
      </c>
      <c r="B26" s="34" t="str">
        <f aca="false">IF($L26="","",IF(INDEX('NHẬP ĐƠN HÀNG'!$B$6:$B$505,$L26)="","",INDEX('NHẬP ĐƠN HÀNG'!$B$6:$B$505,$L26)))</f>
        <v/>
      </c>
      <c r="C26" s="16" t="str">
        <f aca="false">IF($L26="","",IF(INDEX('NHẬP ĐƠN HÀNG'!$C$6:$C$505,$L26)="","",INDEX('NHẬP ĐƠN HÀNG'!$C$6:$C$505,$L26)))</f>
        <v/>
      </c>
      <c r="D26" s="16" t="str">
        <f aca="false">IF($L26="","",IF(INDEX('NHẬP ĐƠN HÀNG'!$D$6:$D$505,$L26)="","",INDEX('NHẬP ĐƠN HÀNG'!$D$6:$D$505,$L26)))</f>
        <v/>
      </c>
      <c r="E26" s="16" t="str">
        <f aca="false">IF($L26="","",IF(INDEX('NHẬP ĐƠN HÀNG'!$H$6:$H$505,$L26)="","",INDEX('NHẬP ĐƠN HÀNG'!$H$6:$H$505,$L26)))</f>
        <v/>
      </c>
      <c r="F26" s="10" t="str">
        <f aca="false">IF($L26="","",N(INDEX('NHẬP ĐƠN HÀNG'!$I$6:$I$505,$L26)))</f>
        <v/>
      </c>
      <c r="G26" s="10" t="str">
        <f aca="false">IF($L26="","",N(INDEX('NHẬP ĐƠN HÀNG'!$P$6:$P$505,$L26)))</f>
        <v/>
      </c>
      <c r="H26" s="10" t="str">
        <f aca="false">IF($L26="","",N(INDEX('NHẬP ĐƠN HÀNG'!$Q$6:$Q$505,$L26)))</f>
        <v/>
      </c>
      <c r="I26" s="10" t="str">
        <f aca="false">IF($L26="","",N(INDEX('NHẬP ĐƠN HÀNG'!$R$6:$R$505,$L26)))</f>
        <v/>
      </c>
      <c r="J26" s="10" t="str">
        <f aca="true">IF(OR($L26="",$B26=""),"",MAX(0,TODAY()-$B26))</f>
        <v/>
      </c>
      <c r="K26" s="16" t="str">
        <f aca="false">IF($L26="","",IF(INDEX('NHẬP ĐƠN HÀNG'!$W$6:$W$505,$L26)="","",INDEX('NHẬP ĐƠN HÀNG'!$W$6:$W$505,$L26)))</f>
        <v/>
      </c>
      <c r="L26" s="0" t="str">
        <f aca="false">IFERROR(MATCH(21,'NHẬP ĐƠN HÀNG'!$Y$6:$Y$505,0),"")</f>
        <v/>
      </c>
    </row>
    <row r="27" customFormat="false" ht="15" hidden="false" customHeight="false" outlineLevel="0" collapsed="false">
      <c r="A27" s="16" t="str">
        <f aca="false">IF($L27="","",22)</f>
        <v/>
      </c>
      <c r="B27" s="34" t="str">
        <f aca="false">IF($L27="","",IF(INDEX('NHẬP ĐƠN HÀNG'!$B$6:$B$505,$L27)="","",INDEX('NHẬP ĐƠN HÀNG'!$B$6:$B$505,$L27)))</f>
        <v/>
      </c>
      <c r="C27" s="16" t="str">
        <f aca="false">IF($L27="","",IF(INDEX('NHẬP ĐƠN HÀNG'!$C$6:$C$505,$L27)="","",INDEX('NHẬP ĐƠN HÀNG'!$C$6:$C$505,$L27)))</f>
        <v/>
      </c>
      <c r="D27" s="16" t="str">
        <f aca="false">IF($L27="","",IF(INDEX('NHẬP ĐƠN HÀNG'!$D$6:$D$505,$L27)="","",INDEX('NHẬP ĐƠN HÀNG'!$D$6:$D$505,$L27)))</f>
        <v/>
      </c>
      <c r="E27" s="16" t="str">
        <f aca="false">IF($L27="","",IF(INDEX('NHẬP ĐƠN HÀNG'!$H$6:$H$505,$L27)="","",INDEX('NHẬP ĐƠN HÀNG'!$H$6:$H$505,$L27)))</f>
        <v/>
      </c>
      <c r="F27" s="10" t="str">
        <f aca="false">IF($L27="","",N(INDEX('NHẬP ĐƠN HÀNG'!$I$6:$I$505,$L27)))</f>
        <v/>
      </c>
      <c r="G27" s="10" t="str">
        <f aca="false">IF($L27="","",N(INDEX('NHẬP ĐƠN HÀNG'!$P$6:$P$505,$L27)))</f>
        <v/>
      </c>
      <c r="H27" s="10" t="str">
        <f aca="false">IF($L27="","",N(INDEX('NHẬP ĐƠN HÀNG'!$Q$6:$Q$505,$L27)))</f>
        <v/>
      </c>
      <c r="I27" s="10" t="str">
        <f aca="false">IF($L27="","",N(INDEX('NHẬP ĐƠN HÀNG'!$R$6:$R$505,$L27)))</f>
        <v/>
      </c>
      <c r="J27" s="10" t="str">
        <f aca="true">IF(OR($L27="",$B27=""),"",MAX(0,TODAY()-$B27))</f>
        <v/>
      </c>
      <c r="K27" s="16" t="str">
        <f aca="false">IF($L27="","",IF(INDEX('NHẬP ĐƠN HÀNG'!$W$6:$W$505,$L27)="","",INDEX('NHẬP ĐƠN HÀNG'!$W$6:$W$505,$L27)))</f>
        <v/>
      </c>
      <c r="L27" s="0" t="str">
        <f aca="false">IFERROR(MATCH(22,'NHẬP ĐƠN HÀNG'!$Y$6:$Y$505,0),"")</f>
        <v/>
      </c>
    </row>
    <row r="28" customFormat="false" ht="15" hidden="false" customHeight="false" outlineLevel="0" collapsed="false">
      <c r="A28" s="16" t="str">
        <f aca="false">IF($L28="","",23)</f>
        <v/>
      </c>
      <c r="B28" s="34" t="str">
        <f aca="false">IF($L28="","",IF(INDEX('NHẬP ĐƠN HÀNG'!$B$6:$B$505,$L28)="","",INDEX('NHẬP ĐƠN HÀNG'!$B$6:$B$505,$L28)))</f>
        <v/>
      </c>
      <c r="C28" s="16" t="str">
        <f aca="false">IF($L28="","",IF(INDEX('NHẬP ĐƠN HÀNG'!$C$6:$C$505,$L28)="","",INDEX('NHẬP ĐƠN HÀNG'!$C$6:$C$505,$L28)))</f>
        <v/>
      </c>
      <c r="D28" s="16" t="str">
        <f aca="false">IF($L28="","",IF(INDEX('NHẬP ĐƠN HÀNG'!$D$6:$D$505,$L28)="","",INDEX('NHẬP ĐƠN HÀNG'!$D$6:$D$505,$L28)))</f>
        <v/>
      </c>
      <c r="E28" s="16" t="str">
        <f aca="false">IF($L28="","",IF(INDEX('NHẬP ĐƠN HÀNG'!$H$6:$H$505,$L28)="","",INDEX('NHẬP ĐƠN HÀNG'!$H$6:$H$505,$L28)))</f>
        <v/>
      </c>
      <c r="F28" s="10" t="str">
        <f aca="false">IF($L28="","",N(INDEX('NHẬP ĐƠN HÀNG'!$I$6:$I$505,$L28)))</f>
        <v/>
      </c>
      <c r="G28" s="10" t="str">
        <f aca="false">IF($L28="","",N(INDEX('NHẬP ĐƠN HÀNG'!$P$6:$P$505,$L28)))</f>
        <v/>
      </c>
      <c r="H28" s="10" t="str">
        <f aca="false">IF($L28="","",N(INDEX('NHẬP ĐƠN HÀNG'!$Q$6:$Q$505,$L28)))</f>
        <v/>
      </c>
      <c r="I28" s="10" t="str">
        <f aca="false">IF($L28="","",N(INDEX('NHẬP ĐƠN HÀNG'!$R$6:$R$505,$L28)))</f>
        <v/>
      </c>
      <c r="J28" s="10" t="str">
        <f aca="true">IF(OR($L28="",$B28=""),"",MAX(0,TODAY()-$B28))</f>
        <v/>
      </c>
      <c r="K28" s="16" t="str">
        <f aca="false">IF($L28="","",IF(INDEX('NHẬP ĐƠN HÀNG'!$W$6:$W$505,$L28)="","",INDEX('NHẬP ĐƠN HÀNG'!$W$6:$W$505,$L28)))</f>
        <v/>
      </c>
      <c r="L28" s="0" t="str">
        <f aca="false">IFERROR(MATCH(23,'NHẬP ĐƠN HÀNG'!$Y$6:$Y$505,0),"")</f>
        <v/>
      </c>
    </row>
    <row r="29" customFormat="false" ht="15" hidden="false" customHeight="false" outlineLevel="0" collapsed="false">
      <c r="A29" s="16" t="str">
        <f aca="false">IF($L29="","",24)</f>
        <v/>
      </c>
      <c r="B29" s="34" t="str">
        <f aca="false">IF($L29="","",IF(INDEX('NHẬP ĐƠN HÀNG'!$B$6:$B$505,$L29)="","",INDEX('NHẬP ĐƠN HÀNG'!$B$6:$B$505,$L29)))</f>
        <v/>
      </c>
      <c r="C29" s="16" t="str">
        <f aca="false">IF($L29="","",IF(INDEX('NHẬP ĐƠN HÀNG'!$C$6:$C$505,$L29)="","",INDEX('NHẬP ĐƠN HÀNG'!$C$6:$C$505,$L29)))</f>
        <v/>
      </c>
      <c r="D29" s="16" t="str">
        <f aca="false">IF($L29="","",IF(INDEX('NHẬP ĐƠN HÀNG'!$D$6:$D$505,$L29)="","",INDEX('NHẬP ĐƠN HÀNG'!$D$6:$D$505,$L29)))</f>
        <v/>
      </c>
      <c r="E29" s="16" t="str">
        <f aca="false">IF($L29="","",IF(INDEX('NHẬP ĐƠN HÀNG'!$H$6:$H$505,$L29)="","",INDEX('NHẬP ĐƠN HÀNG'!$H$6:$H$505,$L29)))</f>
        <v/>
      </c>
      <c r="F29" s="10" t="str">
        <f aca="false">IF($L29="","",N(INDEX('NHẬP ĐƠN HÀNG'!$I$6:$I$505,$L29)))</f>
        <v/>
      </c>
      <c r="G29" s="10" t="str">
        <f aca="false">IF($L29="","",N(INDEX('NHẬP ĐƠN HÀNG'!$P$6:$P$505,$L29)))</f>
        <v/>
      </c>
      <c r="H29" s="10" t="str">
        <f aca="false">IF($L29="","",N(INDEX('NHẬP ĐƠN HÀNG'!$Q$6:$Q$505,$L29)))</f>
        <v/>
      </c>
      <c r="I29" s="10" t="str">
        <f aca="false">IF($L29="","",N(INDEX('NHẬP ĐƠN HÀNG'!$R$6:$R$505,$L29)))</f>
        <v/>
      </c>
      <c r="J29" s="10" t="str">
        <f aca="true">IF(OR($L29="",$B29=""),"",MAX(0,TODAY()-$B29))</f>
        <v/>
      </c>
      <c r="K29" s="16" t="str">
        <f aca="false">IF($L29="","",IF(INDEX('NHẬP ĐƠN HÀNG'!$W$6:$W$505,$L29)="","",INDEX('NHẬP ĐƠN HÀNG'!$W$6:$W$505,$L29)))</f>
        <v/>
      </c>
      <c r="L29" s="0" t="str">
        <f aca="false">IFERROR(MATCH(24,'NHẬP ĐƠN HÀNG'!$Y$6:$Y$505,0),"")</f>
        <v/>
      </c>
    </row>
    <row r="30" customFormat="false" ht="15" hidden="false" customHeight="false" outlineLevel="0" collapsed="false">
      <c r="A30" s="16" t="str">
        <f aca="false">IF($L30="","",25)</f>
        <v/>
      </c>
      <c r="B30" s="34" t="str">
        <f aca="false">IF($L30="","",IF(INDEX('NHẬP ĐƠN HÀNG'!$B$6:$B$505,$L30)="","",INDEX('NHẬP ĐƠN HÀNG'!$B$6:$B$505,$L30)))</f>
        <v/>
      </c>
      <c r="C30" s="16" t="str">
        <f aca="false">IF($L30="","",IF(INDEX('NHẬP ĐƠN HÀNG'!$C$6:$C$505,$L30)="","",INDEX('NHẬP ĐƠN HÀNG'!$C$6:$C$505,$L30)))</f>
        <v/>
      </c>
      <c r="D30" s="16" t="str">
        <f aca="false">IF($L30="","",IF(INDEX('NHẬP ĐƠN HÀNG'!$D$6:$D$505,$L30)="","",INDEX('NHẬP ĐƠN HÀNG'!$D$6:$D$505,$L30)))</f>
        <v/>
      </c>
      <c r="E30" s="16" t="str">
        <f aca="false">IF($L30="","",IF(INDEX('NHẬP ĐƠN HÀNG'!$H$6:$H$505,$L30)="","",INDEX('NHẬP ĐƠN HÀNG'!$H$6:$H$505,$L30)))</f>
        <v/>
      </c>
      <c r="F30" s="10" t="str">
        <f aca="false">IF($L30="","",N(INDEX('NHẬP ĐƠN HÀNG'!$I$6:$I$505,$L30)))</f>
        <v/>
      </c>
      <c r="G30" s="10" t="str">
        <f aca="false">IF($L30="","",N(INDEX('NHẬP ĐƠN HÀNG'!$P$6:$P$505,$L30)))</f>
        <v/>
      </c>
      <c r="H30" s="10" t="str">
        <f aca="false">IF($L30="","",N(INDEX('NHẬP ĐƠN HÀNG'!$Q$6:$Q$505,$L30)))</f>
        <v/>
      </c>
      <c r="I30" s="10" t="str">
        <f aca="false">IF($L30="","",N(INDEX('NHẬP ĐƠN HÀNG'!$R$6:$R$505,$L30)))</f>
        <v/>
      </c>
      <c r="J30" s="10" t="str">
        <f aca="true">IF(OR($L30="",$B30=""),"",MAX(0,TODAY()-$B30))</f>
        <v/>
      </c>
      <c r="K30" s="16" t="str">
        <f aca="false">IF($L30="","",IF(INDEX('NHẬP ĐƠN HÀNG'!$W$6:$W$505,$L30)="","",INDEX('NHẬP ĐƠN HÀNG'!$W$6:$W$505,$L30)))</f>
        <v/>
      </c>
      <c r="L30" s="0" t="str">
        <f aca="false">IFERROR(MATCH(25,'NHẬP ĐƠN HÀNG'!$Y$6:$Y$505,0),"")</f>
        <v/>
      </c>
    </row>
    <row r="31" customFormat="false" ht="15" hidden="false" customHeight="false" outlineLevel="0" collapsed="false">
      <c r="A31" s="16" t="str">
        <f aca="false">IF($L31="","",26)</f>
        <v/>
      </c>
      <c r="B31" s="34" t="str">
        <f aca="false">IF($L31="","",IF(INDEX('NHẬP ĐƠN HÀNG'!$B$6:$B$505,$L31)="","",INDEX('NHẬP ĐƠN HÀNG'!$B$6:$B$505,$L31)))</f>
        <v/>
      </c>
      <c r="C31" s="16" t="str">
        <f aca="false">IF($L31="","",IF(INDEX('NHẬP ĐƠN HÀNG'!$C$6:$C$505,$L31)="","",INDEX('NHẬP ĐƠN HÀNG'!$C$6:$C$505,$L31)))</f>
        <v/>
      </c>
      <c r="D31" s="16" t="str">
        <f aca="false">IF($L31="","",IF(INDEX('NHẬP ĐƠN HÀNG'!$D$6:$D$505,$L31)="","",INDEX('NHẬP ĐƠN HÀNG'!$D$6:$D$505,$L31)))</f>
        <v/>
      </c>
      <c r="E31" s="16" t="str">
        <f aca="false">IF($L31="","",IF(INDEX('NHẬP ĐƠN HÀNG'!$H$6:$H$505,$L31)="","",INDEX('NHẬP ĐƠN HÀNG'!$H$6:$H$505,$L31)))</f>
        <v/>
      </c>
      <c r="F31" s="10" t="str">
        <f aca="false">IF($L31="","",N(INDEX('NHẬP ĐƠN HÀNG'!$I$6:$I$505,$L31)))</f>
        <v/>
      </c>
      <c r="G31" s="10" t="str">
        <f aca="false">IF($L31="","",N(INDEX('NHẬP ĐƠN HÀNG'!$P$6:$P$505,$L31)))</f>
        <v/>
      </c>
      <c r="H31" s="10" t="str">
        <f aca="false">IF($L31="","",N(INDEX('NHẬP ĐƠN HÀNG'!$Q$6:$Q$505,$L31)))</f>
        <v/>
      </c>
      <c r="I31" s="10" t="str">
        <f aca="false">IF($L31="","",N(INDEX('NHẬP ĐƠN HÀNG'!$R$6:$R$505,$L31)))</f>
        <v/>
      </c>
      <c r="J31" s="10" t="str">
        <f aca="true">IF(OR($L31="",$B31=""),"",MAX(0,TODAY()-$B31))</f>
        <v/>
      </c>
      <c r="K31" s="16" t="str">
        <f aca="false">IF($L31="","",IF(INDEX('NHẬP ĐƠN HÀNG'!$W$6:$W$505,$L31)="","",INDEX('NHẬP ĐƠN HÀNG'!$W$6:$W$505,$L31)))</f>
        <v/>
      </c>
      <c r="L31" s="0" t="str">
        <f aca="false">IFERROR(MATCH(26,'NHẬP ĐƠN HÀNG'!$Y$6:$Y$505,0),"")</f>
        <v/>
      </c>
    </row>
    <row r="32" customFormat="false" ht="15" hidden="false" customHeight="false" outlineLevel="0" collapsed="false">
      <c r="A32" s="16" t="str">
        <f aca="false">IF($L32="","",27)</f>
        <v/>
      </c>
      <c r="B32" s="34" t="str">
        <f aca="false">IF($L32="","",IF(INDEX('NHẬP ĐƠN HÀNG'!$B$6:$B$505,$L32)="","",INDEX('NHẬP ĐƠN HÀNG'!$B$6:$B$505,$L32)))</f>
        <v/>
      </c>
      <c r="C32" s="16" t="str">
        <f aca="false">IF($L32="","",IF(INDEX('NHẬP ĐƠN HÀNG'!$C$6:$C$505,$L32)="","",INDEX('NHẬP ĐƠN HÀNG'!$C$6:$C$505,$L32)))</f>
        <v/>
      </c>
      <c r="D32" s="16" t="str">
        <f aca="false">IF($L32="","",IF(INDEX('NHẬP ĐƠN HÀNG'!$D$6:$D$505,$L32)="","",INDEX('NHẬP ĐƠN HÀNG'!$D$6:$D$505,$L32)))</f>
        <v/>
      </c>
      <c r="E32" s="16" t="str">
        <f aca="false">IF($L32="","",IF(INDEX('NHẬP ĐƠN HÀNG'!$H$6:$H$505,$L32)="","",INDEX('NHẬP ĐƠN HÀNG'!$H$6:$H$505,$L32)))</f>
        <v/>
      </c>
      <c r="F32" s="10" t="str">
        <f aca="false">IF($L32="","",N(INDEX('NHẬP ĐƠN HÀNG'!$I$6:$I$505,$L32)))</f>
        <v/>
      </c>
      <c r="G32" s="10" t="str">
        <f aca="false">IF($L32="","",N(INDEX('NHẬP ĐƠN HÀNG'!$P$6:$P$505,$L32)))</f>
        <v/>
      </c>
      <c r="H32" s="10" t="str">
        <f aca="false">IF($L32="","",N(INDEX('NHẬP ĐƠN HÀNG'!$Q$6:$Q$505,$L32)))</f>
        <v/>
      </c>
      <c r="I32" s="10" t="str">
        <f aca="false">IF($L32="","",N(INDEX('NHẬP ĐƠN HÀNG'!$R$6:$R$505,$L32)))</f>
        <v/>
      </c>
      <c r="J32" s="10" t="str">
        <f aca="true">IF(OR($L32="",$B32=""),"",MAX(0,TODAY()-$B32))</f>
        <v/>
      </c>
      <c r="K32" s="16" t="str">
        <f aca="false">IF($L32="","",IF(INDEX('NHẬP ĐƠN HÀNG'!$W$6:$W$505,$L32)="","",INDEX('NHẬP ĐƠN HÀNG'!$W$6:$W$505,$L32)))</f>
        <v/>
      </c>
      <c r="L32" s="0" t="str">
        <f aca="false">IFERROR(MATCH(27,'NHẬP ĐƠN HÀNG'!$Y$6:$Y$505,0),"")</f>
        <v/>
      </c>
    </row>
    <row r="33" customFormat="false" ht="15" hidden="false" customHeight="false" outlineLevel="0" collapsed="false">
      <c r="A33" s="16" t="str">
        <f aca="false">IF($L33="","",28)</f>
        <v/>
      </c>
      <c r="B33" s="34" t="str">
        <f aca="false">IF($L33="","",IF(INDEX('NHẬP ĐƠN HÀNG'!$B$6:$B$505,$L33)="","",INDEX('NHẬP ĐƠN HÀNG'!$B$6:$B$505,$L33)))</f>
        <v/>
      </c>
      <c r="C33" s="16" t="str">
        <f aca="false">IF($L33="","",IF(INDEX('NHẬP ĐƠN HÀNG'!$C$6:$C$505,$L33)="","",INDEX('NHẬP ĐƠN HÀNG'!$C$6:$C$505,$L33)))</f>
        <v/>
      </c>
      <c r="D33" s="16" t="str">
        <f aca="false">IF($L33="","",IF(INDEX('NHẬP ĐƠN HÀNG'!$D$6:$D$505,$L33)="","",INDEX('NHẬP ĐƠN HÀNG'!$D$6:$D$505,$L33)))</f>
        <v/>
      </c>
      <c r="E33" s="16" t="str">
        <f aca="false">IF($L33="","",IF(INDEX('NHẬP ĐƠN HÀNG'!$H$6:$H$505,$L33)="","",INDEX('NHẬP ĐƠN HÀNG'!$H$6:$H$505,$L33)))</f>
        <v/>
      </c>
      <c r="F33" s="10" t="str">
        <f aca="false">IF($L33="","",N(INDEX('NHẬP ĐƠN HÀNG'!$I$6:$I$505,$L33)))</f>
        <v/>
      </c>
      <c r="G33" s="10" t="str">
        <f aca="false">IF($L33="","",N(INDEX('NHẬP ĐƠN HÀNG'!$P$6:$P$505,$L33)))</f>
        <v/>
      </c>
      <c r="H33" s="10" t="str">
        <f aca="false">IF($L33="","",N(INDEX('NHẬP ĐƠN HÀNG'!$Q$6:$Q$505,$L33)))</f>
        <v/>
      </c>
      <c r="I33" s="10" t="str">
        <f aca="false">IF($L33="","",N(INDEX('NHẬP ĐƠN HÀNG'!$R$6:$R$505,$L33)))</f>
        <v/>
      </c>
      <c r="J33" s="10" t="str">
        <f aca="true">IF(OR($L33="",$B33=""),"",MAX(0,TODAY()-$B33))</f>
        <v/>
      </c>
      <c r="K33" s="16" t="str">
        <f aca="false">IF($L33="","",IF(INDEX('NHẬP ĐƠN HÀNG'!$W$6:$W$505,$L33)="","",INDEX('NHẬP ĐƠN HÀNG'!$W$6:$W$505,$L33)))</f>
        <v/>
      </c>
      <c r="L33" s="0" t="str">
        <f aca="false">IFERROR(MATCH(28,'NHẬP ĐƠN HÀNG'!$Y$6:$Y$505,0),"")</f>
        <v/>
      </c>
    </row>
    <row r="34" customFormat="false" ht="15" hidden="false" customHeight="false" outlineLevel="0" collapsed="false">
      <c r="A34" s="16" t="str">
        <f aca="false">IF($L34="","",29)</f>
        <v/>
      </c>
      <c r="B34" s="34" t="str">
        <f aca="false">IF($L34="","",IF(INDEX('NHẬP ĐƠN HÀNG'!$B$6:$B$505,$L34)="","",INDEX('NHẬP ĐƠN HÀNG'!$B$6:$B$505,$L34)))</f>
        <v/>
      </c>
      <c r="C34" s="16" t="str">
        <f aca="false">IF($L34="","",IF(INDEX('NHẬP ĐƠN HÀNG'!$C$6:$C$505,$L34)="","",INDEX('NHẬP ĐƠN HÀNG'!$C$6:$C$505,$L34)))</f>
        <v/>
      </c>
      <c r="D34" s="16" t="str">
        <f aca="false">IF($L34="","",IF(INDEX('NHẬP ĐƠN HÀNG'!$D$6:$D$505,$L34)="","",INDEX('NHẬP ĐƠN HÀNG'!$D$6:$D$505,$L34)))</f>
        <v/>
      </c>
      <c r="E34" s="16" t="str">
        <f aca="false">IF($L34="","",IF(INDEX('NHẬP ĐƠN HÀNG'!$H$6:$H$505,$L34)="","",INDEX('NHẬP ĐƠN HÀNG'!$H$6:$H$505,$L34)))</f>
        <v/>
      </c>
      <c r="F34" s="10" t="str">
        <f aca="false">IF($L34="","",N(INDEX('NHẬP ĐƠN HÀNG'!$I$6:$I$505,$L34)))</f>
        <v/>
      </c>
      <c r="G34" s="10" t="str">
        <f aca="false">IF($L34="","",N(INDEX('NHẬP ĐƠN HÀNG'!$P$6:$P$505,$L34)))</f>
        <v/>
      </c>
      <c r="H34" s="10" t="str">
        <f aca="false">IF($L34="","",N(INDEX('NHẬP ĐƠN HÀNG'!$Q$6:$Q$505,$L34)))</f>
        <v/>
      </c>
      <c r="I34" s="10" t="str">
        <f aca="false">IF($L34="","",N(INDEX('NHẬP ĐƠN HÀNG'!$R$6:$R$505,$L34)))</f>
        <v/>
      </c>
      <c r="J34" s="10" t="str">
        <f aca="true">IF(OR($L34="",$B34=""),"",MAX(0,TODAY()-$B34))</f>
        <v/>
      </c>
      <c r="K34" s="16" t="str">
        <f aca="false">IF($L34="","",IF(INDEX('NHẬP ĐƠN HÀNG'!$W$6:$W$505,$L34)="","",INDEX('NHẬP ĐƠN HÀNG'!$W$6:$W$505,$L34)))</f>
        <v/>
      </c>
      <c r="L34" s="0" t="str">
        <f aca="false">IFERROR(MATCH(29,'NHẬP ĐƠN HÀNG'!$Y$6:$Y$505,0),"")</f>
        <v/>
      </c>
    </row>
    <row r="35" customFormat="false" ht="15" hidden="false" customHeight="false" outlineLevel="0" collapsed="false">
      <c r="A35" s="16" t="str">
        <f aca="false">IF($L35="","",30)</f>
        <v/>
      </c>
      <c r="B35" s="34" t="str">
        <f aca="false">IF($L35="","",IF(INDEX('NHẬP ĐƠN HÀNG'!$B$6:$B$505,$L35)="","",INDEX('NHẬP ĐƠN HÀNG'!$B$6:$B$505,$L35)))</f>
        <v/>
      </c>
      <c r="C35" s="16" t="str">
        <f aca="false">IF($L35="","",IF(INDEX('NHẬP ĐƠN HÀNG'!$C$6:$C$505,$L35)="","",INDEX('NHẬP ĐƠN HÀNG'!$C$6:$C$505,$L35)))</f>
        <v/>
      </c>
      <c r="D35" s="16" t="str">
        <f aca="false">IF($L35="","",IF(INDEX('NHẬP ĐƠN HÀNG'!$D$6:$D$505,$L35)="","",INDEX('NHẬP ĐƠN HÀNG'!$D$6:$D$505,$L35)))</f>
        <v/>
      </c>
      <c r="E35" s="16" t="str">
        <f aca="false">IF($L35="","",IF(INDEX('NHẬP ĐƠN HÀNG'!$H$6:$H$505,$L35)="","",INDEX('NHẬP ĐƠN HÀNG'!$H$6:$H$505,$L35)))</f>
        <v/>
      </c>
      <c r="F35" s="10" t="str">
        <f aca="false">IF($L35="","",N(INDEX('NHẬP ĐƠN HÀNG'!$I$6:$I$505,$L35)))</f>
        <v/>
      </c>
      <c r="G35" s="10" t="str">
        <f aca="false">IF($L35="","",N(INDEX('NHẬP ĐƠN HÀNG'!$P$6:$P$505,$L35)))</f>
        <v/>
      </c>
      <c r="H35" s="10" t="str">
        <f aca="false">IF($L35="","",N(INDEX('NHẬP ĐƠN HÀNG'!$Q$6:$Q$505,$L35)))</f>
        <v/>
      </c>
      <c r="I35" s="10" t="str">
        <f aca="false">IF($L35="","",N(INDEX('NHẬP ĐƠN HÀNG'!$R$6:$R$505,$L35)))</f>
        <v/>
      </c>
      <c r="J35" s="10" t="str">
        <f aca="true">IF(OR($L35="",$B35=""),"",MAX(0,TODAY()-$B35))</f>
        <v/>
      </c>
      <c r="K35" s="16" t="str">
        <f aca="false">IF($L35="","",IF(INDEX('NHẬP ĐƠN HÀNG'!$W$6:$W$505,$L35)="","",INDEX('NHẬP ĐƠN HÀNG'!$W$6:$W$505,$L35)))</f>
        <v/>
      </c>
      <c r="L35" s="0" t="str">
        <f aca="false">IFERROR(MATCH(30,'NHẬP ĐƠN HÀNG'!$Y$6:$Y$505,0),"")</f>
        <v/>
      </c>
    </row>
    <row r="36" customFormat="false" ht="15" hidden="false" customHeight="false" outlineLevel="0" collapsed="false">
      <c r="A36" s="16" t="str">
        <f aca="false">IF($L36="","",31)</f>
        <v/>
      </c>
      <c r="B36" s="34" t="str">
        <f aca="false">IF($L36="","",IF(INDEX('NHẬP ĐƠN HÀNG'!$B$6:$B$505,$L36)="","",INDEX('NHẬP ĐƠN HÀNG'!$B$6:$B$505,$L36)))</f>
        <v/>
      </c>
      <c r="C36" s="16" t="str">
        <f aca="false">IF($L36="","",IF(INDEX('NHẬP ĐƠN HÀNG'!$C$6:$C$505,$L36)="","",INDEX('NHẬP ĐƠN HÀNG'!$C$6:$C$505,$L36)))</f>
        <v/>
      </c>
      <c r="D36" s="16" t="str">
        <f aca="false">IF($L36="","",IF(INDEX('NHẬP ĐƠN HÀNG'!$D$6:$D$505,$L36)="","",INDEX('NHẬP ĐƠN HÀNG'!$D$6:$D$505,$L36)))</f>
        <v/>
      </c>
      <c r="E36" s="16" t="str">
        <f aca="false">IF($L36="","",IF(INDEX('NHẬP ĐƠN HÀNG'!$H$6:$H$505,$L36)="","",INDEX('NHẬP ĐƠN HÀNG'!$H$6:$H$505,$L36)))</f>
        <v/>
      </c>
      <c r="F36" s="10" t="str">
        <f aca="false">IF($L36="","",N(INDEX('NHẬP ĐƠN HÀNG'!$I$6:$I$505,$L36)))</f>
        <v/>
      </c>
      <c r="G36" s="10" t="str">
        <f aca="false">IF($L36="","",N(INDEX('NHẬP ĐƠN HÀNG'!$P$6:$P$505,$L36)))</f>
        <v/>
      </c>
      <c r="H36" s="10" t="str">
        <f aca="false">IF($L36="","",N(INDEX('NHẬP ĐƠN HÀNG'!$Q$6:$Q$505,$L36)))</f>
        <v/>
      </c>
      <c r="I36" s="10" t="str">
        <f aca="false">IF($L36="","",N(INDEX('NHẬP ĐƠN HÀNG'!$R$6:$R$505,$L36)))</f>
        <v/>
      </c>
      <c r="J36" s="10" t="str">
        <f aca="true">IF(OR($L36="",$B36=""),"",MAX(0,TODAY()-$B36))</f>
        <v/>
      </c>
      <c r="K36" s="16" t="str">
        <f aca="false">IF($L36="","",IF(INDEX('NHẬP ĐƠN HÀNG'!$W$6:$W$505,$L36)="","",INDEX('NHẬP ĐƠN HÀNG'!$W$6:$W$505,$L36)))</f>
        <v/>
      </c>
      <c r="L36" s="0" t="str">
        <f aca="false">IFERROR(MATCH(31,'NHẬP ĐƠN HÀNG'!$Y$6:$Y$505,0),"")</f>
        <v/>
      </c>
    </row>
    <row r="37" customFormat="false" ht="15" hidden="false" customHeight="false" outlineLevel="0" collapsed="false">
      <c r="A37" s="16" t="str">
        <f aca="false">IF($L37="","",32)</f>
        <v/>
      </c>
      <c r="B37" s="34" t="str">
        <f aca="false">IF($L37="","",IF(INDEX('NHẬP ĐƠN HÀNG'!$B$6:$B$505,$L37)="","",INDEX('NHẬP ĐƠN HÀNG'!$B$6:$B$505,$L37)))</f>
        <v/>
      </c>
      <c r="C37" s="16" t="str">
        <f aca="false">IF($L37="","",IF(INDEX('NHẬP ĐƠN HÀNG'!$C$6:$C$505,$L37)="","",INDEX('NHẬP ĐƠN HÀNG'!$C$6:$C$505,$L37)))</f>
        <v/>
      </c>
      <c r="D37" s="16" t="str">
        <f aca="false">IF($L37="","",IF(INDEX('NHẬP ĐƠN HÀNG'!$D$6:$D$505,$L37)="","",INDEX('NHẬP ĐƠN HÀNG'!$D$6:$D$505,$L37)))</f>
        <v/>
      </c>
      <c r="E37" s="16" t="str">
        <f aca="false">IF($L37="","",IF(INDEX('NHẬP ĐƠN HÀNG'!$H$6:$H$505,$L37)="","",INDEX('NHẬP ĐƠN HÀNG'!$H$6:$H$505,$L37)))</f>
        <v/>
      </c>
      <c r="F37" s="10" t="str">
        <f aca="false">IF($L37="","",N(INDEX('NHẬP ĐƠN HÀNG'!$I$6:$I$505,$L37)))</f>
        <v/>
      </c>
      <c r="G37" s="10" t="str">
        <f aca="false">IF($L37="","",N(INDEX('NHẬP ĐƠN HÀNG'!$P$6:$P$505,$L37)))</f>
        <v/>
      </c>
      <c r="H37" s="10" t="str">
        <f aca="false">IF($L37="","",N(INDEX('NHẬP ĐƠN HÀNG'!$Q$6:$Q$505,$L37)))</f>
        <v/>
      </c>
      <c r="I37" s="10" t="str">
        <f aca="false">IF($L37="","",N(INDEX('NHẬP ĐƠN HÀNG'!$R$6:$R$505,$L37)))</f>
        <v/>
      </c>
      <c r="J37" s="10" t="str">
        <f aca="true">IF(OR($L37="",$B37=""),"",MAX(0,TODAY()-$B37))</f>
        <v/>
      </c>
      <c r="K37" s="16" t="str">
        <f aca="false">IF($L37="","",IF(INDEX('NHẬP ĐƠN HÀNG'!$W$6:$W$505,$L37)="","",INDEX('NHẬP ĐƠN HÀNG'!$W$6:$W$505,$L37)))</f>
        <v/>
      </c>
      <c r="L37" s="0" t="str">
        <f aca="false">IFERROR(MATCH(32,'NHẬP ĐƠN HÀNG'!$Y$6:$Y$505,0),"")</f>
        <v/>
      </c>
    </row>
    <row r="38" customFormat="false" ht="15" hidden="false" customHeight="false" outlineLevel="0" collapsed="false">
      <c r="A38" s="16" t="str">
        <f aca="false">IF($L38="","",33)</f>
        <v/>
      </c>
      <c r="B38" s="34" t="str">
        <f aca="false">IF($L38="","",IF(INDEX('NHẬP ĐƠN HÀNG'!$B$6:$B$505,$L38)="","",INDEX('NHẬP ĐƠN HÀNG'!$B$6:$B$505,$L38)))</f>
        <v/>
      </c>
      <c r="C38" s="16" t="str">
        <f aca="false">IF($L38="","",IF(INDEX('NHẬP ĐƠN HÀNG'!$C$6:$C$505,$L38)="","",INDEX('NHẬP ĐƠN HÀNG'!$C$6:$C$505,$L38)))</f>
        <v/>
      </c>
      <c r="D38" s="16" t="str">
        <f aca="false">IF($L38="","",IF(INDEX('NHẬP ĐƠN HÀNG'!$D$6:$D$505,$L38)="","",INDEX('NHẬP ĐƠN HÀNG'!$D$6:$D$505,$L38)))</f>
        <v/>
      </c>
      <c r="E38" s="16" t="str">
        <f aca="false">IF($L38="","",IF(INDEX('NHẬP ĐƠN HÀNG'!$H$6:$H$505,$L38)="","",INDEX('NHẬP ĐƠN HÀNG'!$H$6:$H$505,$L38)))</f>
        <v/>
      </c>
      <c r="F38" s="10" t="str">
        <f aca="false">IF($L38="","",N(INDEX('NHẬP ĐƠN HÀNG'!$I$6:$I$505,$L38)))</f>
        <v/>
      </c>
      <c r="G38" s="10" t="str">
        <f aca="false">IF($L38="","",N(INDEX('NHẬP ĐƠN HÀNG'!$P$6:$P$505,$L38)))</f>
        <v/>
      </c>
      <c r="H38" s="10" t="str">
        <f aca="false">IF($L38="","",N(INDEX('NHẬP ĐƠN HÀNG'!$Q$6:$Q$505,$L38)))</f>
        <v/>
      </c>
      <c r="I38" s="10" t="str">
        <f aca="false">IF($L38="","",N(INDEX('NHẬP ĐƠN HÀNG'!$R$6:$R$505,$L38)))</f>
        <v/>
      </c>
      <c r="J38" s="10" t="str">
        <f aca="true">IF(OR($L38="",$B38=""),"",MAX(0,TODAY()-$B38))</f>
        <v/>
      </c>
      <c r="K38" s="16" t="str">
        <f aca="false">IF($L38="","",IF(INDEX('NHẬP ĐƠN HÀNG'!$W$6:$W$505,$L38)="","",INDEX('NHẬP ĐƠN HÀNG'!$W$6:$W$505,$L38)))</f>
        <v/>
      </c>
      <c r="L38" s="0" t="str">
        <f aca="false">IFERROR(MATCH(33,'NHẬP ĐƠN HÀNG'!$Y$6:$Y$505,0),"")</f>
        <v/>
      </c>
    </row>
    <row r="39" customFormat="false" ht="15" hidden="false" customHeight="false" outlineLevel="0" collapsed="false">
      <c r="A39" s="16" t="str">
        <f aca="false">IF($L39="","",34)</f>
        <v/>
      </c>
      <c r="B39" s="34" t="str">
        <f aca="false">IF($L39="","",IF(INDEX('NHẬP ĐƠN HÀNG'!$B$6:$B$505,$L39)="","",INDEX('NHẬP ĐƠN HÀNG'!$B$6:$B$505,$L39)))</f>
        <v/>
      </c>
      <c r="C39" s="16" t="str">
        <f aca="false">IF($L39="","",IF(INDEX('NHẬP ĐƠN HÀNG'!$C$6:$C$505,$L39)="","",INDEX('NHẬP ĐƠN HÀNG'!$C$6:$C$505,$L39)))</f>
        <v/>
      </c>
      <c r="D39" s="16" t="str">
        <f aca="false">IF($L39="","",IF(INDEX('NHẬP ĐƠN HÀNG'!$D$6:$D$505,$L39)="","",INDEX('NHẬP ĐƠN HÀNG'!$D$6:$D$505,$L39)))</f>
        <v/>
      </c>
      <c r="E39" s="16" t="str">
        <f aca="false">IF($L39="","",IF(INDEX('NHẬP ĐƠN HÀNG'!$H$6:$H$505,$L39)="","",INDEX('NHẬP ĐƠN HÀNG'!$H$6:$H$505,$L39)))</f>
        <v/>
      </c>
      <c r="F39" s="10" t="str">
        <f aca="false">IF($L39="","",N(INDEX('NHẬP ĐƠN HÀNG'!$I$6:$I$505,$L39)))</f>
        <v/>
      </c>
      <c r="G39" s="10" t="str">
        <f aca="false">IF($L39="","",N(INDEX('NHẬP ĐƠN HÀNG'!$P$6:$P$505,$L39)))</f>
        <v/>
      </c>
      <c r="H39" s="10" t="str">
        <f aca="false">IF($L39="","",N(INDEX('NHẬP ĐƠN HÀNG'!$Q$6:$Q$505,$L39)))</f>
        <v/>
      </c>
      <c r="I39" s="10" t="str">
        <f aca="false">IF($L39="","",N(INDEX('NHẬP ĐƠN HÀNG'!$R$6:$R$505,$L39)))</f>
        <v/>
      </c>
      <c r="J39" s="10" t="str">
        <f aca="true">IF(OR($L39="",$B39=""),"",MAX(0,TODAY()-$B39))</f>
        <v/>
      </c>
      <c r="K39" s="16" t="str">
        <f aca="false">IF($L39="","",IF(INDEX('NHẬP ĐƠN HÀNG'!$W$6:$W$505,$L39)="","",INDEX('NHẬP ĐƠN HÀNG'!$W$6:$W$505,$L39)))</f>
        <v/>
      </c>
      <c r="L39" s="0" t="str">
        <f aca="false">IFERROR(MATCH(34,'NHẬP ĐƠN HÀNG'!$Y$6:$Y$505,0),"")</f>
        <v/>
      </c>
    </row>
    <row r="40" customFormat="false" ht="15" hidden="false" customHeight="false" outlineLevel="0" collapsed="false">
      <c r="A40" s="16" t="str">
        <f aca="false">IF($L40="","",35)</f>
        <v/>
      </c>
      <c r="B40" s="34" t="str">
        <f aca="false">IF($L40="","",IF(INDEX('NHẬP ĐƠN HÀNG'!$B$6:$B$505,$L40)="","",INDEX('NHẬP ĐƠN HÀNG'!$B$6:$B$505,$L40)))</f>
        <v/>
      </c>
      <c r="C40" s="16" t="str">
        <f aca="false">IF($L40="","",IF(INDEX('NHẬP ĐƠN HÀNG'!$C$6:$C$505,$L40)="","",INDEX('NHẬP ĐƠN HÀNG'!$C$6:$C$505,$L40)))</f>
        <v/>
      </c>
      <c r="D40" s="16" t="str">
        <f aca="false">IF($L40="","",IF(INDEX('NHẬP ĐƠN HÀNG'!$D$6:$D$505,$L40)="","",INDEX('NHẬP ĐƠN HÀNG'!$D$6:$D$505,$L40)))</f>
        <v/>
      </c>
      <c r="E40" s="16" t="str">
        <f aca="false">IF($L40="","",IF(INDEX('NHẬP ĐƠN HÀNG'!$H$6:$H$505,$L40)="","",INDEX('NHẬP ĐƠN HÀNG'!$H$6:$H$505,$L40)))</f>
        <v/>
      </c>
      <c r="F40" s="10" t="str">
        <f aca="false">IF($L40="","",N(INDEX('NHẬP ĐƠN HÀNG'!$I$6:$I$505,$L40)))</f>
        <v/>
      </c>
      <c r="G40" s="10" t="str">
        <f aca="false">IF($L40="","",N(INDEX('NHẬP ĐƠN HÀNG'!$P$6:$P$505,$L40)))</f>
        <v/>
      </c>
      <c r="H40" s="10" t="str">
        <f aca="false">IF($L40="","",N(INDEX('NHẬP ĐƠN HÀNG'!$Q$6:$Q$505,$L40)))</f>
        <v/>
      </c>
      <c r="I40" s="10" t="str">
        <f aca="false">IF($L40="","",N(INDEX('NHẬP ĐƠN HÀNG'!$R$6:$R$505,$L40)))</f>
        <v/>
      </c>
      <c r="J40" s="10" t="str">
        <f aca="true">IF(OR($L40="",$B40=""),"",MAX(0,TODAY()-$B40))</f>
        <v/>
      </c>
      <c r="K40" s="16" t="str">
        <f aca="false">IF($L40="","",IF(INDEX('NHẬP ĐƠN HÀNG'!$W$6:$W$505,$L40)="","",INDEX('NHẬP ĐƠN HÀNG'!$W$6:$W$505,$L40)))</f>
        <v/>
      </c>
      <c r="L40" s="0" t="str">
        <f aca="false">IFERROR(MATCH(35,'NHẬP ĐƠN HÀNG'!$Y$6:$Y$505,0),"")</f>
        <v/>
      </c>
    </row>
    <row r="41" customFormat="false" ht="15" hidden="false" customHeight="false" outlineLevel="0" collapsed="false">
      <c r="A41" s="16" t="str">
        <f aca="false">IF($L41="","",36)</f>
        <v/>
      </c>
      <c r="B41" s="34" t="str">
        <f aca="false">IF($L41="","",IF(INDEX('NHẬP ĐƠN HÀNG'!$B$6:$B$505,$L41)="","",INDEX('NHẬP ĐƠN HÀNG'!$B$6:$B$505,$L41)))</f>
        <v/>
      </c>
      <c r="C41" s="16" t="str">
        <f aca="false">IF($L41="","",IF(INDEX('NHẬP ĐƠN HÀNG'!$C$6:$C$505,$L41)="","",INDEX('NHẬP ĐƠN HÀNG'!$C$6:$C$505,$L41)))</f>
        <v/>
      </c>
      <c r="D41" s="16" t="str">
        <f aca="false">IF($L41="","",IF(INDEX('NHẬP ĐƠN HÀNG'!$D$6:$D$505,$L41)="","",INDEX('NHẬP ĐƠN HÀNG'!$D$6:$D$505,$L41)))</f>
        <v/>
      </c>
      <c r="E41" s="16" t="str">
        <f aca="false">IF($L41="","",IF(INDEX('NHẬP ĐƠN HÀNG'!$H$6:$H$505,$L41)="","",INDEX('NHẬP ĐƠN HÀNG'!$H$6:$H$505,$L41)))</f>
        <v/>
      </c>
      <c r="F41" s="10" t="str">
        <f aca="false">IF($L41="","",N(INDEX('NHẬP ĐƠN HÀNG'!$I$6:$I$505,$L41)))</f>
        <v/>
      </c>
      <c r="G41" s="10" t="str">
        <f aca="false">IF($L41="","",N(INDEX('NHẬP ĐƠN HÀNG'!$P$6:$P$505,$L41)))</f>
        <v/>
      </c>
      <c r="H41" s="10" t="str">
        <f aca="false">IF($L41="","",N(INDEX('NHẬP ĐƠN HÀNG'!$Q$6:$Q$505,$L41)))</f>
        <v/>
      </c>
      <c r="I41" s="10" t="str">
        <f aca="false">IF($L41="","",N(INDEX('NHẬP ĐƠN HÀNG'!$R$6:$R$505,$L41)))</f>
        <v/>
      </c>
      <c r="J41" s="10" t="str">
        <f aca="true">IF(OR($L41="",$B41=""),"",MAX(0,TODAY()-$B41))</f>
        <v/>
      </c>
      <c r="K41" s="16" t="str">
        <f aca="false">IF($L41="","",IF(INDEX('NHẬP ĐƠN HÀNG'!$W$6:$W$505,$L41)="","",INDEX('NHẬP ĐƠN HÀNG'!$W$6:$W$505,$L41)))</f>
        <v/>
      </c>
      <c r="L41" s="0" t="str">
        <f aca="false">IFERROR(MATCH(36,'NHẬP ĐƠN HÀNG'!$Y$6:$Y$505,0),"")</f>
        <v/>
      </c>
    </row>
    <row r="42" customFormat="false" ht="15" hidden="false" customHeight="false" outlineLevel="0" collapsed="false">
      <c r="A42" s="16" t="str">
        <f aca="false">IF($L42="","",37)</f>
        <v/>
      </c>
      <c r="B42" s="34" t="str">
        <f aca="false">IF($L42="","",IF(INDEX('NHẬP ĐƠN HÀNG'!$B$6:$B$505,$L42)="","",INDEX('NHẬP ĐƠN HÀNG'!$B$6:$B$505,$L42)))</f>
        <v/>
      </c>
      <c r="C42" s="16" t="str">
        <f aca="false">IF($L42="","",IF(INDEX('NHẬP ĐƠN HÀNG'!$C$6:$C$505,$L42)="","",INDEX('NHẬP ĐƠN HÀNG'!$C$6:$C$505,$L42)))</f>
        <v/>
      </c>
      <c r="D42" s="16" t="str">
        <f aca="false">IF($L42="","",IF(INDEX('NHẬP ĐƠN HÀNG'!$D$6:$D$505,$L42)="","",INDEX('NHẬP ĐƠN HÀNG'!$D$6:$D$505,$L42)))</f>
        <v/>
      </c>
      <c r="E42" s="16" t="str">
        <f aca="false">IF($L42="","",IF(INDEX('NHẬP ĐƠN HÀNG'!$H$6:$H$505,$L42)="","",INDEX('NHẬP ĐƠN HÀNG'!$H$6:$H$505,$L42)))</f>
        <v/>
      </c>
      <c r="F42" s="10" t="str">
        <f aca="false">IF($L42="","",N(INDEX('NHẬP ĐƠN HÀNG'!$I$6:$I$505,$L42)))</f>
        <v/>
      </c>
      <c r="G42" s="10" t="str">
        <f aca="false">IF($L42="","",N(INDEX('NHẬP ĐƠN HÀNG'!$P$6:$P$505,$L42)))</f>
        <v/>
      </c>
      <c r="H42" s="10" t="str">
        <f aca="false">IF($L42="","",N(INDEX('NHẬP ĐƠN HÀNG'!$Q$6:$Q$505,$L42)))</f>
        <v/>
      </c>
      <c r="I42" s="10" t="str">
        <f aca="false">IF($L42="","",N(INDEX('NHẬP ĐƠN HÀNG'!$R$6:$R$505,$L42)))</f>
        <v/>
      </c>
      <c r="J42" s="10" t="str">
        <f aca="true">IF(OR($L42="",$B42=""),"",MAX(0,TODAY()-$B42))</f>
        <v/>
      </c>
      <c r="K42" s="16" t="str">
        <f aca="false">IF($L42="","",IF(INDEX('NHẬP ĐƠN HÀNG'!$W$6:$W$505,$L42)="","",INDEX('NHẬP ĐƠN HÀNG'!$W$6:$W$505,$L42)))</f>
        <v/>
      </c>
      <c r="L42" s="0" t="str">
        <f aca="false">IFERROR(MATCH(37,'NHẬP ĐƠN HÀNG'!$Y$6:$Y$505,0),"")</f>
        <v/>
      </c>
    </row>
    <row r="43" customFormat="false" ht="15" hidden="false" customHeight="false" outlineLevel="0" collapsed="false">
      <c r="A43" s="16" t="str">
        <f aca="false">IF($L43="","",38)</f>
        <v/>
      </c>
      <c r="B43" s="34" t="str">
        <f aca="false">IF($L43="","",IF(INDEX('NHẬP ĐƠN HÀNG'!$B$6:$B$505,$L43)="","",INDEX('NHẬP ĐƠN HÀNG'!$B$6:$B$505,$L43)))</f>
        <v/>
      </c>
      <c r="C43" s="16" t="str">
        <f aca="false">IF($L43="","",IF(INDEX('NHẬP ĐƠN HÀNG'!$C$6:$C$505,$L43)="","",INDEX('NHẬP ĐƠN HÀNG'!$C$6:$C$505,$L43)))</f>
        <v/>
      </c>
      <c r="D43" s="16" t="str">
        <f aca="false">IF($L43="","",IF(INDEX('NHẬP ĐƠN HÀNG'!$D$6:$D$505,$L43)="","",INDEX('NHẬP ĐƠN HÀNG'!$D$6:$D$505,$L43)))</f>
        <v/>
      </c>
      <c r="E43" s="16" t="str">
        <f aca="false">IF($L43="","",IF(INDEX('NHẬP ĐƠN HÀNG'!$H$6:$H$505,$L43)="","",INDEX('NHẬP ĐƠN HÀNG'!$H$6:$H$505,$L43)))</f>
        <v/>
      </c>
      <c r="F43" s="10" t="str">
        <f aca="false">IF($L43="","",N(INDEX('NHẬP ĐƠN HÀNG'!$I$6:$I$505,$L43)))</f>
        <v/>
      </c>
      <c r="G43" s="10" t="str">
        <f aca="false">IF($L43="","",N(INDEX('NHẬP ĐƠN HÀNG'!$P$6:$P$505,$L43)))</f>
        <v/>
      </c>
      <c r="H43" s="10" t="str">
        <f aca="false">IF($L43="","",N(INDEX('NHẬP ĐƠN HÀNG'!$Q$6:$Q$505,$L43)))</f>
        <v/>
      </c>
      <c r="I43" s="10" t="str">
        <f aca="false">IF($L43="","",N(INDEX('NHẬP ĐƠN HÀNG'!$R$6:$R$505,$L43)))</f>
        <v/>
      </c>
      <c r="J43" s="10" t="str">
        <f aca="true">IF(OR($L43="",$B43=""),"",MAX(0,TODAY()-$B43))</f>
        <v/>
      </c>
      <c r="K43" s="16" t="str">
        <f aca="false">IF($L43="","",IF(INDEX('NHẬP ĐƠN HÀNG'!$W$6:$W$505,$L43)="","",INDEX('NHẬP ĐƠN HÀNG'!$W$6:$W$505,$L43)))</f>
        <v/>
      </c>
      <c r="L43" s="0" t="str">
        <f aca="false">IFERROR(MATCH(38,'NHẬP ĐƠN HÀNG'!$Y$6:$Y$505,0),"")</f>
        <v/>
      </c>
    </row>
    <row r="44" customFormat="false" ht="15" hidden="false" customHeight="false" outlineLevel="0" collapsed="false">
      <c r="A44" s="16" t="str">
        <f aca="false">IF($L44="","",39)</f>
        <v/>
      </c>
      <c r="B44" s="34" t="str">
        <f aca="false">IF($L44="","",IF(INDEX('NHẬP ĐƠN HÀNG'!$B$6:$B$505,$L44)="","",INDEX('NHẬP ĐƠN HÀNG'!$B$6:$B$505,$L44)))</f>
        <v/>
      </c>
      <c r="C44" s="16" t="str">
        <f aca="false">IF($L44="","",IF(INDEX('NHẬP ĐƠN HÀNG'!$C$6:$C$505,$L44)="","",INDEX('NHẬP ĐƠN HÀNG'!$C$6:$C$505,$L44)))</f>
        <v/>
      </c>
      <c r="D44" s="16" t="str">
        <f aca="false">IF($L44="","",IF(INDEX('NHẬP ĐƠN HÀNG'!$D$6:$D$505,$L44)="","",INDEX('NHẬP ĐƠN HÀNG'!$D$6:$D$505,$L44)))</f>
        <v/>
      </c>
      <c r="E44" s="16" t="str">
        <f aca="false">IF($L44="","",IF(INDEX('NHẬP ĐƠN HÀNG'!$H$6:$H$505,$L44)="","",INDEX('NHẬP ĐƠN HÀNG'!$H$6:$H$505,$L44)))</f>
        <v/>
      </c>
      <c r="F44" s="10" t="str">
        <f aca="false">IF($L44="","",N(INDEX('NHẬP ĐƠN HÀNG'!$I$6:$I$505,$L44)))</f>
        <v/>
      </c>
      <c r="G44" s="10" t="str">
        <f aca="false">IF($L44="","",N(INDEX('NHẬP ĐƠN HÀNG'!$P$6:$P$505,$L44)))</f>
        <v/>
      </c>
      <c r="H44" s="10" t="str">
        <f aca="false">IF($L44="","",N(INDEX('NHẬP ĐƠN HÀNG'!$Q$6:$Q$505,$L44)))</f>
        <v/>
      </c>
      <c r="I44" s="10" t="str">
        <f aca="false">IF($L44="","",N(INDEX('NHẬP ĐƠN HÀNG'!$R$6:$R$505,$L44)))</f>
        <v/>
      </c>
      <c r="J44" s="10" t="str">
        <f aca="true">IF(OR($L44="",$B44=""),"",MAX(0,TODAY()-$B44))</f>
        <v/>
      </c>
      <c r="K44" s="16" t="str">
        <f aca="false">IF($L44="","",IF(INDEX('NHẬP ĐƠN HÀNG'!$W$6:$W$505,$L44)="","",INDEX('NHẬP ĐƠN HÀNG'!$W$6:$W$505,$L44)))</f>
        <v/>
      </c>
      <c r="L44" s="0" t="str">
        <f aca="false">IFERROR(MATCH(39,'NHẬP ĐƠN HÀNG'!$Y$6:$Y$505,0),"")</f>
        <v/>
      </c>
    </row>
    <row r="45" customFormat="false" ht="15" hidden="false" customHeight="false" outlineLevel="0" collapsed="false">
      <c r="A45" s="16" t="str">
        <f aca="false">IF($L45="","",40)</f>
        <v/>
      </c>
      <c r="B45" s="34" t="str">
        <f aca="false">IF($L45="","",IF(INDEX('NHẬP ĐƠN HÀNG'!$B$6:$B$505,$L45)="","",INDEX('NHẬP ĐƠN HÀNG'!$B$6:$B$505,$L45)))</f>
        <v/>
      </c>
      <c r="C45" s="16" t="str">
        <f aca="false">IF($L45="","",IF(INDEX('NHẬP ĐƠN HÀNG'!$C$6:$C$505,$L45)="","",INDEX('NHẬP ĐƠN HÀNG'!$C$6:$C$505,$L45)))</f>
        <v/>
      </c>
      <c r="D45" s="16" t="str">
        <f aca="false">IF($L45="","",IF(INDEX('NHẬP ĐƠN HÀNG'!$D$6:$D$505,$L45)="","",INDEX('NHẬP ĐƠN HÀNG'!$D$6:$D$505,$L45)))</f>
        <v/>
      </c>
      <c r="E45" s="16" t="str">
        <f aca="false">IF($L45="","",IF(INDEX('NHẬP ĐƠN HÀNG'!$H$6:$H$505,$L45)="","",INDEX('NHẬP ĐƠN HÀNG'!$H$6:$H$505,$L45)))</f>
        <v/>
      </c>
      <c r="F45" s="10" t="str">
        <f aca="false">IF($L45="","",N(INDEX('NHẬP ĐƠN HÀNG'!$I$6:$I$505,$L45)))</f>
        <v/>
      </c>
      <c r="G45" s="10" t="str">
        <f aca="false">IF($L45="","",N(INDEX('NHẬP ĐƠN HÀNG'!$P$6:$P$505,$L45)))</f>
        <v/>
      </c>
      <c r="H45" s="10" t="str">
        <f aca="false">IF($L45="","",N(INDEX('NHẬP ĐƠN HÀNG'!$Q$6:$Q$505,$L45)))</f>
        <v/>
      </c>
      <c r="I45" s="10" t="str">
        <f aca="false">IF($L45="","",N(INDEX('NHẬP ĐƠN HÀNG'!$R$6:$R$505,$L45)))</f>
        <v/>
      </c>
      <c r="J45" s="10" t="str">
        <f aca="true">IF(OR($L45="",$B45=""),"",MAX(0,TODAY()-$B45))</f>
        <v/>
      </c>
      <c r="K45" s="16" t="str">
        <f aca="false">IF($L45="","",IF(INDEX('NHẬP ĐƠN HÀNG'!$W$6:$W$505,$L45)="","",INDEX('NHẬP ĐƠN HÀNG'!$W$6:$W$505,$L45)))</f>
        <v/>
      </c>
      <c r="L45" s="0" t="str">
        <f aca="false">IFERROR(MATCH(40,'NHẬP ĐƠN HÀNG'!$Y$6:$Y$505,0),"")</f>
        <v/>
      </c>
    </row>
    <row r="46" customFormat="false" ht="15" hidden="false" customHeight="false" outlineLevel="0" collapsed="false">
      <c r="A46" s="16" t="str">
        <f aca="false">IF($L46="","",41)</f>
        <v/>
      </c>
      <c r="B46" s="34" t="str">
        <f aca="false">IF($L46="","",IF(INDEX('NHẬP ĐƠN HÀNG'!$B$6:$B$505,$L46)="","",INDEX('NHẬP ĐƠN HÀNG'!$B$6:$B$505,$L46)))</f>
        <v/>
      </c>
      <c r="C46" s="16" t="str">
        <f aca="false">IF($L46="","",IF(INDEX('NHẬP ĐƠN HÀNG'!$C$6:$C$505,$L46)="","",INDEX('NHẬP ĐƠN HÀNG'!$C$6:$C$505,$L46)))</f>
        <v/>
      </c>
      <c r="D46" s="16" t="str">
        <f aca="false">IF($L46="","",IF(INDEX('NHẬP ĐƠN HÀNG'!$D$6:$D$505,$L46)="","",INDEX('NHẬP ĐƠN HÀNG'!$D$6:$D$505,$L46)))</f>
        <v/>
      </c>
      <c r="E46" s="16" t="str">
        <f aca="false">IF($L46="","",IF(INDEX('NHẬP ĐƠN HÀNG'!$H$6:$H$505,$L46)="","",INDEX('NHẬP ĐƠN HÀNG'!$H$6:$H$505,$L46)))</f>
        <v/>
      </c>
      <c r="F46" s="10" t="str">
        <f aca="false">IF($L46="","",N(INDEX('NHẬP ĐƠN HÀNG'!$I$6:$I$505,$L46)))</f>
        <v/>
      </c>
      <c r="G46" s="10" t="str">
        <f aca="false">IF($L46="","",N(INDEX('NHẬP ĐƠN HÀNG'!$P$6:$P$505,$L46)))</f>
        <v/>
      </c>
      <c r="H46" s="10" t="str">
        <f aca="false">IF($L46="","",N(INDEX('NHẬP ĐƠN HÀNG'!$Q$6:$Q$505,$L46)))</f>
        <v/>
      </c>
      <c r="I46" s="10" t="str">
        <f aca="false">IF($L46="","",N(INDEX('NHẬP ĐƠN HÀNG'!$R$6:$R$505,$L46)))</f>
        <v/>
      </c>
      <c r="J46" s="10" t="str">
        <f aca="true">IF(OR($L46="",$B46=""),"",MAX(0,TODAY()-$B46))</f>
        <v/>
      </c>
      <c r="K46" s="16" t="str">
        <f aca="false">IF($L46="","",IF(INDEX('NHẬP ĐƠN HÀNG'!$W$6:$W$505,$L46)="","",INDEX('NHẬP ĐƠN HÀNG'!$W$6:$W$505,$L46)))</f>
        <v/>
      </c>
      <c r="L46" s="0" t="str">
        <f aca="false">IFERROR(MATCH(41,'NHẬP ĐƠN HÀNG'!$Y$6:$Y$505,0),"")</f>
        <v/>
      </c>
    </row>
    <row r="47" customFormat="false" ht="15" hidden="false" customHeight="false" outlineLevel="0" collapsed="false">
      <c r="A47" s="16" t="str">
        <f aca="false">IF($L47="","",42)</f>
        <v/>
      </c>
      <c r="B47" s="34" t="str">
        <f aca="false">IF($L47="","",IF(INDEX('NHẬP ĐƠN HÀNG'!$B$6:$B$505,$L47)="","",INDEX('NHẬP ĐƠN HÀNG'!$B$6:$B$505,$L47)))</f>
        <v/>
      </c>
      <c r="C47" s="16" t="str">
        <f aca="false">IF($L47="","",IF(INDEX('NHẬP ĐƠN HÀNG'!$C$6:$C$505,$L47)="","",INDEX('NHẬP ĐƠN HÀNG'!$C$6:$C$505,$L47)))</f>
        <v/>
      </c>
      <c r="D47" s="16" t="str">
        <f aca="false">IF($L47="","",IF(INDEX('NHẬP ĐƠN HÀNG'!$D$6:$D$505,$L47)="","",INDEX('NHẬP ĐƠN HÀNG'!$D$6:$D$505,$L47)))</f>
        <v/>
      </c>
      <c r="E47" s="16" t="str">
        <f aca="false">IF($L47="","",IF(INDEX('NHẬP ĐƠN HÀNG'!$H$6:$H$505,$L47)="","",INDEX('NHẬP ĐƠN HÀNG'!$H$6:$H$505,$L47)))</f>
        <v/>
      </c>
      <c r="F47" s="10" t="str">
        <f aca="false">IF($L47="","",N(INDEX('NHẬP ĐƠN HÀNG'!$I$6:$I$505,$L47)))</f>
        <v/>
      </c>
      <c r="G47" s="10" t="str">
        <f aca="false">IF($L47="","",N(INDEX('NHẬP ĐƠN HÀNG'!$P$6:$P$505,$L47)))</f>
        <v/>
      </c>
      <c r="H47" s="10" t="str">
        <f aca="false">IF($L47="","",N(INDEX('NHẬP ĐƠN HÀNG'!$Q$6:$Q$505,$L47)))</f>
        <v/>
      </c>
      <c r="I47" s="10" t="str">
        <f aca="false">IF($L47="","",N(INDEX('NHẬP ĐƠN HÀNG'!$R$6:$R$505,$L47)))</f>
        <v/>
      </c>
      <c r="J47" s="10" t="str">
        <f aca="true">IF(OR($L47="",$B47=""),"",MAX(0,TODAY()-$B47))</f>
        <v/>
      </c>
      <c r="K47" s="16" t="str">
        <f aca="false">IF($L47="","",IF(INDEX('NHẬP ĐƠN HÀNG'!$W$6:$W$505,$L47)="","",INDEX('NHẬP ĐƠN HÀNG'!$W$6:$W$505,$L47)))</f>
        <v/>
      </c>
      <c r="L47" s="0" t="str">
        <f aca="false">IFERROR(MATCH(42,'NHẬP ĐƠN HÀNG'!$Y$6:$Y$505,0),"")</f>
        <v/>
      </c>
    </row>
    <row r="48" customFormat="false" ht="15" hidden="false" customHeight="false" outlineLevel="0" collapsed="false">
      <c r="A48" s="16" t="str">
        <f aca="false">IF($L48="","",43)</f>
        <v/>
      </c>
      <c r="B48" s="34" t="str">
        <f aca="false">IF($L48="","",IF(INDEX('NHẬP ĐƠN HÀNG'!$B$6:$B$505,$L48)="","",INDEX('NHẬP ĐƠN HÀNG'!$B$6:$B$505,$L48)))</f>
        <v/>
      </c>
      <c r="C48" s="16" t="str">
        <f aca="false">IF($L48="","",IF(INDEX('NHẬP ĐƠN HÀNG'!$C$6:$C$505,$L48)="","",INDEX('NHẬP ĐƠN HÀNG'!$C$6:$C$505,$L48)))</f>
        <v/>
      </c>
      <c r="D48" s="16" t="str">
        <f aca="false">IF($L48="","",IF(INDEX('NHẬP ĐƠN HÀNG'!$D$6:$D$505,$L48)="","",INDEX('NHẬP ĐƠN HÀNG'!$D$6:$D$505,$L48)))</f>
        <v/>
      </c>
      <c r="E48" s="16" t="str">
        <f aca="false">IF($L48="","",IF(INDEX('NHẬP ĐƠN HÀNG'!$H$6:$H$505,$L48)="","",INDEX('NHẬP ĐƠN HÀNG'!$H$6:$H$505,$L48)))</f>
        <v/>
      </c>
      <c r="F48" s="10" t="str">
        <f aca="false">IF($L48="","",N(INDEX('NHẬP ĐƠN HÀNG'!$I$6:$I$505,$L48)))</f>
        <v/>
      </c>
      <c r="G48" s="10" t="str">
        <f aca="false">IF($L48="","",N(INDEX('NHẬP ĐƠN HÀNG'!$P$6:$P$505,$L48)))</f>
        <v/>
      </c>
      <c r="H48" s="10" t="str">
        <f aca="false">IF($L48="","",N(INDEX('NHẬP ĐƠN HÀNG'!$Q$6:$Q$505,$L48)))</f>
        <v/>
      </c>
      <c r="I48" s="10" t="str">
        <f aca="false">IF($L48="","",N(INDEX('NHẬP ĐƠN HÀNG'!$R$6:$R$505,$L48)))</f>
        <v/>
      </c>
      <c r="J48" s="10" t="str">
        <f aca="true">IF(OR($L48="",$B48=""),"",MAX(0,TODAY()-$B48))</f>
        <v/>
      </c>
      <c r="K48" s="16" t="str">
        <f aca="false">IF($L48="","",IF(INDEX('NHẬP ĐƠN HÀNG'!$W$6:$W$505,$L48)="","",INDEX('NHẬP ĐƠN HÀNG'!$W$6:$W$505,$L48)))</f>
        <v/>
      </c>
      <c r="L48" s="0" t="str">
        <f aca="false">IFERROR(MATCH(43,'NHẬP ĐƠN HÀNG'!$Y$6:$Y$505,0),"")</f>
        <v/>
      </c>
    </row>
    <row r="49" customFormat="false" ht="15" hidden="false" customHeight="false" outlineLevel="0" collapsed="false">
      <c r="A49" s="16" t="str">
        <f aca="false">IF($L49="","",44)</f>
        <v/>
      </c>
      <c r="B49" s="34" t="str">
        <f aca="false">IF($L49="","",IF(INDEX('NHẬP ĐƠN HÀNG'!$B$6:$B$505,$L49)="","",INDEX('NHẬP ĐƠN HÀNG'!$B$6:$B$505,$L49)))</f>
        <v/>
      </c>
      <c r="C49" s="16" t="str">
        <f aca="false">IF($L49="","",IF(INDEX('NHẬP ĐƠN HÀNG'!$C$6:$C$505,$L49)="","",INDEX('NHẬP ĐƠN HÀNG'!$C$6:$C$505,$L49)))</f>
        <v/>
      </c>
      <c r="D49" s="16" t="str">
        <f aca="false">IF($L49="","",IF(INDEX('NHẬP ĐƠN HÀNG'!$D$6:$D$505,$L49)="","",INDEX('NHẬP ĐƠN HÀNG'!$D$6:$D$505,$L49)))</f>
        <v/>
      </c>
      <c r="E49" s="16" t="str">
        <f aca="false">IF($L49="","",IF(INDEX('NHẬP ĐƠN HÀNG'!$H$6:$H$505,$L49)="","",INDEX('NHẬP ĐƠN HÀNG'!$H$6:$H$505,$L49)))</f>
        <v/>
      </c>
      <c r="F49" s="10" t="str">
        <f aca="false">IF($L49="","",N(INDEX('NHẬP ĐƠN HÀNG'!$I$6:$I$505,$L49)))</f>
        <v/>
      </c>
      <c r="G49" s="10" t="str">
        <f aca="false">IF($L49="","",N(INDEX('NHẬP ĐƠN HÀNG'!$P$6:$P$505,$L49)))</f>
        <v/>
      </c>
      <c r="H49" s="10" t="str">
        <f aca="false">IF($L49="","",N(INDEX('NHẬP ĐƠN HÀNG'!$Q$6:$Q$505,$L49)))</f>
        <v/>
      </c>
      <c r="I49" s="10" t="str">
        <f aca="false">IF($L49="","",N(INDEX('NHẬP ĐƠN HÀNG'!$R$6:$R$505,$L49)))</f>
        <v/>
      </c>
      <c r="J49" s="10" t="str">
        <f aca="true">IF(OR($L49="",$B49=""),"",MAX(0,TODAY()-$B49))</f>
        <v/>
      </c>
      <c r="K49" s="16" t="str">
        <f aca="false">IF($L49="","",IF(INDEX('NHẬP ĐƠN HÀNG'!$W$6:$W$505,$L49)="","",INDEX('NHẬP ĐƠN HÀNG'!$W$6:$W$505,$L49)))</f>
        <v/>
      </c>
      <c r="L49" s="0" t="str">
        <f aca="false">IFERROR(MATCH(44,'NHẬP ĐƠN HÀNG'!$Y$6:$Y$505,0),"")</f>
        <v/>
      </c>
    </row>
    <row r="50" customFormat="false" ht="15" hidden="false" customHeight="false" outlineLevel="0" collapsed="false">
      <c r="A50" s="16" t="str">
        <f aca="false">IF($L50="","",45)</f>
        <v/>
      </c>
      <c r="B50" s="34" t="str">
        <f aca="false">IF($L50="","",IF(INDEX('NHẬP ĐƠN HÀNG'!$B$6:$B$505,$L50)="","",INDEX('NHẬP ĐƠN HÀNG'!$B$6:$B$505,$L50)))</f>
        <v/>
      </c>
      <c r="C50" s="16" t="str">
        <f aca="false">IF($L50="","",IF(INDEX('NHẬP ĐƠN HÀNG'!$C$6:$C$505,$L50)="","",INDEX('NHẬP ĐƠN HÀNG'!$C$6:$C$505,$L50)))</f>
        <v/>
      </c>
      <c r="D50" s="16" t="str">
        <f aca="false">IF($L50="","",IF(INDEX('NHẬP ĐƠN HÀNG'!$D$6:$D$505,$L50)="","",INDEX('NHẬP ĐƠN HÀNG'!$D$6:$D$505,$L50)))</f>
        <v/>
      </c>
      <c r="E50" s="16" t="str">
        <f aca="false">IF($L50="","",IF(INDEX('NHẬP ĐƠN HÀNG'!$H$6:$H$505,$L50)="","",INDEX('NHẬP ĐƠN HÀNG'!$H$6:$H$505,$L50)))</f>
        <v/>
      </c>
      <c r="F50" s="10" t="str">
        <f aca="false">IF($L50="","",N(INDEX('NHẬP ĐƠN HÀNG'!$I$6:$I$505,$L50)))</f>
        <v/>
      </c>
      <c r="G50" s="10" t="str">
        <f aca="false">IF($L50="","",N(INDEX('NHẬP ĐƠN HÀNG'!$P$6:$P$505,$L50)))</f>
        <v/>
      </c>
      <c r="H50" s="10" t="str">
        <f aca="false">IF($L50="","",N(INDEX('NHẬP ĐƠN HÀNG'!$Q$6:$Q$505,$L50)))</f>
        <v/>
      </c>
      <c r="I50" s="10" t="str">
        <f aca="false">IF($L50="","",N(INDEX('NHẬP ĐƠN HÀNG'!$R$6:$R$505,$L50)))</f>
        <v/>
      </c>
      <c r="J50" s="10" t="str">
        <f aca="true">IF(OR($L50="",$B50=""),"",MAX(0,TODAY()-$B50))</f>
        <v/>
      </c>
      <c r="K50" s="16" t="str">
        <f aca="false">IF($L50="","",IF(INDEX('NHẬP ĐƠN HÀNG'!$W$6:$W$505,$L50)="","",INDEX('NHẬP ĐƠN HÀNG'!$W$6:$W$505,$L50)))</f>
        <v/>
      </c>
      <c r="L50" s="0" t="str">
        <f aca="false">IFERROR(MATCH(45,'NHẬP ĐƠN HÀNG'!$Y$6:$Y$505,0),"")</f>
        <v/>
      </c>
    </row>
    <row r="51" customFormat="false" ht="15" hidden="false" customHeight="false" outlineLevel="0" collapsed="false">
      <c r="A51" s="16" t="str">
        <f aca="false">IF($L51="","",46)</f>
        <v/>
      </c>
      <c r="B51" s="34" t="str">
        <f aca="false">IF($L51="","",IF(INDEX('NHẬP ĐƠN HÀNG'!$B$6:$B$505,$L51)="","",INDEX('NHẬP ĐƠN HÀNG'!$B$6:$B$505,$L51)))</f>
        <v/>
      </c>
      <c r="C51" s="16" t="str">
        <f aca="false">IF($L51="","",IF(INDEX('NHẬP ĐƠN HÀNG'!$C$6:$C$505,$L51)="","",INDEX('NHẬP ĐƠN HÀNG'!$C$6:$C$505,$L51)))</f>
        <v/>
      </c>
      <c r="D51" s="16" t="str">
        <f aca="false">IF($L51="","",IF(INDEX('NHẬP ĐƠN HÀNG'!$D$6:$D$505,$L51)="","",INDEX('NHẬP ĐƠN HÀNG'!$D$6:$D$505,$L51)))</f>
        <v/>
      </c>
      <c r="E51" s="16" t="str">
        <f aca="false">IF($L51="","",IF(INDEX('NHẬP ĐƠN HÀNG'!$H$6:$H$505,$L51)="","",INDEX('NHẬP ĐƠN HÀNG'!$H$6:$H$505,$L51)))</f>
        <v/>
      </c>
      <c r="F51" s="10" t="str">
        <f aca="false">IF($L51="","",N(INDEX('NHẬP ĐƠN HÀNG'!$I$6:$I$505,$L51)))</f>
        <v/>
      </c>
      <c r="G51" s="10" t="str">
        <f aca="false">IF($L51="","",N(INDEX('NHẬP ĐƠN HÀNG'!$P$6:$P$505,$L51)))</f>
        <v/>
      </c>
      <c r="H51" s="10" t="str">
        <f aca="false">IF($L51="","",N(INDEX('NHẬP ĐƠN HÀNG'!$Q$6:$Q$505,$L51)))</f>
        <v/>
      </c>
      <c r="I51" s="10" t="str">
        <f aca="false">IF($L51="","",N(INDEX('NHẬP ĐƠN HÀNG'!$R$6:$R$505,$L51)))</f>
        <v/>
      </c>
      <c r="J51" s="10" t="str">
        <f aca="true">IF(OR($L51="",$B51=""),"",MAX(0,TODAY()-$B51))</f>
        <v/>
      </c>
      <c r="K51" s="16" t="str">
        <f aca="false">IF($L51="","",IF(INDEX('NHẬP ĐƠN HÀNG'!$W$6:$W$505,$L51)="","",INDEX('NHẬP ĐƠN HÀNG'!$W$6:$W$505,$L51)))</f>
        <v/>
      </c>
      <c r="L51" s="0" t="str">
        <f aca="false">IFERROR(MATCH(46,'NHẬP ĐƠN HÀNG'!$Y$6:$Y$505,0),"")</f>
        <v/>
      </c>
    </row>
    <row r="52" customFormat="false" ht="15" hidden="false" customHeight="false" outlineLevel="0" collapsed="false">
      <c r="A52" s="16" t="str">
        <f aca="false">IF($L52="","",47)</f>
        <v/>
      </c>
      <c r="B52" s="34" t="str">
        <f aca="false">IF($L52="","",IF(INDEX('NHẬP ĐƠN HÀNG'!$B$6:$B$505,$L52)="","",INDEX('NHẬP ĐƠN HÀNG'!$B$6:$B$505,$L52)))</f>
        <v/>
      </c>
      <c r="C52" s="16" t="str">
        <f aca="false">IF($L52="","",IF(INDEX('NHẬP ĐƠN HÀNG'!$C$6:$C$505,$L52)="","",INDEX('NHẬP ĐƠN HÀNG'!$C$6:$C$505,$L52)))</f>
        <v/>
      </c>
      <c r="D52" s="16" t="str">
        <f aca="false">IF($L52="","",IF(INDEX('NHẬP ĐƠN HÀNG'!$D$6:$D$505,$L52)="","",INDEX('NHẬP ĐƠN HÀNG'!$D$6:$D$505,$L52)))</f>
        <v/>
      </c>
      <c r="E52" s="16" t="str">
        <f aca="false">IF($L52="","",IF(INDEX('NHẬP ĐƠN HÀNG'!$H$6:$H$505,$L52)="","",INDEX('NHẬP ĐƠN HÀNG'!$H$6:$H$505,$L52)))</f>
        <v/>
      </c>
      <c r="F52" s="10" t="str">
        <f aca="false">IF($L52="","",N(INDEX('NHẬP ĐƠN HÀNG'!$I$6:$I$505,$L52)))</f>
        <v/>
      </c>
      <c r="G52" s="10" t="str">
        <f aca="false">IF($L52="","",N(INDEX('NHẬP ĐƠN HÀNG'!$P$6:$P$505,$L52)))</f>
        <v/>
      </c>
      <c r="H52" s="10" t="str">
        <f aca="false">IF($L52="","",N(INDEX('NHẬP ĐƠN HÀNG'!$Q$6:$Q$505,$L52)))</f>
        <v/>
      </c>
      <c r="I52" s="10" t="str">
        <f aca="false">IF($L52="","",N(INDEX('NHẬP ĐƠN HÀNG'!$R$6:$R$505,$L52)))</f>
        <v/>
      </c>
      <c r="J52" s="10" t="str">
        <f aca="true">IF(OR($L52="",$B52=""),"",MAX(0,TODAY()-$B52))</f>
        <v/>
      </c>
      <c r="K52" s="16" t="str">
        <f aca="false">IF($L52="","",IF(INDEX('NHẬP ĐƠN HÀNG'!$W$6:$W$505,$L52)="","",INDEX('NHẬP ĐƠN HÀNG'!$W$6:$W$505,$L52)))</f>
        <v/>
      </c>
      <c r="L52" s="0" t="str">
        <f aca="false">IFERROR(MATCH(47,'NHẬP ĐƠN HÀNG'!$Y$6:$Y$505,0),"")</f>
        <v/>
      </c>
    </row>
    <row r="53" customFormat="false" ht="15" hidden="false" customHeight="false" outlineLevel="0" collapsed="false">
      <c r="A53" s="16" t="str">
        <f aca="false">IF($L53="","",48)</f>
        <v/>
      </c>
      <c r="B53" s="34" t="str">
        <f aca="false">IF($L53="","",IF(INDEX('NHẬP ĐƠN HÀNG'!$B$6:$B$505,$L53)="","",INDEX('NHẬP ĐƠN HÀNG'!$B$6:$B$505,$L53)))</f>
        <v/>
      </c>
      <c r="C53" s="16" t="str">
        <f aca="false">IF($L53="","",IF(INDEX('NHẬP ĐƠN HÀNG'!$C$6:$C$505,$L53)="","",INDEX('NHẬP ĐƠN HÀNG'!$C$6:$C$505,$L53)))</f>
        <v/>
      </c>
      <c r="D53" s="16" t="str">
        <f aca="false">IF($L53="","",IF(INDEX('NHẬP ĐƠN HÀNG'!$D$6:$D$505,$L53)="","",INDEX('NHẬP ĐƠN HÀNG'!$D$6:$D$505,$L53)))</f>
        <v/>
      </c>
      <c r="E53" s="16" t="str">
        <f aca="false">IF($L53="","",IF(INDEX('NHẬP ĐƠN HÀNG'!$H$6:$H$505,$L53)="","",INDEX('NHẬP ĐƠN HÀNG'!$H$6:$H$505,$L53)))</f>
        <v/>
      </c>
      <c r="F53" s="10" t="str">
        <f aca="false">IF($L53="","",N(INDEX('NHẬP ĐƠN HÀNG'!$I$6:$I$505,$L53)))</f>
        <v/>
      </c>
      <c r="G53" s="10" t="str">
        <f aca="false">IF($L53="","",N(INDEX('NHẬP ĐƠN HÀNG'!$P$6:$P$505,$L53)))</f>
        <v/>
      </c>
      <c r="H53" s="10" t="str">
        <f aca="false">IF($L53="","",N(INDEX('NHẬP ĐƠN HÀNG'!$Q$6:$Q$505,$L53)))</f>
        <v/>
      </c>
      <c r="I53" s="10" t="str">
        <f aca="false">IF($L53="","",N(INDEX('NHẬP ĐƠN HÀNG'!$R$6:$R$505,$L53)))</f>
        <v/>
      </c>
      <c r="J53" s="10" t="str">
        <f aca="true">IF(OR($L53="",$B53=""),"",MAX(0,TODAY()-$B53))</f>
        <v/>
      </c>
      <c r="K53" s="16" t="str">
        <f aca="false">IF($L53="","",IF(INDEX('NHẬP ĐƠN HÀNG'!$W$6:$W$505,$L53)="","",INDEX('NHẬP ĐƠN HÀNG'!$W$6:$W$505,$L53)))</f>
        <v/>
      </c>
      <c r="L53" s="0" t="str">
        <f aca="false">IFERROR(MATCH(48,'NHẬP ĐƠN HÀNG'!$Y$6:$Y$505,0),"")</f>
        <v/>
      </c>
    </row>
    <row r="54" customFormat="false" ht="15" hidden="false" customHeight="false" outlineLevel="0" collapsed="false">
      <c r="A54" s="16" t="str">
        <f aca="false">IF($L54="","",49)</f>
        <v/>
      </c>
      <c r="B54" s="34" t="str">
        <f aca="false">IF($L54="","",IF(INDEX('NHẬP ĐƠN HÀNG'!$B$6:$B$505,$L54)="","",INDEX('NHẬP ĐƠN HÀNG'!$B$6:$B$505,$L54)))</f>
        <v/>
      </c>
      <c r="C54" s="16" t="str">
        <f aca="false">IF($L54="","",IF(INDEX('NHẬP ĐƠN HÀNG'!$C$6:$C$505,$L54)="","",INDEX('NHẬP ĐƠN HÀNG'!$C$6:$C$505,$L54)))</f>
        <v/>
      </c>
      <c r="D54" s="16" t="str">
        <f aca="false">IF($L54="","",IF(INDEX('NHẬP ĐƠN HÀNG'!$D$6:$D$505,$L54)="","",INDEX('NHẬP ĐƠN HÀNG'!$D$6:$D$505,$L54)))</f>
        <v/>
      </c>
      <c r="E54" s="16" t="str">
        <f aca="false">IF($L54="","",IF(INDEX('NHẬP ĐƠN HÀNG'!$H$6:$H$505,$L54)="","",INDEX('NHẬP ĐƠN HÀNG'!$H$6:$H$505,$L54)))</f>
        <v/>
      </c>
      <c r="F54" s="10" t="str">
        <f aca="false">IF($L54="","",N(INDEX('NHẬP ĐƠN HÀNG'!$I$6:$I$505,$L54)))</f>
        <v/>
      </c>
      <c r="G54" s="10" t="str">
        <f aca="false">IF($L54="","",N(INDEX('NHẬP ĐƠN HÀNG'!$P$6:$P$505,$L54)))</f>
        <v/>
      </c>
      <c r="H54" s="10" t="str">
        <f aca="false">IF($L54="","",N(INDEX('NHẬP ĐƠN HÀNG'!$Q$6:$Q$505,$L54)))</f>
        <v/>
      </c>
      <c r="I54" s="10" t="str">
        <f aca="false">IF($L54="","",N(INDEX('NHẬP ĐƠN HÀNG'!$R$6:$R$505,$L54)))</f>
        <v/>
      </c>
      <c r="J54" s="10" t="str">
        <f aca="true">IF(OR($L54="",$B54=""),"",MAX(0,TODAY()-$B54))</f>
        <v/>
      </c>
      <c r="K54" s="16" t="str">
        <f aca="false">IF($L54="","",IF(INDEX('NHẬP ĐƠN HÀNG'!$W$6:$W$505,$L54)="","",INDEX('NHẬP ĐƠN HÀNG'!$W$6:$W$505,$L54)))</f>
        <v/>
      </c>
      <c r="L54" s="0" t="str">
        <f aca="false">IFERROR(MATCH(49,'NHẬP ĐƠN HÀNG'!$Y$6:$Y$505,0),"")</f>
        <v/>
      </c>
    </row>
    <row r="55" customFormat="false" ht="15" hidden="false" customHeight="false" outlineLevel="0" collapsed="false">
      <c r="A55" s="16" t="str">
        <f aca="false">IF($L55="","",50)</f>
        <v/>
      </c>
      <c r="B55" s="34" t="str">
        <f aca="false">IF($L55="","",IF(INDEX('NHẬP ĐƠN HÀNG'!$B$6:$B$505,$L55)="","",INDEX('NHẬP ĐƠN HÀNG'!$B$6:$B$505,$L55)))</f>
        <v/>
      </c>
      <c r="C55" s="16" t="str">
        <f aca="false">IF($L55="","",IF(INDEX('NHẬP ĐƠN HÀNG'!$C$6:$C$505,$L55)="","",INDEX('NHẬP ĐƠN HÀNG'!$C$6:$C$505,$L55)))</f>
        <v/>
      </c>
      <c r="D55" s="16" t="str">
        <f aca="false">IF($L55="","",IF(INDEX('NHẬP ĐƠN HÀNG'!$D$6:$D$505,$L55)="","",INDEX('NHẬP ĐƠN HÀNG'!$D$6:$D$505,$L55)))</f>
        <v/>
      </c>
      <c r="E55" s="16" t="str">
        <f aca="false">IF($L55="","",IF(INDEX('NHẬP ĐƠN HÀNG'!$H$6:$H$505,$L55)="","",INDEX('NHẬP ĐƠN HÀNG'!$H$6:$H$505,$L55)))</f>
        <v/>
      </c>
      <c r="F55" s="10" t="str">
        <f aca="false">IF($L55="","",N(INDEX('NHẬP ĐƠN HÀNG'!$I$6:$I$505,$L55)))</f>
        <v/>
      </c>
      <c r="G55" s="10" t="str">
        <f aca="false">IF($L55="","",N(INDEX('NHẬP ĐƠN HÀNG'!$P$6:$P$505,$L55)))</f>
        <v/>
      </c>
      <c r="H55" s="10" t="str">
        <f aca="false">IF($L55="","",N(INDEX('NHẬP ĐƠN HÀNG'!$Q$6:$Q$505,$L55)))</f>
        <v/>
      </c>
      <c r="I55" s="10" t="str">
        <f aca="false">IF($L55="","",N(INDEX('NHẬP ĐƠN HÀNG'!$R$6:$R$505,$L55)))</f>
        <v/>
      </c>
      <c r="J55" s="10" t="str">
        <f aca="true">IF(OR($L55="",$B55=""),"",MAX(0,TODAY()-$B55))</f>
        <v/>
      </c>
      <c r="K55" s="16" t="str">
        <f aca="false">IF($L55="","",IF(INDEX('NHẬP ĐƠN HÀNG'!$W$6:$W$505,$L55)="","",INDEX('NHẬP ĐƠN HÀNG'!$W$6:$W$505,$L55)))</f>
        <v/>
      </c>
      <c r="L55" s="0" t="str">
        <f aca="false">IFERROR(MATCH(50,'NHẬP ĐƠN HÀNG'!$Y$6:$Y$505,0),"")</f>
        <v/>
      </c>
    </row>
    <row r="56" customFormat="false" ht="15" hidden="false" customHeight="false" outlineLevel="0" collapsed="false">
      <c r="A56" s="16" t="str">
        <f aca="false">IF($L56="","",51)</f>
        <v/>
      </c>
      <c r="B56" s="34" t="str">
        <f aca="false">IF($L56="","",IF(INDEX('NHẬP ĐƠN HÀNG'!$B$6:$B$505,$L56)="","",INDEX('NHẬP ĐƠN HÀNG'!$B$6:$B$505,$L56)))</f>
        <v/>
      </c>
      <c r="C56" s="16" t="str">
        <f aca="false">IF($L56="","",IF(INDEX('NHẬP ĐƠN HÀNG'!$C$6:$C$505,$L56)="","",INDEX('NHẬP ĐƠN HÀNG'!$C$6:$C$505,$L56)))</f>
        <v/>
      </c>
      <c r="D56" s="16" t="str">
        <f aca="false">IF($L56="","",IF(INDEX('NHẬP ĐƠN HÀNG'!$D$6:$D$505,$L56)="","",INDEX('NHẬP ĐƠN HÀNG'!$D$6:$D$505,$L56)))</f>
        <v/>
      </c>
      <c r="E56" s="16" t="str">
        <f aca="false">IF($L56="","",IF(INDEX('NHẬP ĐƠN HÀNG'!$H$6:$H$505,$L56)="","",INDEX('NHẬP ĐƠN HÀNG'!$H$6:$H$505,$L56)))</f>
        <v/>
      </c>
      <c r="F56" s="10" t="str">
        <f aca="false">IF($L56="","",N(INDEX('NHẬP ĐƠN HÀNG'!$I$6:$I$505,$L56)))</f>
        <v/>
      </c>
      <c r="G56" s="10" t="str">
        <f aca="false">IF($L56="","",N(INDEX('NHẬP ĐƠN HÀNG'!$P$6:$P$505,$L56)))</f>
        <v/>
      </c>
      <c r="H56" s="10" t="str">
        <f aca="false">IF($L56="","",N(INDEX('NHẬP ĐƠN HÀNG'!$Q$6:$Q$505,$L56)))</f>
        <v/>
      </c>
      <c r="I56" s="10" t="str">
        <f aca="false">IF($L56="","",N(INDEX('NHẬP ĐƠN HÀNG'!$R$6:$R$505,$L56)))</f>
        <v/>
      </c>
      <c r="J56" s="10" t="str">
        <f aca="true">IF(OR($L56="",$B56=""),"",MAX(0,TODAY()-$B56))</f>
        <v/>
      </c>
      <c r="K56" s="16" t="str">
        <f aca="false">IF($L56="","",IF(INDEX('NHẬP ĐƠN HÀNG'!$W$6:$W$505,$L56)="","",INDEX('NHẬP ĐƠN HÀNG'!$W$6:$W$505,$L56)))</f>
        <v/>
      </c>
      <c r="L56" s="0" t="str">
        <f aca="false">IFERROR(MATCH(51,'NHẬP ĐƠN HÀNG'!$Y$6:$Y$505,0),"")</f>
        <v/>
      </c>
    </row>
    <row r="57" customFormat="false" ht="15" hidden="false" customHeight="false" outlineLevel="0" collapsed="false">
      <c r="A57" s="16" t="str">
        <f aca="false">IF($L57="","",52)</f>
        <v/>
      </c>
      <c r="B57" s="34" t="str">
        <f aca="false">IF($L57="","",IF(INDEX('NHẬP ĐƠN HÀNG'!$B$6:$B$505,$L57)="","",INDEX('NHẬP ĐƠN HÀNG'!$B$6:$B$505,$L57)))</f>
        <v/>
      </c>
      <c r="C57" s="16" t="str">
        <f aca="false">IF($L57="","",IF(INDEX('NHẬP ĐƠN HÀNG'!$C$6:$C$505,$L57)="","",INDEX('NHẬP ĐƠN HÀNG'!$C$6:$C$505,$L57)))</f>
        <v/>
      </c>
      <c r="D57" s="16" t="str">
        <f aca="false">IF($L57="","",IF(INDEX('NHẬP ĐƠN HÀNG'!$D$6:$D$505,$L57)="","",INDEX('NHẬP ĐƠN HÀNG'!$D$6:$D$505,$L57)))</f>
        <v/>
      </c>
      <c r="E57" s="16" t="str">
        <f aca="false">IF($L57="","",IF(INDEX('NHẬP ĐƠN HÀNG'!$H$6:$H$505,$L57)="","",INDEX('NHẬP ĐƠN HÀNG'!$H$6:$H$505,$L57)))</f>
        <v/>
      </c>
      <c r="F57" s="10" t="str">
        <f aca="false">IF($L57="","",N(INDEX('NHẬP ĐƠN HÀNG'!$I$6:$I$505,$L57)))</f>
        <v/>
      </c>
      <c r="G57" s="10" t="str">
        <f aca="false">IF($L57="","",N(INDEX('NHẬP ĐƠN HÀNG'!$P$6:$P$505,$L57)))</f>
        <v/>
      </c>
      <c r="H57" s="10" t="str">
        <f aca="false">IF($L57="","",N(INDEX('NHẬP ĐƠN HÀNG'!$Q$6:$Q$505,$L57)))</f>
        <v/>
      </c>
      <c r="I57" s="10" t="str">
        <f aca="false">IF($L57="","",N(INDEX('NHẬP ĐƠN HÀNG'!$R$6:$R$505,$L57)))</f>
        <v/>
      </c>
      <c r="J57" s="10" t="str">
        <f aca="true">IF(OR($L57="",$B57=""),"",MAX(0,TODAY()-$B57))</f>
        <v/>
      </c>
      <c r="K57" s="16" t="str">
        <f aca="false">IF($L57="","",IF(INDEX('NHẬP ĐƠN HÀNG'!$W$6:$W$505,$L57)="","",INDEX('NHẬP ĐƠN HÀNG'!$W$6:$W$505,$L57)))</f>
        <v/>
      </c>
      <c r="L57" s="0" t="str">
        <f aca="false">IFERROR(MATCH(52,'NHẬP ĐƠN HÀNG'!$Y$6:$Y$505,0),"")</f>
        <v/>
      </c>
    </row>
    <row r="58" customFormat="false" ht="15" hidden="false" customHeight="false" outlineLevel="0" collapsed="false">
      <c r="A58" s="16" t="str">
        <f aca="false">IF($L58="","",53)</f>
        <v/>
      </c>
      <c r="B58" s="34" t="str">
        <f aca="false">IF($L58="","",IF(INDEX('NHẬP ĐƠN HÀNG'!$B$6:$B$505,$L58)="","",INDEX('NHẬP ĐƠN HÀNG'!$B$6:$B$505,$L58)))</f>
        <v/>
      </c>
      <c r="C58" s="16" t="str">
        <f aca="false">IF($L58="","",IF(INDEX('NHẬP ĐƠN HÀNG'!$C$6:$C$505,$L58)="","",INDEX('NHẬP ĐƠN HÀNG'!$C$6:$C$505,$L58)))</f>
        <v/>
      </c>
      <c r="D58" s="16" t="str">
        <f aca="false">IF($L58="","",IF(INDEX('NHẬP ĐƠN HÀNG'!$D$6:$D$505,$L58)="","",INDEX('NHẬP ĐƠN HÀNG'!$D$6:$D$505,$L58)))</f>
        <v/>
      </c>
      <c r="E58" s="16" t="str">
        <f aca="false">IF($L58="","",IF(INDEX('NHẬP ĐƠN HÀNG'!$H$6:$H$505,$L58)="","",INDEX('NHẬP ĐƠN HÀNG'!$H$6:$H$505,$L58)))</f>
        <v/>
      </c>
      <c r="F58" s="10" t="str">
        <f aca="false">IF($L58="","",N(INDEX('NHẬP ĐƠN HÀNG'!$I$6:$I$505,$L58)))</f>
        <v/>
      </c>
      <c r="G58" s="10" t="str">
        <f aca="false">IF($L58="","",N(INDEX('NHẬP ĐƠN HÀNG'!$P$6:$P$505,$L58)))</f>
        <v/>
      </c>
      <c r="H58" s="10" t="str">
        <f aca="false">IF($L58="","",N(INDEX('NHẬP ĐƠN HÀNG'!$Q$6:$Q$505,$L58)))</f>
        <v/>
      </c>
      <c r="I58" s="10" t="str">
        <f aca="false">IF($L58="","",N(INDEX('NHẬP ĐƠN HÀNG'!$R$6:$R$505,$L58)))</f>
        <v/>
      </c>
      <c r="J58" s="10" t="str">
        <f aca="true">IF(OR($L58="",$B58=""),"",MAX(0,TODAY()-$B58))</f>
        <v/>
      </c>
      <c r="K58" s="16" t="str">
        <f aca="false">IF($L58="","",IF(INDEX('NHẬP ĐƠN HÀNG'!$W$6:$W$505,$L58)="","",INDEX('NHẬP ĐƠN HÀNG'!$W$6:$W$505,$L58)))</f>
        <v/>
      </c>
      <c r="L58" s="0" t="str">
        <f aca="false">IFERROR(MATCH(53,'NHẬP ĐƠN HÀNG'!$Y$6:$Y$505,0),"")</f>
        <v/>
      </c>
    </row>
    <row r="59" customFormat="false" ht="15" hidden="false" customHeight="false" outlineLevel="0" collapsed="false">
      <c r="A59" s="16" t="str">
        <f aca="false">IF($L59="","",54)</f>
        <v/>
      </c>
      <c r="B59" s="34" t="str">
        <f aca="false">IF($L59="","",IF(INDEX('NHẬP ĐƠN HÀNG'!$B$6:$B$505,$L59)="","",INDEX('NHẬP ĐƠN HÀNG'!$B$6:$B$505,$L59)))</f>
        <v/>
      </c>
      <c r="C59" s="16" t="str">
        <f aca="false">IF($L59="","",IF(INDEX('NHẬP ĐƠN HÀNG'!$C$6:$C$505,$L59)="","",INDEX('NHẬP ĐƠN HÀNG'!$C$6:$C$505,$L59)))</f>
        <v/>
      </c>
      <c r="D59" s="16" t="str">
        <f aca="false">IF($L59="","",IF(INDEX('NHẬP ĐƠN HÀNG'!$D$6:$D$505,$L59)="","",INDEX('NHẬP ĐƠN HÀNG'!$D$6:$D$505,$L59)))</f>
        <v/>
      </c>
      <c r="E59" s="16" t="str">
        <f aca="false">IF($L59="","",IF(INDEX('NHẬP ĐƠN HÀNG'!$H$6:$H$505,$L59)="","",INDEX('NHẬP ĐƠN HÀNG'!$H$6:$H$505,$L59)))</f>
        <v/>
      </c>
      <c r="F59" s="10" t="str">
        <f aca="false">IF($L59="","",N(INDEX('NHẬP ĐƠN HÀNG'!$I$6:$I$505,$L59)))</f>
        <v/>
      </c>
      <c r="G59" s="10" t="str">
        <f aca="false">IF($L59="","",N(INDEX('NHẬP ĐƠN HÀNG'!$P$6:$P$505,$L59)))</f>
        <v/>
      </c>
      <c r="H59" s="10" t="str">
        <f aca="false">IF($L59="","",N(INDEX('NHẬP ĐƠN HÀNG'!$Q$6:$Q$505,$L59)))</f>
        <v/>
      </c>
      <c r="I59" s="10" t="str">
        <f aca="false">IF($L59="","",N(INDEX('NHẬP ĐƠN HÀNG'!$R$6:$R$505,$L59)))</f>
        <v/>
      </c>
      <c r="J59" s="10" t="str">
        <f aca="true">IF(OR($L59="",$B59=""),"",MAX(0,TODAY()-$B59))</f>
        <v/>
      </c>
      <c r="K59" s="16" t="str">
        <f aca="false">IF($L59="","",IF(INDEX('NHẬP ĐƠN HÀNG'!$W$6:$W$505,$L59)="","",INDEX('NHẬP ĐƠN HÀNG'!$W$6:$W$505,$L59)))</f>
        <v/>
      </c>
      <c r="L59" s="0" t="str">
        <f aca="false">IFERROR(MATCH(54,'NHẬP ĐƠN HÀNG'!$Y$6:$Y$505,0),"")</f>
        <v/>
      </c>
    </row>
    <row r="60" customFormat="false" ht="15" hidden="false" customHeight="false" outlineLevel="0" collapsed="false">
      <c r="A60" s="16" t="str">
        <f aca="false">IF($L60="","",55)</f>
        <v/>
      </c>
      <c r="B60" s="34" t="str">
        <f aca="false">IF($L60="","",IF(INDEX('NHẬP ĐƠN HÀNG'!$B$6:$B$505,$L60)="","",INDEX('NHẬP ĐƠN HÀNG'!$B$6:$B$505,$L60)))</f>
        <v/>
      </c>
      <c r="C60" s="16" t="str">
        <f aca="false">IF($L60="","",IF(INDEX('NHẬP ĐƠN HÀNG'!$C$6:$C$505,$L60)="","",INDEX('NHẬP ĐƠN HÀNG'!$C$6:$C$505,$L60)))</f>
        <v/>
      </c>
      <c r="D60" s="16" t="str">
        <f aca="false">IF($L60="","",IF(INDEX('NHẬP ĐƠN HÀNG'!$D$6:$D$505,$L60)="","",INDEX('NHẬP ĐƠN HÀNG'!$D$6:$D$505,$L60)))</f>
        <v/>
      </c>
      <c r="E60" s="16" t="str">
        <f aca="false">IF($L60="","",IF(INDEX('NHẬP ĐƠN HÀNG'!$H$6:$H$505,$L60)="","",INDEX('NHẬP ĐƠN HÀNG'!$H$6:$H$505,$L60)))</f>
        <v/>
      </c>
      <c r="F60" s="10" t="str">
        <f aca="false">IF($L60="","",N(INDEX('NHẬP ĐƠN HÀNG'!$I$6:$I$505,$L60)))</f>
        <v/>
      </c>
      <c r="G60" s="10" t="str">
        <f aca="false">IF($L60="","",N(INDEX('NHẬP ĐƠN HÀNG'!$P$6:$P$505,$L60)))</f>
        <v/>
      </c>
      <c r="H60" s="10" t="str">
        <f aca="false">IF($L60="","",N(INDEX('NHẬP ĐƠN HÀNG'!$Q$6:$Q$505,$L60)))</f>
        <v/>
      </c>
      <c r="I60" s="10" t="str">
        <f aca="false">IF($L60="","",N(INDEX('NHẬP ĐƠN HÀNG'!$R$6:$R$505,$L60)))</f>
        <v/>
      </c>
      <c r="J60" s="10" t="str">
        <f aca="true">IF(OR($L60="",$B60=""),"",MAX(0,TODAY()-$B60))</f>
        <v/>
      </c>
      <c r="K60" s="16" t="str">
        <f aca="false">IF($L60="","",IF(INDEX('NHẬP ĐƠN HÀNG'!$W$6:$W$505,$L60)="","",INDEX('NHẬP ĐƠN HÀNG'!$W$6:$W$505,$L60)))</f>
        <v/>
      </c>
      <c r="L60" s="0" t="str">
        <f aca="false">IFERROR(MATCH(55,'NHẬP ĐƠN HÀNG'!$Y$6:$Y$505,0),"")</f>
        <v/>
      </c>
    </row>
    <row r="61" customFormat="false" ht="15" hidden="false" customHeight="false" outlineLevel="0" collapsed="false">
      <c r="A61" s="16" t="str">
        <f aca="false">IF($L61="","",56)</f>
        <v/>
      </c>
      <c r="B61" s="34" t="str">
        <f aca="false">IF($L61="","",IF(INDEX('NHẬP ĐƠN HÀNG'!$B$6:$B$505,$L61)="","",INDEX('NHẬP ĐƠN HÀNG'!$B$6:$B$505,$L61)))</f>
        <v/>
      </c>
      <c r="C61" s="16" t="str">
        <f aca="false">IF($L61="","",IF(INDEX('NHẬP ĐƠN HÀNG'!$C$6:$C$505,$L61)="","",INDEX('NHẬP ĐƠN HÀNG'!$C$6:$C$505,$L61)))</f>
        <v/>
      </c>
      <c r="D61" s="16" t="str">
        <f aca="false">IF($L61="","",IF(INDEX('NHẬP ĐƠN HÀNG'!$D$6:$D$505,$L61)="","",INDEX('NHẬP ĐƠN HÀNG'!$D$6:$D$505,$L61)))</f>
        <v/>
      </c>
      <c r="E61" s="16" t="str">
        <f aca="false">IF($L61="","",IF(INDEX('NHẬP ĐƠN HÀNG'!$H$6:$H$505,$L61)="","",INDEX('NHẬP ĐƠN HÀNG'!$H$6:$H$505,$L61)))</f>
        <v/>
      </c>
      <c r="F61" s="10" t="str">
        <f aca="false">IF($L61="","",N(INDEX('NHẬP ĐƠN HÀNG'!$I$6:$I$505,$L61)))</f>
        <v/>
      </c>
      <c r="G61" s="10" t="str">
        <f aca="false">IF($L61="","",N(INDEX('NHẬP ĐƠN HÀNG'!$P$6:$P$505,$L61)))</f>
        <v/>
      </c>
      <c r="H61" s="10" t="str">
        <f aca="false">IF($L61="","",N(INDEX('NHẬP ĐƠN HÀNG'!$Q$6:$Q$505,$L61)))</f>
        <v/>
      </c>
      <c r="I61" s="10" t="str">
        <f aca="false">IF($L61="","",N(INDEX('NHẬP ĐƠN HÀNG'!$R$6:$R$505,$L61)))</f>
        <v/>
      </c>
      <c r="J61" s="10" t="str">
        <f aca="true">IF(OR($L61="",$B61=""),"",MAX(0,TODAY()-$B61))</f>
        <v/>
      </c>
      <c r="K61" s="16" t="str">
        <f aca="false">IF($L61="","",IF(INDEX('NHẬP ĐƠN HÀNG'!$W$6:$W$505,$L61)="","",INDEX('NHẬP ĐƠN HÀNG'!$W$6:$W$505,$L61)))</f>
        <v/>
      </c>
      <c r="L61" s="0" t="str">
        <f aca="false">IFERROR(MATCH(56,'NHẬP ĐƠN HÀNG'!$Y$6:$Y$505,0),"")</f>
        <v/>
      </c>
    </row>
    <row r="62" customFormat="false" ht="15" hidden="false" customHeight="false" outlineLevel="0" collapsed="false">
      <c r="A62" s="16" t="str">
        <f aca="false">IF($L62="","",57)</f>
        <v/>
      </c>
      <c r="B62" s="34" t="str">
        <f aca="false">IF($L62="","",IF(INDEX('NHẬP ĐƠN HÀNG'!$B$6:$B$505,$L62)="","",INDEX('NHẬP ĐƠN HÀNG'!$B$6:$B$505,$L62)))</f>
        <v/>
      </c>
      <c r="C62" s="16" t="str">
        <f aca="false">IF($L62="","",IF(INDEX('NHẬP ĐƠN HÀNG'!$C$6:$C$505,$L62)="","",INDEX('NHẬP ĐƠN HÀNG'!$C$6:$C$505,$L62)))</f>
        <v/>
      </c>
      <c r="D62" s="16" t="str">
        <f aca="false">IF($L62="","",IF(INDEX('NHẬP ĐƠN HÀNG'!$D$6:$D$505,$L62)="","",INDEX('NHẬP ĐƠN HÀNG'!$D$6:$D$505,$L62)))</f>
        <v/>
      </c>
      <c r="E62" s="16" t="str">
        <f aca="false">IF($L62="","",IF(INDEX('NHẬP ĐƠN HÀNG'!$H$6:$H$505,$L62)="","",INDEX('NHẬP ĐƠN HÀNG'!$H$6:$H$505,$L62)))</f>
        <v/>
      </c>
      <c r="F62" s="10" t="str">
        <f aca="false">IF($L62="","",N(INDEX('NHẬP ĐƠN HÀNG'!$I$6:$I$505,$L62)))</f>
        <v/>
      </c>
      <c r="G62" s="10" t="str">
        <f aca="false">IF($L62="","",N(INDEX('NHẬP ĐƠN HÀNG'!$P$6:$P$505,$L62)))</f>
        <v/>
      </c>
      <c r="H62" s="10" t="str">
        <f aca="false">IF($L62="","",N(INDEX('NHẬP ĐƠN HÀNG'!$Q$6:$Q$505,$L62)))</f>
        <v/>
      </c>
      <c r="I62" s="10" t="str">
        <f aca="false">IF($L62="","",N(INDEX('NHẬP ĐƠN HÀNG'!$R$6:$R$505,$L62)))</f>
        <v/>
      </c>
      <c r="J62" s="10" t="str">
        <f aca="true">IF(OR($L62="",$B62=""),"",MAX(0,TODAY()-$B62))</f>
        <v/>
      </c>
      <c r="K62" s="16" t="str">
        <f aca="false">IF($L62="","",IF(INDEX('NHẬP ĐƠN HÀNG'!$W$6:$W$505,$L62)="","",INDEX('NHẬP ĐƠN HÀNG'!$W$6:$W$505,$L62)))</f>
        <v/>
      </c>
      <c r="L62" s="0" t="str">
        <f aca="false">IFERROR(MATCH(57,'NHẬP ĐƠN HÀNG'!$Y$6:$Y$505,0),"")</f>
        <v/>
      </c>
    </row>
    <row r="63" customFormat="false" ht="15" hidden="false" customHeight="false" outlineLevel="0" collapsed="false">
      <c r="A63" s="16" t="str">
        <f aca="false">IF($L63="","",58)</f>
        <v/>
      </c>
      <c r="B63" s="34" t="str">
        <f aca="false">IF($L63="","",IF(INDEX('NHẬP ĐƠN HÀNG'!$B$6:$B$505,$L63)="","",INDEX('NHẬP ĐƠN HÀNG'!$B$6:$B$505,$L63)))</f>
        <v/>
      </c>
      <c r="C63" s="16" t="str">
        <f aca="false">IF($L63="","",IF(INDEX('NHẬP ĐƠN HÀNG'!$C$6:$C$505,$L63)="","",INDEX('NHẬP ĐƠN HÀNG'!$C$6:$C$505,$L63)))</f>
        <v/>
      </c>
      <c r="D63" s="16" t="str">
        <f aca="false">IF($L63="","",IF(INDEX('NHẬP ĐƠN HÀNG'!$D$6:$D$505,$L63)="","",INDEX('NHẬP ĐƠN HÀNG'!$D$6:$D$505,$L63)))</f>
        <v/>
      </c>
      <c r="E63" s="16" t="str">
        <f aca="false">IF($L63="","",IF(INDEX('NHẬP ĐƠN HÀNG'!$H$6:$H$505,$L63)="","",INDEX('NHẬP ĐƠN HÀNG'!$H$6:$H$505,$L63)))</f>
        <v/>
      </c>
      <c r="F63" s="10" t="str">
        <f aca="false">IF($L63="","",N(INDEX('NHẬP ĐƠN HÀNG'!$I$6:$I$505,$L63)))</f>
        <v/>
      </c>
      <c r="G63" s="10" t="str">
        <f aca="false">IF($L63="","",N(INDEX('NHẬP ĐƠN HÀNG'!$P$6:$P$505,$L63)))</f>
        <v/>
      </c>
      <c r="H63" s="10" t="str">
        <f aca="false">IF($L63="","",N(INDEX('NHẬP ĐƠN HÀNG'!$Q$6:$Q$505,$L63)))</f>
        <v/>
      </c>
      <c r="I63" s="10" t="str">
        <f aca="false">IF($L63="","",N(INDEX('NHẬP ĐƠN HÀNG'!$R$6:$R$505,$L63)))</f>
        <v/>
      </c>
      <c r="J63" s="10" t="str">
        <f aca="true">IF(OR($L63="",$B63=""),"",MAX(0,TODAY()-$B63))</f>
        <v/>
      </c>
      <c r="K63" s="16" t="str">
        <f aca="false">IF($L63="","",IF(INDEX('NHẬP ĐƠN HÀNG'!$W$6:$W$505,$L63)="","",INDEX('NHẬP ĐƠN HÀNG'!$W$6:$W$505,$L63)))</f>
        <v/>
      </c>
      <c r="L63" s="0" t="str">
        <f aca="false">IFERROR(MATCH(58,'NHẬP ĐƠN HÀNG'!$Y$6:$Y$505,0),"")</f>
        <v/>
      </c>
    </row>
    <row r="64" customFormat="false" ht="15" hidden="false" customHeight="false" outlineLevel="0" collapsed="false">
      <c r="A64" s="16" t="str">
        <f aca="false">IF($L64="","",59)</f>
        <v/>
      </c>
      <c r="B64" s="34" t="str">
        <f aca="false">IF($L64="","",IF(INDEX('NHẬP ĐƠN HÀNG'!$B$6:$B$505,$L64)="","",INDEX('NHẬP ĐƠN HÀNG'!$B$6:$B$505,$L64)))</f>
        <v/>
      </c>
      <c r="C64" s="16" t="str">
        <f aca="false">IF($L64="","",IF(INDEX('NHẬP ĐƠN HÀNG'!$C$6:$C$505,$L64)="","",INDEX('NHẬP ĐƠN HÀNG'!$C$6:$C$505,$L64)))</f>
        <v/>
      </c>
      <c r="D64" s="16" t="str">
        <f aca="false">IF($L64="","",IF(INDEX('NHẬP ĐƠN HÀNG'!$D$6:$D$505,$L64)="","",INDEX('NHẬP ĐƠN HÀNG'!$D$6:$D$505,$L64)))</f>
        <v/>
      </c>
      <c r="E64" s="16" t="str">
        <f aca="false">IF($L64="","",IF(INDEX('NHẬP ĐƠN HÀNG'!$H$6:$H$505,$L64)="","",INDEX('NHẬP ĐƠN HÀNG'!$H$6:$H$505,$L64)))</f>
        <v/>
      </c>
      <c r="F64" s="10" t="str">
        <f aca="false">IF($L64="","",N(INDEX('NHẬP ĐƠN HÀNG'!$I$6:$I$505,$L64)))</f>
        <v/>
      </c>
      <c r="G64" s="10" t="str">
        <f aca="false">IF($L64="","",N(INDEX('NHẬP ĐƠN HÀNG'!$P$6:$P$505,$L64)))</f>
        <v/>
      </c>
      <c r="H64" s="10" t="str">
        <f aca="false">IF($L64="","",N(INDEX('NHẬP ĐƠN HÀNG'!$Q$6:$Q$505,$L64)))</f>
        <v/>
      </c>
      <c r="I64" s="10" t="str">
        <f aca="false">IF($L64="","",N(INDEX('NHẬP ĐƠN HÀNG'!$R$6:$R$505,$L64)))</f>
        <v/>
      </c>
      <c r="J64" s="10" t="str">
        <f aca="true">IF(OR($L64="",$B64=""),"",MAX(0,TODAY()-$B64))</f>
        <v/>
      </c>
      <c r="K64" s="16" t="str">
        <f aca="false">IF($L64="","",IF(INDEX('NHẬP ĐƠN HÀNG'!$W$6:$W$505,$L64)="","",INDEX('NHẬP ĐƠN HÀNG'!$W$6:$W$505,$L64)))</f>
        <v/>
      </c>
      <c r="L64" s="0" t="str">
        <f aca="false">IFERROR(MATCH(59,'NHẬP ĐƠN HÀNG'!$Y$6:$Y$505,0),"")</f>
        <v/>
      </c>
    </row>
    <row r="65" customFormat="false" ht="15" hidden="false" customHeight="false" outlineLevel="0" collapsed="false">
      <c r="A65" s="16" t="str">
        <f aca="false">IF($L65="","",60)</f>
        <v/>
      </c>
      <c r="B65" s="34" t="str">
        <f aca="false">IF($L65="","",IF(INDEX('NHẬP ĐƠN HÀNG'!$B$6:$B$505,$L65)="","",INDEX('NHẬP ĐƠN HÀNG'!$B$6:$B$505,$L65)))</f>
        <v/>
      </c>
      <c r="C65" s="16" t="str">
        <f aca="false">IF($L65="","",IF(INDEX('NHẬP ĐƠN HÀNG'!$C$6:$C$505,$L65)="","",INDEX('NHẬP ĐƠN HÀNG'!$C$6:$C$505,$L65)))</f>
        <v/>
      </c>
      <c r="D65" s="16" t="str">
        <f aca="false">IF($L65="","",IF(INDEX('NHẬP ĐƠN HÀNG'!$D$6:$D$505,$L65)="","",INDEX('NHẬP ĐƠN HÀNG'!$D$6:$D$505,$L65)))</f>
        <v/>
      </c>
      <c r="E65" s="16" t="str">
        <f aca="false">IF($L65="","",IF(INDEX('NHẬP ĐƠN HÀNG'!$H$6:$H$505,$L65)="","",INDEX('NHẬP ĐƠN HÀNG'!$H$6:$H$505,$L65)))</f>
        <v/>
      </c>
      <c r="F65" s="10" t="str">
        <f aca="false">IF($L65="","",N(INDEX('NHẬP ĐƠN HÀNG'!$I$6:$I$505,$L65)))</f>
        <v/>
      </c>
      <c r="G65" s="10" t="str">
        <f aca="false">IF($L65="","",N(INDEX('NHẬP ĐƠN HÀNG'!$P$6:$P$505,$L65)))</f>
        <v/>
      </c>
      <c r="H65" s="10" t="str">
        <f aca="false">IF($L65="","",N(INDEX('NHẬP ĐƠN HÀNG'!$Q$6:$Q$505,$L65)))</f>
        <v/>
      </c>
      <c r="I65" s="10" t="str">
        <f aca="false">IF($L65="","",N(INDEX('NHẬP ĐƠN HÀNG'!$R$6:$R$505,$L65)))</f>
        <v/>
      </c>
      <c r="J65" s="10" t="str">
        <f aca="true">IF(OR($L65="",$B65=""),"",MAX(0,TODAY()-$B65))</f>
        <v/>
      </c>
      <c r="K65" s="16" t="str">
        <f aca="false">IF($L65="","",IF(INDEX('NHẬP ĐƠN HÀNG'!$W$6:$W$505,$L65)="","",INDEX('NHẬP ĐƠN HÀNG'!$W$6:$W$505,$L65)))</f>
        <v/>
      </c>
      <c r="L65" s="0" t="str">
        <f aca="false">IFERROR(MATCH(60,'NHẬP ĐƠN HÀNG'!$Y$6:$Y$505,0),"")</f>
        <v/>
      </c>
    </row>
    <row r="66" customFormat="false" ht="15" hidden="false" customHeight="false" outlineLevel="0" collapsed="false">
      <c r="A66" s="16" t="str">
        <f aca="false">IF($L66="","",61)</f>
        <v/>
      </c>
      <c r="B66" s="34" t="str">
        <f aca="false">IF($L66="","",IF(INDEX('NHẬP ĐƠN HÀNG'!$B$6:$B$505,$L66)="","",INDEX('NHẬP ĐƠN HÀNG'!$B$6:$B$505,$L66)))</f>
        <v/>
      </c>
      <c r="C66" s="16" t="str">
        <f aca="false">IF($L66="","",IF(INDEX('NHẬP ĐƠN HÀNG'!$C$6:$C$505,$L66)="","",INDEX('NHẬP ĐƠN HÀNG'!$C$6:$C$505,$L66)))</f>
        <v/>
      </c>
      <c r="D66" s="16" t="str">
        <f aca="false">IF($L66="","",IF(INDEX('NHẬP ĐƠN HÀNG'!$D$6:$D$505,$L66)="","",INDEX('NHẬP ĐƠN HÀNG'!$D$6:$D$505,$L66)))</f>
        <v/>
      </c>
      <c r="E66" s="16" t="str">
        <f aca="false">IF($L66="","",IF(INDEX('NHẬP ĐƠN HÀNG'!$H$6:$H$505,$L66)="","",INDEX('NHẬP ĐƠN HÀNG'!$H$6:$H$505,$L66)))</f>
        <v/>
      </c>
      <c r="F66" s="10" t="str">
        <f aca="false">IF($L66="","",N(INDEX('NHẬP ĐƠN HÀNG'!$I$6:$I$505,$L66)))</f>
        <v/>
      </c>
      <c r="G66" s="10" t="str">
        <f aca="false">IF($L66="","",N(INDEX('NHẬP ĐƠN HÀNG'!$P$6:$P$505,$L66)))</f>
        <v/>
      </c>
      <c r="H66" s="10" t="str">
        <f aca="false">IF($L66="","",N(INDEX('NHẬP ĐƠN HÀNG'!$Q$6:$Q$505,$L66)))</f>
        <v/>
      </c>
      <c r="I66" s="10" t="str">
        <f aca="false">IF($L66="","",N(INDEX('NHẬP ĐƠN HÀNG'!$R$6:$R$505,$L66)))</f>
        <v/>
      </c>
      <c r="J66" s="10" t="str">
        <f aca="true">IF(OR($L66="",$B66=""),"",MAX(0,TODAY()-$B66))</f>
        <v/>
      </c>
      <c r="K66" s="16" t="str">
        <f aca="false">IF($L66="","",IF(INDEX('NHẬP ĐƠN HÀNG'!$W$6:$W$505,$L66)="","",INDEX('NHẬP ĐƠN HÀNG'!$W$6:$W$505,$L66)))</f>
        <v/>
      </c>
      <c r="L66" s="0" t="str">
        <f aca="false">IFERROR(MATCH(61,'NHẬP ĐƠN HÀNG'!$Y$6:$Y$505,0),"")</f>
        <v/>
      </c>
    </row>
    <row r="67" customFormat="false" ht="15" hidden="false" customHeight="false" outlineLevel="0" collapsed="false">
      <c r="A67" s="16" t="str">
        <f aca="false">IF($L67="","",62)</f>
        <v/>
      </c>
      <c r="B67" s="34" t="str">
        <f aca="false">IF($L67="","",IF(INDEX('NHẬP ĐƠN HÀNG'!$B$6:$B$505,$L67)="","",INDEX('NHẬP ĐƠN HÀNG'!$B$6:$B$505,$L67)))</f>
        <v/>
      </c>
      <c r="C67" s="16" t="str">
        <f aca="false">IF($L67="","",IF(INDEX('NHẬP ĐƠN HÀNG'!$C$6:$C$505,$L67)="","",INDEX('NHẬP ĐƠN HÀNG'!$C$6:$C$505,$L67)))</f>
        <v/>
      </c>
      <c r="D67" s="16" t="str">
        <f aca="false">IF($L67="","",IF(INDEX('NHẬP ĐƠN HÀNG'!$D$6:$D$505,$L67)="","",INDEX('NHẬP ĐƠN HÀNG'!$D$6:$D$505,$L67)))</f>
        <v/>
      </c>
      <c r="E67" s="16" t="str">
        <f aca="false">IF($L67="","",IF(INDEX('NHẬP ĐƠN HÀNG'!$H$6:$H$505,$L67)="","",INDEX('NHẬP ĐƠN HÀNG'!$H$6:$H$505,$L67)))</f>
        <v/>
      </c>
      <c r="F67" s="10" t="str">
        <f aca="false">IF($L67="","",N(INDEX('NHẬP ĐƠN HÀNG'!$I$6:$I$505,$L67)))</f>
        <v/>
      </c>
      <c r="G67" s="10" t="str">
        <f aca="false">IF($L67="","",N(INDEX('NHẬP ĐƠN HÀNG'!$P$6:$P$505,$L67)))</f>
        <v/>
      </c>
      <c r="H67" s="10" t="str">
        <f aca="false">IF($L67="","",N(INDEX('NHẬP ĐƠN HÀNG'!$Q$6:$Q$505,$L67)))</f>
        <v/>
      </c>
      <c r="I67" s="10" t="str">
        <f aca="false">IF($L67="","",N(INDEX('NHẬP ĐƠN HÀNG'!$R$6:$R$505,$L67)))</f>
        <v/>
      </c>
      <c r="J67" s="10" t="str">
        <f aca="true">IF(OR($L67="",$B67=""),"",MAX(0,TODAY()-$B67))</f>
        <v/>
      </c>
      <c r="K67" s="16" t="str">
        <f aca="false">IF($L67="","",IF(INDEX('NHẬP ĐƠN HÀNG'!$W$6:$W$505,$L67)="","",INDEX('NHẬP ĐƠN HÀNG'!$W$6:$W$505,$L67)))</f>
        <v/>
      </c>
      <c r="L67" s="0" t="str">
        <f aca="false">IFERROR(MATCH(62,'NHẬP ĐƠN HÀNG'!$Y$6:$Y$505,0),"")</f>
        <v/>
      </c>
    </row>
    <row r="68" customFormat="false" ht="15" hidden="false" customHeight="false" outlineLevel="0" collapsed="false">
      <c r="A68" s="16" t="str">
        <f aca="false">IF($L68="","",63)</f>
        <v/>
      </c>
      <c r="B68" s="34" t="str">
        <f aca="false">IF($L68="","",IF(INDEX('NHẬP ĐƠN HÀNG'!$B$6:$B$505,$L68)="","",INDEX('NHẬP ĐƠN HÀNG'!$B$6:$B$505,$L68)))</f>
        <v/>
      </c>
      <c r="C68" s="16" t="str">
        <f aca="false">IF($L68="","",IF(INDEX('NHẬP ĐƠN HÀNG'!$C$6:$C$505,$L68)="","",INDEX('NHẬP ĐƠN HÀNG'!$C$6:$C$505,$L68)))</f>
        <v/>
      </c>
      <c r="D68" s="16" t="str">
        <f aca="false">IF($L68="","",IF(INDEX('NHẬP ĐƠN HÀNG'!$D$6:$D$505,$L68)="","",INDEX('NHẬP ĐƠN HÀNG'!$D$6:$D$505,$L68)))</f>
        <v/>
      </c>
      <c r="E68" s="16" t="str">
        <f aca="false">IF($L68="","",IF(INDEX('NHẬP ĐƠN HÀNG'!$H$6:$H$505,$L68)="","",INDEX('NHẬP ĐƠN HÀNG'!$H$6:$H$505,$L68)))</f>
        <v/>
      </c>
      <c r="F68" s="10" t="str">
        <f aca="false">IF($L68="","",N(INDEX('NHẬP ĐƠN HÀNG'!$I$6:$I$505,$L68)))</f>
        <v/>
      </c>
      <c r="G68" s="10" t="str">
        <f aca="false">IF($L68="","",N(INDEX('NHẬP ĐƠN HÀNG'!$P$6:$P$505,$L68)))</f>
        <v/>
      </c>
      <c r="H68" s="10" t="str">
        <f aca="false">IF($L68="","",N(INDEX('NHẬP ĐƠN HÀNG'!$Q$6:$Q$505,$L68)))</f>
        <v/>
      </c>
      <c r="I68" s="10" t="str">
        <f aca="false">IF($L68="","",N(INDEX('NHẬP ĐƠN HÀNG'!$R$6:$R$505,$L68)))</f>
        <v/>
      </c>
      <c r="J68" s="10" t="str">
        <f aca="true">IF(OR($L68="",$B68=""),"",MAX(0,TODAY()-$B68))</f>
        <v/>
      </c>
      <c r="K68" s="16" t="str">
        <f aca="false">IF($L68="","",IF(INDEX('NHẬP ĐƠN HÀNG'!$W$6:$W$505,$L68)="","",INDEX('NHẬP ĐƠN HÀNG'!$W$6:$W$505,$L68)))</f>
        <v/>
      </c>
      <c r="L68" s="0" t="str">
        <f aca="false">IFERROR(MATCH(63,'NHẬP ĐƠN HÀNG'!$Y$6:$Y$505,0),"")</f>
        <v/>
      </c>
    </row>
    <row r="69" customFormat="false" ht="15" hidden="false" customHeight="false" outlineLevel="0" collapsed="false">
      <c r="A69" s="16" t="str">
        <f aca="false">IF($L69="","",64)</f>
        <v/>
      </c>
      <c r="B69" s="34" t="str">
        <f aca="false">IF($L69="","",IF(INDEX('NHẬP ĐƠN HÀNG'!$B$6:$B$505,$L69)="","",INDEX('NHẬP ĐƠN HÀNG'!$B$6:$B$505,$L69)))</f>
        <v/>
      </c>
      <c r="C69" s="16" t="str">
        <f aca="false">IF($L69="","",IF(INDEX('NHẬP ĐƠN HÀNG'!$C$6:$C$505,$L69)="","",INDEX('NHẬP ĐƠN HÀNG'!$C$6:$C$505,$L69)))</f>
        <v/>
      </c>
      <c r="D69" s="16" t="str">
        <f aca="false">IF($L69="","",IF(INDEX('NHẬP ĐƠN HÀNG'!$D$6:$D$505,$L69)="","",INDEX('NHẬP ĐƠN HÀNG'!$D$6:$D$505,$L69)))</f>
        <v/>
      </c>
      <c r="E69" s="16" t="str">
        <f aca="false">IF($L69="","",IF(INDEX('NHẬP ĐƠN HÀNG'!$H$6:$H$505,$L69)="","",INDEX('NHẬP ĐƠN HÀNG'!$H$6:$H$505,$L69)))</f>
        <v/>
      </c>
      <c r="F69" s="10" t="str">
        <f aca="false">IF($L69="","",N(INDEX('NHẬP ĐƠN HÀNG'!$I$6:$I$505,$L69)))</f>
        <v/>
      </c>
      <c r="G69" s="10" t="str">
        <f aca="false">IF($L69="","",N(INDEX('NHẬP ĐƠN HÀNG'!$P$6:$P$505,$L69)))</f>
        <v/>
      </c>
      <c r="H69" s="10" t="str">
        <f aca="false">IF($L69="","",N(INDEX('NHẬP ĐƠN HÀNG'!$Q$6:$Q$505,$L69)))</f>
        <v/>
      </c>
      <c r="I69" s="10" t="str">
        <f aca="false">IF($L69="","",N(INDEX('NHẬP ĐƠN HÀNG'!$R$6:$R$505,$L69)))</f>
        <v/>
      </c>
      <c r="J69" s="10" t="str">
        <f aca="true">IF(OR($L69="",$B69=""),"",MAX(0,TODAY()-$B69))</f>
        <v/>
      </c>
      <c r="K69" s="16" t="str">
        <f aca="false">IF($L69="","",IF(INDEX('NHẬP ĐƠN HÀNG'!$W$6:$W$505,$L69)="","",INDEX('NHẬP ĐƠN HÀNG'!$W$6:$W$505,$L69)))</f>
        <v/>
      </c>
      <c r="L69" s="0" t="str">
        <f aca="false">IFERROR(MATCH(64,'NHẬP ĐƠN HÀNG'!$Y$6:$Y$505,0),"")</f>
        <v/>
      </c>
    </row>
    <row r="70" customFormat="false" ht="15" hidden="false" customHeight="false" outlineLevel="0" collapsed="false">
      <c r="A70" s="16" t="str">
        <f aca="false">IF($L70="","",65)</f>
        <v/>
      </c>
      <c r="B70" s="34" t="str">
        <f aca="false">IF($L70="","",IF(INDEX('NHẬP ĐƠN HÀNG'!$B$6:$B$505,$L70)="","",INDEX('NHẬP ĐƠN HÀNG'!$B$6:$B$505,$L70)))</f>
        <v/>
      </c>
      <c r="C70" s="16" t="str">
        <f aca="false">IF($L70="","",IF(INDEX('NHẬP ĐƠN HÀNG'!$C$6:$C$505,$L70)="","",INDEX('NHẬP ĐƠN HÀNG'!$C$6:$C$505,$L70)))</f>
        <v/>
      </c>
      <c r="D70" s="16" t="str">
        <f aca="false">IF($L70="","",IF(INDEX('NHẬP ĐƠN HÀNG'!$D$6:$D$505,$L70)="","",INDEX('NHẬP ĐƠN HÀNG'!$D$6:$D$505,$L70)))</f>
        <v/>
      </c>
      <c r="E70" s="16" t="str">
        <f aca="false">IF($L70="","",IF(INDEX('NHẬP ĐƠN HÀNG'!$H$6:$H$505,$L70)="","",INDEX('NHẬP ĐƠN HÀNG'!$H$6:$H$505,$L70)))</f>
        <v/>
      </c>
      <c r="F70" s="10" t="str">
        <f aca="false">IF($L70="","",N(INDEX('NHẬP ĐƠN HÀNG'!$I$6:$I$505,$L70)))</f>
        <v/>
      </c>
      <c r="G70" s="10" t="str">
        <f aca="false">IF($L70="","",N(INDEX('NHẬP ĐƠN HÀNG'!$P$6:$P$505,$L70)))</f>
        <v/>
      </c>
      <c r="H70" s="10" t="str">
        <f aca="false">IF($L70="","",N(INDEX('NHẬP ĐƠN HÀNG'!$Q$6:$Q$505,$L70)))</f>
        <v/>
      </c>
      <c r="I70" s="10" t="str">
        <f aca="false">IF($L70="","",N(INDEX('NHẬP ĐƠN HÀNG'!$R$6:$R$505,$L70)))</f>
        <v/>
      </c>
      <c r="J70" s="10" t="str">
        <f aca="true">IF(OR($L70="",$B70=""),"",MAX(0,TODAY()-$B70))</f>
        <v/>
      </c>
      <c r="K70" s="16" t="str">
        <f aca="false">IF($L70="","",IF(INDEX('NHẬP ĐƠN HÀNG'!$W$6:$W$505,$L70)="","",INDEX('NHẬP ĐƠN HÀNG'!$W$6:$W$505,$L70)))</f>
        <v/>
      </c>
      <c r="L70" s="0" t="str">
        <f aca="false">IFERROR(MATCH(65,'NHẬP ĐƠN HÀNG'!$Y$6:$Y$505,0),"")</f>
        <v/>
      </c>
    </row>
    <row r="71" customFormat="false" ht="15" hidden="false" customHeight="false" outlineLevel="0" collapsed="false">
      <c r="A71" s="16" t="str">
        <f aca="false">IF($L71="","",66)</f>
        <v/>
      </c>
      <c r="B71" s="34" t="str">
        <f aca="false">IF($L71="","",IF(INDEX('NHẬP ĐƠN HÀNG'!$B$6:$B$505,$L71)="","",INDEX('NHẬP ĐƠN HÀNG'!$B$6:$B$505,$L71)))</f>
        <v/>
      </c>
      <c r="C71" s="16" t="str">
        <f aca="false">IF($L71="","",IF(INDEX('NHẬP ĐƠN HÀNG'!$C$6:$C$505,$L71)="","",INDEX('NHẬP ĐƠN HÀNG'!$C$6:$C$505,$L71)))</f>
        <v/>
      </c>
      <c r="D71" s="16" t="str">
        <f aca="false">IF($L71="","",IF(INDEX('NHẬP ĐƠN HÀNG'!$D$6:$D$505,$L71)="","",INDEX('NHẬP ĐƠN HÀNG'!$D$6:$D$505,$L71)))</f>
        <v/>
      </c>
      <c r="E71" s="16" t="str">
        <f aca="false">IF($L71="","",IF(INDEX('NHẬP ĐƠN HÀNG'!$H$6:$H$505,$L71)="","",INDEX('NHẬP ĐƠN HÀNG'!$H$6:$H$505,$L71)))</f>
        <v/>
      </c>
      <c r="F71" s="10" t="str">
        <f aca="false">IF($L71="","",N(INDEX('NHẬP ĐƠN HÀNG'!$I$6:$I$505,$L71)))</f>
        <v/>
      </c>
      <c r="G71" s="10" t="str">
        <f aca="false">IF($L71="","",N(INDEX('NHẬP ĐƠN HÀNG'!$P$6:$P$505,$L71)))</f>
        <v/>
      </c>
      <c r="H71" s="10" t="str">
        <f aca="false">IF($L71="","",N(INDEX('NHẬP ĐƠN HÀNG'!$Q$6:$Q$505,$L71)))</f>
        <v/>
      </c>
      <c r="I71" s="10" t="str">
        <f aca="false">IF($L71="","",N(INDEX('NHẬP ĐƠN HÀNG'!$R$6:$R$505,$L71)))</f>
        <v/>
      </c>
      <c r="J71" s="10" t="str">
        <f aca="true">IF(OR($L71="",$B71=""),"",MAX(0,TODAY()-$B71))</f>
        <v/>
      </c>
      <c r="K71" s="16" t="str">
        <f aca="false">IF($L71="","",IF(INDEX('NHẬP ĐƠN HÀNG'!$W$6:$W$505,$L71)="","",INDEX('NHẬP ĐƠN HÀNG'!$W$6:$W$505,$L71)))</f>
        <v/>
      </c>
      <c r="L71" s="0" t="str">
        <f aca="false">IFERROR(MATCH(66,'NHẬP ĐƠN HÀNG'!$Y$6:$Y$505,0),"")</f>
        <v/>
      </c>
    </row>
    <row r="72" customFormat="false" ht="15" hidden="false" customHeight="false" outlineLevel="0" collapsed="false">
      <c r="A72" s="16" t="str">
        <f aca="false">IF($L72="","",67)</f>
        <v/>
      </c>
      <c r="B72" s="34" t="str">
        <f aca="false">IF($L72="","",IF(INDEX('NHẬP ĐƠN HÀNG'!$B$6:$B$505,$L72)="","",INDEX('NHẬP ĐƠN HÀNG'!$B$6:$B$505,$L72)))</f>
        <v/>
      </c>
      <c r="C72" s="16" t="str">
        <f aca="false">IF($L72="","",IF(INDEX('NHẬP ĐƠN HÀNG'!$C$6:$C$505,$L72)="","",INDEX('NHẬP ĐƠN HÀNG'!$C$6:$C$505,$L72)))</f>
        <v/>
      </c>
      <c r="D72" s="16" t="str">
        <f aca="false">IF($L72="","",IF(INDEX('NHẬP ĐƠN HÀNG'!$D$6:$D$505,$L72)="","",INDEX('NHẬP ĐƠN HÀNG'!$D$6:$D$505,$L72)))</f>
        <v/>
      </c>
      <c r="E72" s="16" t="str">
        <f aca="false">IF($L72="","",IF(INDEX('NHẬP ĐƠN HÀNG'!$H$6:$H$505,$L72)="","",INDEX('NHẬP ĐƠN HÀNG'!$H$6:$H$505,$L72)))</f>
        <v/>
      </c>
      <c r="F72" s="10" t="str">
        <f aca="false">IF($L72="","",N(INDEX('NHẬP ĐƠN HÀNG'!$I$6:$I$505,$L72)))</f>
        <v/>
      </c>
      <c r="G72" s="10" t="str">
        <f aca="false">IF($L72="","",N(INDEX('NHẬP ĐƠN HÀNG'!$P$6:$P$505,$L72)))</f>
        <v/>
      </c>
      <c r="H72" s="10" t="str">
        <f aca="false">IF($L72="","",N(INDEX('NHẬP ĐƠN HÀNG'!$Q$6:$Q$505,$L72)))</f>
        <v/>
      </c>
      <c r="I72" s="10" t="str">
        <f aca="false">IF($L72="","",N(INDEX('NHẬP ĐƠN HÀNG'!$R$6:$R$505,$L72)))</f>
        <v/>
      </c>
      <c r="J72" s="10" t="str">
        <f aca="true">IF(OR($L72="",$B72=""),"",MAX(0,TODAY()-$B72))</f>
        <v/>
      </c>
      <c r="K72" s="16" t="str">
        <f aca="false">IF($L72="","",IF(INDEX('NHẬP ĐƠN HÀNG'!$W$6:$W$505,$L72)="","",INDEX('NHẬP ĐƠN HÀNG'!$W$6:$W$505,$L72)))</f>
        <v/>
      </c>
      <c r="L72" s="0" t="str">
        <f aca="false">IFERROR(MATCH(67,'NHẬP ĐƠN HÀNG'!$Y$6:$Y$505,0),"")</f>
        <v/>
      </c>
    </row>
    <row r="73" customFormat="false" ht="15" hidden="false" customHeight="false" outlineLevel="0" collapsed="false">
      <c r="A73" s="16" t="str">
        <f aca="false">IF($L73="","",68)</f>
        <v/>
      </c>
      <c r="B73" s="34" t="str">
        <f aca="false">IF($L73="","",IF(INDEX('NHẬP ĐƠN HÀNG'!$B$6:$B$505,$L73)="","",INDEX('NHẬP ĐƠN HÀNG'!$B$6:$B$505,$L73)))</f>
        <v/>
      </c>
      <c r="C73" s="16" t="str">
        <f aca="false">IF($L73="","",IF(INDEX('NHẬP ĐƠN HÀNG'!$C$6:$C$505,$L73)="","",INDEX('NHẬP ĐƠN HÀNG'!$C$6:$C$505,$L73)))</f>
        <v/>
      </c>
      <c r="D73" s="16" t="str">
        <f aca="false">IF($L73="","",IF(INDEX('NHẬP ĐƠN HÀNG'!$D$6:$D$505,$L73)="","",INDEX('NHẬP ĐƠN HÀNG'!$D$6:$D$505,$L73)))</f>
        <v/>
      </c>
      <c r="E73" s="16" t="str">
        <f aca="false">IF($L73="","",IF(INDEX('NHẬP ĐƠN HÀNG'!$H$6:$H$505,$L73)="","",INDEX('NHẬP ĐƠN HÀNG'!$H$6:$H$505,$L73)))</f>
        <v/>
      </c>
      <c r="F73" s="10" t="str">
        <f aca="false">IF($L73="","",N(INDEX('NHẬP ĐƠN HÀNG'!$I$6:$I$505,$L73)))</f>
        <v/>
      </c>
      <c r="G73" s="10" t="str">
        <f aca="false">IF($L73="","",N(INDEX('NHẬP ĐƠN HÀNG'!$P$6:$P$505,$L73)))</f>
        <v/>
      </c>
      <c r="H73" s="10" t="str">
        <f aca="false">IF($L73="","",N(INDEX('NHẬP ĐƠN HÀNG'!$Q$6:$Q$505,$L73)))</f>
        <v/>
      </c>
      <c r="I73" s="10" t="str">
        <f aca="false">IF($L73="","",N(INDEX('NHẬP ĐƠN HÀNG'!$R$6:$R$505,$L73)))</f>
        <v/>
      </c>
      <c r="J73" s="10" t="str">
        <f aca="true">IF(OR($L73="",$B73=""),"",MAX(0,TODAY()-$B73))</f>
        <v/>
      </c>
      <c r="K73" s="16" t="str">
        <f aca="false">IF($L73="","",IF(INDEX('NHẬP ĐƠN HÀNG'!$W$6:$W$505,$L73)="","",INDEX('NHẬP ĐƠN HÀNG'!$W$6:$W$505,$L73)))</f>
        <v/>
      </c>
      <c r="L73" s="0" t="str">
        <f aca="false">IFERROR(MATCH(68,'NHẬP ĐƠN HÀNG'!$Y$6:$Y$505,0),"")</f>
        <v/>
      </c>
    </row>
    <row r="74" customFormat="false" ht="15" hidden="false" customHeight="false" outlineLevel="0" collapsed="false">
      <c r="A74" s="16" t="str">
        <f aca="false">IF($L74="","",69)</f>
        <v/>
      </c>
      <c r="B74" s="34" t="str">
        <f aca="false">IF($L74="","",IF(INDEX('NHẬP ĐƠN HÀNG'!$B$6:$B$505,$L74)="","",INDEX('NHẬP ĐƠN HÀNG'!$B$6:$B$505,$L74)))</f>
        <v/>
      </c>
      <c r="C74" s="16" t="str">
        <f aca="false">IF($L74="","",IF(INDEX('NHẬP ĐƠN HÀNG'!$C$6:$C$505,$L74)="","",INDEX('NHẬP ĐƠN HÀNG'!$C$6:$C$505,$L74)))</f>
        <v/>
      </c>
      <c r="D74" s="16" t="str">
        <f aca="false">IF($L74="","",IF(INDEX('NHẬP ĐƠN HÀNG'!$D$6:$D$505,$L74)="","",INDEX('NHẬP ĐƠN HÀNG'!$D$6:$D$505,$L74)))</f>
        <v/>
      </c>
      <c r="E74" s="16" t="str">
        <f aca="false">IF($L74="","",IF(INDEX('NHẬP ĐƠN HÀNG'!$H$6:$H$505,$L74)="","",INDEX('NHẬP ĐƠN HÀNG'!$H$6:$H$505,$L74)))</f>
        <v/>
      </c>
      <c r="F74" s="10" t="str">
        <f aca="false">IF($L74="","",N(INDEX('NHẬP ĐƠN HÀNG'!$I$6:$I$505,$L74)))</f>
        <v/>
      </c>
      <c r="G74" s="10" t="str">
        <f aca="false">IF($L74="","",N(INDEX('NHẬP ĐƠN HÀNG'!$P$6:$P$505,$L74)))</f>
        <v/>
      </c>
      <c r="H74" s="10" t="str">
        <f aca="false">IF($L74="","",N(INDEX('NHẬP ĐƠN HÀNG'!$Q$6:$Q$505,$L74)))</f>
        <v/>
      </c>
      <c r="I74" s="10" t="str">
        <f aca="false">IF($L74="","",N(INDEX('NHẬP ĐƠN HÀNG'!$R$6:$R$505,$L74)))</f>
        <v/>
      </c>
      <c r="J74" s="10" t="str">
        <f aca="true">IF(OR($L74="",$B74=""),"",MAX(0,TODAY()-$B74))</f>
        <v/>
      </c>
      <c r="K74" s="16" t="str">
        <f aca="false">IF($L74="","",IF(INDEX('NHẬP ĐƠN HÀNG'!$W$6:$W$505,$L74)="","",INDEX('NHẬP ĐƠN HÀNG'!$W$6:$W$505,$L74)))</f>
        <v/>
      </c>
      <c r="L74" s="0" t="str">
        <f aca="false">IFERROR(MATCH(69,'NHẬP ĐƠN HÀNG'!$Y$6:$Y$505,0),"")</f>
        <v/>
      </c>
    </row>
    <row r="75" customFormat="false" ht="15" hidden="false" customHeight="false" outlineLevel="0" collapsed="false">
      <c r="A75" s="16" t="str">
        <f aca="false">IF($L75="","",70)</f>
        <v/>
      </c>
      <c r="B75" s="34" t="str">
        <f aca="false">IF($L75="","",IF(INDEX('NHẬP ĐƠN HÀNG'!$B$6:$B$505,$L75)="","",INDEX('NHẬP ĐƠN HÀNG'!$B$6:$B$505,$L75)))</f>
        <v/>
      </c>
      <c r="C75" s="16" t="str">
        <f aca="false">IF($L75="","",IF(INDEX('NHẬP ĐƠN HÀNG'!$C$6:$C$505,$L75)="","",INDEX('NHẬP ĐƠN HÀNG'!$C$6:$C$505,$L75)))</f>
        <v/>
      </c>
      <c r="D75" s="16" t="str">
        <f aca="false">IF($L75="","",IF(INDEX('NHẬP ĐƠN HÀNG'!$D$6:$D$505,$L75)="","",INDEX('NHẬP ĐƠN HÀNG'!$D$6:$D$505,$L75)))</f>
        <v/>
      </c>
      <c r="E75" s="16" t="str">
        <f aca="false">IF($L75="","",IF(INDEX('NHẬP ĐƠN HÀNG'!$H$6:$H$505,$L75)="","",INDEX('NHẬP ĐƠN HÀNG'!$H$6:$H$505,$L75)))</f>
        <v/>
      </c>
      <c r="F75" s="10" t="str">
        <f aca="false">IF($L75="","",N(INDEX('NHẬP ĐƠN HÀNG'!$I$6:$I$505,$L75)))</f>
        <v/>
      </c>
      <c r="G75" s="10" t="str">
        <f aca="false">IF($L75="","",N(INDEX('NHẬP ĐƠN HÀNG'!$P$6:$P$505,$L75)))</f>
        <v/>
      </c>
      <c r="H75" s="10" t="str">
        <f aca="false">IF($L75="","",N(INDEX('NHẬP ĐƠN HÀNG'!$Q$6:$Q$505,$L75)))</f>
        <v/>
      </c>
      <c r="I75" s="10" t="str">
        <f aca="false">IF($L75="","",N(INDEX('NHẬP ĐƠN HÀNG'!$R$6:$R$505,$L75)))</f>
        <v/>
      </c>
      <c r="J75" s="10" t="str">
        <f aca="true">IF(OR($L75="",$B75=""),"",MAX(0,TODAY()-$B75))</f>
        <v/>
      </c>
      <c r="K75" s="16" t="str">
        <f aca="false">IF($L75="","",IF(INDEX('NHẬP ĐƠN HÀNG'!$W$6:$W$505,$L75)="","",INDEX('NHẬP ĐƠN HÀNG'!$W$6:$W$505,$L75)))</f>
        <v/>
      </c>
      <c r="L75" s="0" t="str">
        <f aca="false">IFERROR(MATCH(70,'NHẬP ĐƠN HÀNG'!$Y$6:$Y$505,0),"")</f>
        <v/>
      </c>
    </row>
    <row r="76" customFormat="false" ht="15" hidden="false" customHeight="false" outlineLevel="0" collapsed="false">
      <c r="A76" s="16" t="str">
        <f aca="false">IF($L76="","",71)</f>
        <v/>
      </c>
      <c r="B76" s="34" t="str">
        <f aca="false">IF($L76="","",IF(INDEX('NHẬP ĐƠN HÀNG'!$B$6:$B$505,$L76)="","",INDEX('NHẬP ĐƠN HÀNG'!$B$6:$B$505,$L76)))</f>
        <v/>
      </c>
      <c r="C76" s="16" t="str">
        <f aca="false">IF($L76="","",IF(INDEX('NHẬP ĐƠN HÀNG'!$C$6:$C$505,$L76)="","",INDEX('NHẬP ĐƠN HÀNG'!$C$6:$C$505,$L76)))</f>
        <v/>
      </c>
      <c r="D76" s="16" t="str">
        <f aca="false">IF($L76="","",IF(INDEX('NHẬP ĐƠN HÀNG'!$D$6:$D$505,$L76)="","",INDEX('NHẬP ĐƠN HÀNG'!$D$6:$D$505,$L76)))</f>
        <v/>
      </c>
      <c r="E76" s="16" t="str">
        <f aca="false">IF($L76="","",IF(INDEX('NHẬP ĐƠN HÀNG'!$H$6:$H$505,$L76)="","",INDEX('NHẬP ĐƠN HÀNG'!$H$6:$H$505,$L76)))</f>
        <v/>
      </c>
      <c r="F76" s="10" t="str">
        <f aca="false">IF($L76="","",N(INDEX('NHẬP ĐƠN HÀNG'!$I$6:$I$505,$L76)))</f>
        <v/>
      </c>
      <c r="G76" s="10" t="str">
        <f aca="false">IF($L76="","",N(INDEX('NHẬP ĐƠN HÀNG'!$P$6:$P$505,$L76)))</f>
        <v/>
      </c>
      <c r="H76" s="10" t="str">
        <f aca="false">IF($L76="","",N(INDEX('NHẬP ĐƠN HÀNG'!$Q$6:$Q$505,$L76)))</f>
        <v/>
      </c>
      <c r="I76" s="10" t="str">
        <f aca="false">IF($L76="","",N(INDEX('NHẬP ĐƠN HÀNG'!$R$6:$R$505,$L76)))</f>
        <v/>
      </c>
      <c r="J76" s="10" t="str">
        <f aca="true">IF(OR($L76="",$B76=""),"",MAX(0,TODAY()-$B76))</f>
        <v/>
      </c>
      <c r="K76" s="16" t="str">
        <f aca="false">IF($L76="","",IF(INDEX('NHẬP ĐƠN HÀNG'!$W$6:$W$505,$L76)="","",INDEX('NHẬP ĐƠN HÀNG'!$W$6:$W$505,$L76)))</f>
        <v/>
      </c>
      <c r="L76" s="0" t="str">
        <f aca="false">IFERROR(MATCH(71,'NHẬP ĐƠN HÀNG'!$Y$6:$Y$505,0),"")</f>
        <v/>
      </c>
    </row>
    <row r="77" customFormat="false" ht="15" hidden="false" customHeight="false" outlineLevel="0" collapsed="false">
      <c r="A77" s="16" t="str">
        <f aca="false">IF($L77="","",72)</f>
        <v/>
      </c>
      <c r="B77" s="34" t="str">
        <f aca="false">IF($L77="","",IF(INDEX('NHẬP ĐƠN HÀNG'!$B$6:$B$505,$L77)="","",INDEX('NHẬP ĐƠN HÀNG'!$B$6:$B$505,$L77)))</f>
        <v/>
      </c>
      <c r="C77" s="16" t="str">
        <f aca="false">IF($L77="","",IF(INDEX('NHẬP ĐƠN HÀNG'!$C$6:$C$505,$L77)="","",INDEX('NHẬP ĐƠN HÀNG'!$C$6:$C$505,$L77)))</f>
        <v/>
      </c>
      <c r="D77" s="16" t="str">
        <f aca="false">IF($L77="","",IF(INDEX('NHẬP ĐƠN HÀNG'!$D$6:$D$505,$L77)="","",INDEX('NHẬP ĐƠN HÀNG'!$D$6:$D$505,$L77)))</f>
        <v/>
      </c>
      <c r="E77" s="16" t="str">
        <f aca="false">IF($L77="","",IF(INDEX('NHẬP ĐƠN HÀNG'!$H$6:$H$505,$L77)="","",INDEX('NHẬP ĐƠN HÀNG'!$H$6:$H$505,$L77)))</f>
        <v/>
      </c>
      <c r="F77" s="10" t="str">
        <f aca="false">IF($L77="","",N(INDEX('NHẬP ĐƠN HÀNG'!$I$6:$I$505,$L77)))</f>
        <v/>
      </c>
      <c r="G77" s="10" t="str">
        <f aca="false">IF($L77="","",N(INDEX('NHẬP ĐƠN HÀNG'!$P$6:$P$505,$L77)))</f>
        <v/>
      </c>
      <c r="H77" s="10" t="str">
        <f aca="false">IF($L77="","",N(INDEX('NHẬP ĐƠN HÀNG'!$Q$6:$Q$505,$L77)))</f>
        <v/>
      </c>
      <c r="I77" s="10" t="str">
        <f aca="false">IF($L77="","",N(INDEX('NHẬP ĐƠN HÀNG'!$R$6:$R$505,$L77)))</f>
        <v/>
      </c>
      <c r="J77" s="10" t="str">
        <f aca="true">IF(OR($L77="",$B77=""),"",MAX(0,TODAY()-$B77))</f>
        <v/>
      </c>
      <c r="K77" s="16" t="str">
        <f aca="false">IF($L77="","",IF(INDEX('NHẬP ĐƠN HÀNG'!$W$6:$W$505,$L77)="","",INDEX('NHẬP ĐƠN HÀNG'!$W$6:$W$505,$L77)))</f>
        <v/>
      </c>
      <c r="L77" s="0" t="str">
        <f aca="false">IFERROR(MATCH(72,'NHẬP ĐƠN HÀNG'!$Y$6:$Y$505,0),"")</f>
        <v/>
      </c>
    </row>
    <row r="78" customFormat="false" ht="15" hidden="false" customHeight="false" outlineLevel="0" collapsed="false">
      <c r="A78" s="16" t="str">
        <f aca="false">IF($L78="","",73)</f>
        <v/>
      </c>
      <c r="B78" s="34" t="str">
        <f aca="false">IF($L78="","",IF(INDEX('NHẬP ĐƠN HÀNG'!$B$6:$B$505,$L78)="","",INDEX('NHẬP ĐƠN HÀNG'!$B$6:$B$505,$L78)))</f>
        <v/>
      </c>
      <c r="C78" s="16" t="str">
        <f aca="false">IF($L78="","",IF(INDEX('NHẬP ĐƠN HÀNG'!$C$6:$C$505,$L78)="","",INDEX('NHẬP ĐƠN HÀNG'!$C$6:$C$505,$L78)))</f>
        <v/>
      </c>
      <c r="D78" s="16" t="str">
        <f aca="false">IF($L78="","",IF(INDEX('NHẬP ĐƠN HÀNG'!$D$6:$D$505,$L78)="","",INDEX('NHẬP ĐƠN HÀNG'!$D$6:$D$505,$L78)))</f>
        <v/>
      </c>
      <c r="E78" s="16" t="str">
        <f aca="false">IF($L78="","",IF(INDEX('NHẬP ĐƠN HÀNG'!$H$6:$H$505,$L78)="","",INDEX('NHẬP ĐƠN HÀNG'!$H$6:$H$505,$L78)))</f>
        <v/>
      </c>
      <c r="F78" s="10" t="str">
        <f aca="false">IF($L78="","",N(INDEX('NHẬP ĐƠN HÀNG'!$I$6:$I$505,$L78)))</f>
        <v/>
      </c>
      <c r="G78" s="10" t="str">
        <f aca="false">IF($L78="","",N(INDEX('NHẬP ĐƠN HÀNG'!$P$6:$P$505,$L78)))</f>
        <v/>
      </c>
      <c r="H78" s="10" t="str">
        <f aca="false">IF($L78="","",N(INDEX('NHẬP ĐƠN HÀNG'!$Q$6:$Q$505,$L78)))</f>
        <v/>
      </c>
      <c r="I78" s="10" t="str">
        <f aca="false">IF($L78="","",N(INDEX('NHẬP ĐƠN HÀNG'!$R$6:$R$505,$L78)))</f>
        <v/>
      </c>
      <c r="J78" s="10" t="str">
        <f aca="true">IF(OR($L78="",$B78=""),"",MAX(0,TODAY()-$B78))</f>
        <v/>
      </c>
      <c r="K78" s="16" t="str">
        <f aca="false">IF($L78="","",IF(INDEX('NHẬP ĐƠN HÀNG'!$W$6:$W$505,$L78)="","",INDEX('NHẬP ĐƠN HÀNG'!$W$6:$W$505,$L78)))</f>
        <v/>
      </c>
      <c r="L78" s="0" t="str">
        <f aca="false">IFERROR(MATCH(73,'NHẬP ĐƠN HÀNG'!$Y$6:$Y$505,0),"")</f>
        <v/>
      </c>
    </row>
    <row r="79" customFormat="false" ht="15" hidden="false" customHeight="false" outlineLevel="0" collapsed="false">
      <c r="A79" s="16" t="str">
        <f aca="false">IF($L79="","",74)</f>
        <v/>
      </c>
      <c r="B79" s="34" t="str">
        <f aca="false">IF($L79="","",IF(INDEX('NHẬP ĐƠN HÀNG'!$B$6:$B$505,$L79)="","",INDEX('NHẬP ĐƠN HÀNG'!$B$6:$B$505,$L79)))</f>
        <v/>
      </c>
      <c r="C79" s="16" t="str">
        <f aca="false">IF($L79="","",IF(INDEX('NHẬP ĐƠN HÀNG'!$C$6:$C$505,$L79)="","",INDEX('NHẬP ĐƠN HÀNG'!$C$6:$C$505,$L79)))</f>
        <v/>
      </c>
      <c r="D79" s="16" t="str">
        <f aca="false">IF($L79="","",IF(INDEX('NHẬP ĐƠN HÀNG'!$D$6:$D$505,$L79)="","",INDEX('NHẬP ĐƠN HÀNG'!$D$6:$D$505,$L79)))</f>
        <v/>
      </c>
      <c r="E79" s="16" t="str">
        <f aca="false">IF($L79="","",IF(INDEX('NHẬP ĐƠN HÀNG'!$H$6:$H$505,$L79)="","",INDEX('NHẬP ĐƠN HÀNG'!$H$6:$H$505,$L79)))</f>
        <v/>
      </c>
      <c r="F79" s="10" t="str">
        <f aca="false">IF($L79="","",N(INDEX('NHẬP ĐƠN HÀNG'!$I$6:$I$505,$L79)))</f>
        <v/>
      </c>
      <c r="G79" s="10" t="str">
        <f aca="false">IF($L79="","",N(INDEX('NHẬP ĐƠN HÀNG'!$P$6:$P$505,$L79)))</f>
        <v/>
      </c>
      <c r="H79" s="10" t="str">
        <f aca="false">IF($L79="","",N(INDEX('NHẬP ĐƠN HÀNG'!$Q$6:$Q$505,$L79)))</f>
        <v/>
      </c>
      <c r="I79" s="10" t="str">
        <f aca="false">IF($L79="","",N(INDEX('NHẬP ĐƠN HÀNG'!$R$6:$R$505,$L79)))</f>
        <v/>
      </c>
      <c r="J79" s="10" t="str">
        <f aca="true">IF(OR($L79="",$B79=""),"",MAX(0,TODAY()-$B79))</f>
        <v/>
      </c>
      <c r="K79" s="16" t="str">
        <f aca="false">IF($L79="","",IF(INDEX('NHẬP ĐƠN HÀNG'!$W$6:$W$505,$L79)="","",INDEX('NHẬP ĐƠN HÀNG'!$W$6:$W$505,$L79)))</f>
        <v/>
      </c>
      <c r="L79" s="0" t="str">
        <f aca="false">IFERROR(MATCH(74,'NHẬP ĐƠN HÀNG'!$Y$6:$Y$505,0),"")</f>
        <v/>
      </c>
    </row>
    <row r="80" customFormat="false" ht="15" hidden="false" customHeight="false" outlineLevel="0" collapsed="false">
      <c r="A80" s="16" t="str">
        <f aca="false">IF($L80="","",75)</f>
        <v/>
      </c>
      <c r="B80" s="34" t="str">
        <f aca="false">IF($L80="","",IF(INDEX('NHẬP ĐƠN HÀNG'!$B$6:$B$505,$L80)="","",INDEX('NHẬP ĐƠN HÀNG'!$B$6:$B$505,$L80)))</f>
        <v/>
      </c>
      <c r="C80" s="16" t="str">
        <f aca="false">IF($L80="","",IF(INDEX('NHẬP ĐƠN HÀNG'!$C$6:$C$505,$L80)="","",INDEX('NHẬP ĐƠN HÀNG'!$C$6:$C$505,$L80)))</f>
        <v/>
      </c>
      <c r="D80" s="16" t="str">
        <f aca="false">IF($L80="","",IF(INDEX('NHẬP ĐƠN HÀNG'!$D$6:$D$505,$L80)="","",INDEX('NHẬP ĐƠN HÀNG'!$D$6:$D$505,$L80)))</f>
        <v/>
      </c>
      <c r="E80" s="16" t="str">
        <f aca="false">IF($L80="","",IF(INDEX('NHẬP ĐƠN HÀNG'!$H$6:$H$505,$L80)="","",INDEX('NHẬP ĐƠN HÀNG'!$H$6:$H$505,$L80)))</f>
        <v/>
      </c>
      <c r="F80" s="10" t="str">
        <f aca="false">IF($L80="","",N(INDEX('NHẬP ĐƠN HÀNG'!$I$6:$I$505,$L80)))</f>
        <v/>
      </c>
      <c r="G80" s="10" t="str">
        <f aca="false">IF($L80="","",N(INDEX('NHẬP ĐƠN HÀNG'!$P$6:$P$505,$L80)))</f>
        <v/>
      </c>
      <c r="H80" s="10" t="str">
        <f aca="false">IF($L80="","",N(INDEX('NHẬP ĐƠN HÀNG'!$Q$6:$Q$505,$L80)))</f>
        <v/>
      </c>
      <c r="I80" s="10" t="str">
        <f aca="false">IF($L80="","",N(INDEX('NHẬP ĐƠN HÀNG'!$R$6:$R$505,$L80)))</f>
        <v/>
      </c>
      <c r="J80" s="10" t="str">
        <f aca="true">IF(OR($L80="",$B80=""),"",MAX(0,TODAY()-$B80))</f>
        <v/>
      </c>
      <c r="K80" s="16" t="str">
        <f aca="false">IF($L80="","",IF(INDEX('NHẬP ĐƠN HÀNG'!$W$6:$W$505,$L80)="","",INDEX('NHẬP ĐƠN HÀNG'!$W$6:$W$505,$L80)))</f>
        <v/>
      </c>
      <c r="L80" s="0" t="str">
        <f aca="false">IFERROR(MATCH(75,'NHẬP ĐƠN HÀNG'!$Y$6:$Y$505,0),"")</f>
        <v/>
      </c>
    </row>
    <row r="81" customFormat="false" ht="15" hidden="false" customHeight="false" outlineLevel="0" collapsed="false">
      <c r="A81" s="16" t="str">
        <f aca="false">IF($L81="","",76)</f>
        <v/>
      </c>
      <c r="B81" s="34" t="str">
        <f aca="false">IF($L81="","",IF(INDEX('NHẬP ĐƠN HÀNG'!$B$6:$B$505,$L81)="","",INDEX('NHẬP ĐƠN HÀNG'!$B$6:$B$505,$L81)))</f>
        <v/>
      </c>
      <c r="C81" s="16" t="str">
        <f aca="false">IF($L81="","",IF(INDEX('NHẬP ĐƠN HÀNG'!$C$6:$C$505,$L81)="","",INDEX('NHẬP ĐƠN HÀNG'!$C$6:$C$505,$L81)))</f>
        <v/>
      </c>
      <c r="D81" s="16" t="str">
        <f aca="false">IF($L81="","",IF(INDEX('NHẬP ĐƠN HÀNG'!$D$6:$D$505,$L81)="","",INDEX('NHẬP ĐƠN HÀNG'!$D$6:$D$505,$L81)))</f>
        <v/>
      </c>
      <c r="E81" s="16" t="str">
        <f aca="false">IF($L81="","",IF(INDEX('NHẬP ĐƠN HÀNG'!$H$6:$H$505,$L81)="","",INDEX('NHẬP ĐƠN HÀNG'!$H$6:$H$505,$L81)))</f>
        <v/>
      </c>
      <c r="F81" s="10" t="str">
        <f aca="false">IF($L81="","",N(INDEX('NHẬP ĐƠN HÀNG'!$I$6:$I$505,$L81)))</f>
        <v/>
      </c>
      <c r="G81" s="10" t="str">
        <f aca="false">IF($L81="","",N(INDEX('NHẬP ĐƠN HÀNG'!$P$6:$P$505,$L81)))</f>
        <v/>
      </c>
      <c r="H81" s="10" t="str">
        <f aca="false">IF($L81="","",N(INDEX('NHẬP ĐƠN HÀNG'!$Q$6:$Q$505,$L81)))</f>
        <v/>
      </c>
      <c r="I81" s="10" t="str">
        <f aca="false">IF($L81="","",N(INDEX('NHẬP ĐƠN HÀNG'!$R$6:$R$505,$L81)))</f>
        <v/>
      </c>
      <c r="J81" s="10" t="str">
        <f aca="true">IF(OR($L81="",$B81=""),"",MAX(0,TODAY()-$B81))</f>
        <v/>
      </c>
      <c r="K81" s="16" t="str">
        <f aca="false">IF($L81="","",IF(INDEX('NHẬP ĐƠN HÀNG'!$W$6:$W$505,$L81)="","",INDEX('NHẬP ĐƠN HÀNG'!$W$6:$W$505,$L81)))</f>
        <v/>
      </c>
      <c r="L81" s="0" t="str">
        <f aca="false">IFERROR(MATCH(76,'NHẬP ĐƠN HÀNG'!$Y$6:$Y$505,0),"")</f>
        <v/>
      </c>
    </row>
    <row r="82" customFormat="false" ht="15" hidden="false" customHeight="false" outlineLevel="0" collapsed="false">
      <c r="A82" s="16" t="str">
        <f aca="false">IF($L82="","",77)</f>
        <v/>
      </c>
      <c r="B82" s="34" t="str">
        <f aca="false">IF($L82="","",IF(INDEX('NHẬP ĐƠN HÀNG'!$B$6:$B$505,$L82)="","",INDEX('NHẬP ĐƠN HÀNG'!$B$6:$B$505,$L82)))</f>
        <v/>
      </c>
      <c r="C82" s="16" t="str">
        <f aca="false">IF($L82="","",IF(INDEX('NHẬP ĐƠN HÀNG'!$C$6:$C$505,$L82)="","",INDEX('NHẬP ĐƠN HÀNG'!$C$6:$C$505,$L82)))</f>
        <v/>
      </c>
      <c r="D82" s="16" t="str">
        <f aca="false">IF($L82="","",IF(INDEX('NHẬP ĐƠN HÀNG'!$D$6:$D$505,$L82)="","",INDEX('NHẬP ĐƠN HÀNG'!$D$6:$D$505,$L82)))</f>
        <v/>
      </c>
      <c r="E82" s="16" t="str">
        <f aca="false">IF($L82="","",IF(INDEX('NHẬP ĐƠN HÀNG'!$H$6:$H$505,$L82)="","",INDEX('NHẬP ĐƠN HÀNG'!$H$6:$H$505,$L82)))</f>
        <v/>
      </c>
      <c r="F82" s="10" t="str">
        <f aca="false">IF($L82="","",N(INDEX('NHẬP ĐƠN HÀNG'!$I$6:$I$505,$L82)))</f>
        <v/>
      </c>
      <c r="G82" s="10" t="str">
        <f aca="false">IF($L82="","",N(INDEX('NHẬP ĐƠN HÀNG'!$P$6:$P$505,$L82)))</f>
        <v/>
      </c>
      <c r="H82" s="10" t="str">
        <f aca="false">IF($L82="","",N(INDEX('NHẬP ĐƠN HÀNG'!$Q$6:$Q$505,$L82)))</f>
        <v/>
      </c>
      <c r="I82" s="10" t="str">
        <f aca="false">IF($L82="","",N(INDEX('NHẬP ĐƠN HÀNG'!$R$6:$R$505,$L82)))</f>
        <v/>
      </c>
      <c r="J82" s="10" t="str">
        <f aca="true">IF(OR($L82="",$B82=""),"",MAX(0,TODAY()-$B82))</f>
        <v/>
      </c>
      <c r="K82" s="16" t="str">
        <f aca="false">IF($L82="","",IF(INDEX('NHẬP ĐƠN HÀNG'!$W$6:$W$505,$L82)="","",INDEX('NHẬP ĐƠN HÀNG'!$W$6:$W$505,$L82)))</f>
        <v/>
      </c>
      <c r="L82" s="0" t="str">
        <f aca="false">IFERROR(MATCH(77,'NHẬP ĐƠN HÀNG'!$Y$6:$Y$505,0),"")</f>
        <v/>
      </c>
    </row>
    <row r="83" customFormat="false" ht="15" hidden="false" customHeight="false" outlineLevel="0" collapsed="false">
      <c r="A83" s="16" t="str">
        <f aca="false">IF($L83="","",78)</f>
        <v/>
      </c>
      <c r="B83" s="34" t="str">
        <f aca="false">IF($L83="","",IF(INDEX('NHẬP ĐƠN HÀNG'!$B$6:$B$505,$L83)="","",INDEX('NHẬP ĐƠN HÀNG'!$B$6:$B$505,$L83)))</f>
        <v/>
      </c>
      <c r="C83" s="16" t="str">
        <f aca="false">IF($L83="","",IF(INDEX('NHẬP ĐƠN HÀNG'!$C$6:$C$505,$L83)="","",INDEX('NHẬP ĐƠN HÀNG'!$C$6:$C$505,$L83)))</f>
        <v/>
      </c>
      <c r="D83" s="16" t="str">
        <f aca="false">IF($L83="","",IF(INDEX('NHẬP ĐƠN HÀNG'!$D$6:$D$505,$L83)="","",INDEX('NHẬP ĐƠN HÀNG'!$D$6:$D$505,$L83)))</f>
        <v/>
      </c>
      <c r="E83" s="16" t="str">
        <f aca="false">IF($L83="","",IF(INDEX('NHẬP ĐƠN HÀNG'!$H$6:$H$505,$L83)="","",INDEX('NHẬP ĐƠN HÀNG'!$H$6:$H$505,$L83)))</f>
        <v/>
      </c>
      <c r="F83" s="10" t="str">
        <f aca="false">IF($L83="","",N(INDEX('NHẬP ĐƠN HÀNG'!$I$6:$I$505,$L83)))</f>
        <v/>
      </c>
      <c r="G83" s="10" t="str">
        <f aca="false">IF($L83="","",N(INDEX('NHẬP ĐƠN HÀNG'!$P$6:$P$505,$L83)))</f>
        <v/>
      </c>
      <c r="H83" s="10" t="str">
        <f aca="false">IF($L83="","",N(INDEX('NHẬP ĐƠN HÀNG'!$Q$6:$Q$505,$L83)))</f>
        <v/>
      </c>
      <c r="I83" s="10" t="str">
        <f aca="false">IF($L83="","",N(INDEX('NHẬP ĐƠN HÀNG'!$R$6:$R$505,$L83)))</f>
        <v/>
      </c>
      <c r="J83" s="10" t="str">
        <f aca="true">IF(OR($L83="",$B83=""),"",MAX(0,TODAY()-$B83))</f>
        <v/>
      </c>
      <c r="K83" s="16" t="str">
        <f aca="false">IF($L83="","",IF(INDEX('NHẬP ĐƠN HÀNG'!$W$6:$W$505,$L83)="","",INDEX('NHẬP ĐƠN HÀNG'!$W$6:$W$505,$L83)))</f>
        <v/>
      </c>
      <c r="L83" s="0" t="str">
        <f aca="false">IFERROR(MATCH(78,'NHẬP ĐƠN HÀNG'!$Y$6:$Y$505,0),"")</f>
        <v/>
      </c>
    </row>
    <row r="84" customFormat="false" ht="15" hidden="false" customHeight="false" outlineLevel="0" collapsed="false">
      <c r="A84" s="16" t="str">
        <f aca="false">IF($L84="","",79)</f>
        <v/>
      </c>
      <c r="B84" s="34" t="str">
        <f aca="false">IF($L84="","",IF(INDEX('NHẬP ĐƠN HÀNG'!$B$6:$B$505,$L84)="","",INDEX('NHẬP ĐƠN HÀNG'!$B$6:$B$505,$L84)))</f>
        <v/>
      </c>
      <c r="C84" s="16" t="str">
        <f aca="false">IF($L84="","",IF(INDEX('NHẬP ĐƠN HÀNG'!$C$6:$C$505,$L84)="","",INDEX('NHẬP ĐƠN HÀNG'!$C$6:$C$505,$L84)))</f>
        <v/>
      </c>
      <c r="D84" s="16" t="str">
        <f aca="false">IF($L84="","",IF(INDEX('NHẬP ĐƠN HÀNG'!$D$6:$D$505,$L84)="","",INDEX('NHẬP ĐƠN HÀNG'!$D$6:$D$505,$L84)))</f>
        <v/>
      </c>
      <c r="E84" s="16" t="str">
        <f aca="false">IF($L84="","",IF(INDEX('NHẬP ĐƠN HÀNG'!$H$6:$H$505,$L84)="","",INDEX('NHẬP ĐƠN HÀNG'!$H$6:$H$505,$L84)))</f>
        <v/>
      </c>
      <c r="F84" s="10" t="str">
        <f aca="false">IF($L84="","",N(INDEX('NHẬP ĐƠN HÀNG'!$I$6:$I$505,$L84)))</f>
        <v/>
      </c>
      <c r="G84" s="10" t="str">
        <f aca="false">IF($L84="","",N(INDEX('NHẬP ĐƠN HÀNG'!$P$6:$P$505,$L84)))</f>
        <v/>
      </c>
      <c r="H84" s="10" t="str">
        <f aca="false">IF($L84="","",N(INDEX('NHẬP ĐƠN HÀNG'!$Q$6:$Q$505,$L84)))</f>
        <v/>
      </c>
      <c r="I84" s="10" t="str">
        <f aca="false">IF($L84="","",N(INDEX('NHẬP ĐƠN HÀNG'!$R$6:$R$505,$L84)))</f>
        <v/>
      </c>
      <c r="J84" s="10" t="str">
        <f aca="true">IF(OR($L84="",$B84=""),"",MAX(0,TODAY()-$B84))</f>
        <v/>
      </c>
      <c r="K84" s="16" t="str">
        <f aca="false">IF($L84="","",IF(INDEX('NHẬP ĐƠN HÀNG'!$W$6:$W$505,$L84)="","",INDEX('NHẬP ĐƠN HÀNG'!$W$6:$W$505,$L84)))</f>
        <v/>
      </c>
      <c r="L84" s="0" t="str">
        <f aca="false">IFERROR(MATCH(79,'NHẬP ĐƠN HÀNG'!$Y$6:$Y$505,0),"")</f>
        <v/>
      </c>
    </row>
    <row r="85" customFormat="false" ht="15" hidden="false" customHeight="false" outlineLevel="0" collapsed="false">
      <c r="A85" s="16" t="str">
        <f aca="false">IF($L85="","",80)</f>
        <v/>
      </c>
      <c r="B85" s="34" t="str">
        <f aca="false">IF($L85="","",IF(INDEX('NHẬP ĐƠN HÀNG'!$B$6:$B$505,$L85)="","",INDEX('NHẬP ĐƠN HÀNG'!$B$6:$B$505,$L85)))</f>
        <v/>
      </c>
      <c r="C85" s="16" t="str">
        <f aca="false">IF($L85="","",IF(INDEX('NHẬP ĐƠN HÀNG'!$C$6:$C$505,$L85)="","",INDEX('NHẬP ĐƠN HÀNG'!$C$6:$C$505,$L85)))</f>
        <v/>
      </c>
      <c r="D85" s="16" t="str">
        <f aca="false">IF($L85="","",IF(INDEX('NHẬP ĐƠN HÀNG'!$D$6:$D$505,$L85)="","",INDEX('NHẬP ĐƠN HÀNG'!$D$6:$D$505,$L85)))</f>
        <v/>
      </c>
      <c r="E85" s="16" t="str">
        <f aca="false">IF($L85="","",IF(INDEX('NHẬP ĐƠN HÀNG'!$H$6:$H$505,$L85)="","",INDEX('NHẬP ĐƠN HÀNG'!$H$6:$H$505,$L85)))</f>
        <v/>
      </c>
      <c r="F85" s="10" t="str">
        <f aca="false">IF($L85="","",N(INDEX('NHẬP ĐƠN HÀNG'!$I$6:$I$505,$L85)))</f>
        <v/>
      </c>
      <c r="G85" s="10" t="str">
        <f aca="false">IF($L85="","",N(INDEX('NHẬP ĐƠN HÀNG'!$P$6:$P$505,$L85)))</f>
        <v/>
      </c>
      <c r="H85" s="10" t="str">
        <f aca="false">IF($L85="","",N(INDEX('NHẬP ĐƠN HÀNG'!$Q$6:$Q$505,$L85)))</f>
        <v/>
      </c>
      <c r="I85" s="10" t="str">
        <f aca="false">IF($L85="","",N(INDEX('NHẬP ĐƠN HÀNG'!$R$6:$R$505,$L85)))</f>
        <v/>
      </c>
      <c r="J85" s="10" t="str">
        <f aca="true">IF(OR($L85="",$B85=""),"",MAX(0,TODAY()-$B85))</f>
        <v/>
      </c>
      <c r="K85" s="16" t="str">
        <f aca="false">IF($L85="","",IF(INDEX('NHẬP ĐƠN HÀNG'!$W$6:$W$505,$L85)="","",INDEX('NHẬP ĐƠN HÀNG'!$W$6:$W$505,$L85)))</f>
        <v/>
      </c>
      <c r="L85" s="0" t="str">
        <f aca="false">IFERROR(MATCH(80,'NHẬP ĐƠN HÀNG'!$Y$6:$Y$505,0),"")</f>
        <v/>
      </c>
    </row>
    <row r="86" customFormat="false" ht="15" hidden="false" customHeight="false" outlineLevel="0" collapsed="false">
      <c r="A86" s="16" t="str">
        <f aca="false">IF($L86="","",81)</f>
        <v/>
      </c>
      <c r="B86" s="34" t="str">
        <f aca="false">IF($L86="","",IF(INDEX('NHẬP ĐƠN HÀNG'!$B$6:$B$505,$L86)="","",INDEX('NHẬP ĐƠN HÀNG'!$B$6:$B$505,$L86)))</f>
        <v/>
      </c>
      <c r="C86" s="16" t="str">
        <f aca="false">IF($L86="","",IF(INDEX('NHẬP ĐƠN HÀNG'!$C$6:$C$505,$L86)="","",INDEX('NHẬP ĐƠN HÀNG'!$C$6:$C$505,$L86)))</f>
        <v/>
      </c>
      <c r="D86" s="16" t="str">
        <f aca="false">IF($L86="","",IF(INDEX('NHẬP ĐƠN HÀNG'!$D$6:$D$505,$L86)="","",INDEX('NHẬP ĐƠN HÀNG'!$D$6:$D$505,$L86)))</f>
        <v/>
      </c>
      <c r="E86" s="16" t="str">
        <f aca="false">IF($L86="","",IF(INDEX('NHẬP ĐƠN HÀNG'!$H$6:$H$505,$L86)="","",INDEX('NHẬP ĐƠN HÀNG'!$H$6:$H$505,$L86)))</f>
        <v/>
      </c>
      <c r="F86" s="10" t="str">
        <f aca="false">IF($L86="","",N(INDEX('NHẬP ĐƠN HÀNG'!$I$6:$I$505,$L86)))</f>
        <v/>
      </c>
      <c r="G86" s="10" t="str">
        <f aca="false">IF($L86="","",N(INDEX('NHẬP ĐƠN HÀNG'!$P$6:$P$505,$L86)))</f>
        <v/>
      </c>
      <c r="H86" s="10" t="str">
        <f aca="false">IF($L86="","",N(INDEX('NHẬP ĐƠN HÀNG'!$Q$6:$Q$505,$L86)))</f>
        <v/>
      </c>
      <c r="I86" s="10" t="str">
        <f aca="false">IF($L86="","",N(INDEX('NHẬP ĐƠN HÀNG'!$R$6:$R$505,$L86)))</f>
        <v/>
      </c>
      <c r="J86" s="10" t="str">
        <f aca="true">IF(OR($L86="",$B86=""),"",MAX(0,TODAY()-$B86))</f>
        <v/>
      </c>
      <c r="K86" s="16" t="str">
        <f aca="false">IF($L86="","",IF(INDEX('NHẬP ĐƠN HÀNG'!$W$6:$W$505,$L86)="","",INDEX('NHẬP ĐƠN HÀNG'!$W$6:$W$505,$L86)))</f>
        <v/>
      </c>
      <c r="L86" s="0" t="str">
        <f aca="false">IFERROR(MATCH(81,'NHẬP ĐƠN HÀNG'!$Y$6:$Y$505,0),"")</f>
        <v/>
      </c>
    </row>
    <row r="87" customFormat="false" ht="15" hidden="false" customHeight="false" outlineLevel="0" collapsed="false">
      <c r="A87" s="16" t="str">
        <f aca="false">IF($L87="","",82)</f>
        <v/>
      </c>
      <c r="B87" s="34" t="str">
        <f aca="false">IF($L87="","",IF(INDEX('NHẬP ĐƠN HÀNG'!$B$6:$B$505,$L87)="","",INDEX('NHẬP ĐƠN HÀNG'!$B$6:$B$505,$L87)))</f>
        <v/>
      </c>
      <c r="C87" s="16" t="str">
        <f aca="false">IF($L87="","",IF(INDEX('NHẬP ĐƠN HÀNG'!$C$6:$C$505,$L87)="","",INDEX('NHẬP ĐƠN HÀNG'!$C$6:$C$505,$L87)))</f>
        <v/>
      </c>
      <c r="D87" s="16" t="str">
        <f aca="false">IF($L87="","",IF(INDEX('NHẬP ĐƠN HÀNG'!$D$6:$D$505,$L87)="","",INDEX('NHẬP ĐƠN HÀNG'!$D$6:$D$505,$L87)))</f>
        <v/>
      </c>
      <c r="E87" s="16" t="str">
        <f aca="false">IF($L87="","",IF(INDEX('NHẬP ĐƠN HÀNG'!$H$6:$H$505,$L87)="","",INDEX('NHẬP ĐƠN HÀNG'!$H$6:$H$505,$L87)))</f>
        <v/>
      </c>
      <c r="F87" s="10" t="str">
        <f aca="false">IF($L87="","",N(INDEX('NHẬP ĐƠN HÀNG'!$I$6:$I$505,$L87)))</f>
        <v/>
      </c>
      <c r="G87" s="10" t="str">
        <f aca="false">IF($L87="","",N(INDEX('NHẬP ĐƠN HÀNG'!$P$6:$P$505,$L87)))</f>
        <v/>
      </c>
      <c r="H87" s="10" t="str">
        <f aca="false">IF($L87="","",N(INDEX('NHẬP ĐƠN HÀNG'!$Q$6:$Q$505,$L87)))</f>
        <v/>
      </c>
      <c r="I87" s="10" t="str">
        <f aca="false">IF($L87="","",N(INDEX('NHẬP ĐƠN HÀNG'!$R$6:$R$505,$L87)))</f>
        <v/>
      </c>
      <c r="J87" s="10" t="str">
        <f aca="true">IF(OR($L87="",$B87=""),"",MAX(0,TODAY()-$B87))</f>
        <v/>
      </c>
      <c r="K87" s="16" t="str">
        <f aca="false">IF($L87="","",IF(INDEX('NHẬP ĐƠN HÀNG'!$W$6:$W$505,$L87)="","",INDEX('NHẬP ĐƠN HÀNG'!$W$6:$W$505,$L87)))</f>
        <v/>
      </c>
      <c r="L87" s="0" t="str">
        <f aca="false">IFERROR(MATCH(82,'NHẬP ĐƠN HÀNG'!$Y$6:$Y$505,0),"")</f>
        <v/>
      </c>
    </row>
    <row r="88" customFormat="false" ht="15" hidden="false" customHeight="false" outlineLevel="0" collapsed="false">
      <c r="A88" s="16" t="str">
        <f aca="false">IF($L88="","",83)</f>
        <v/>
      </c>
      <c r="B88" s="34" t="str">
        <f aca="false">IF($L88="","",IF(INDEX('NHẬP ĐƠN HÀNG'!$B$6:$B$505,$L88)="","",INDEX('NHẬP ĐƠN HÀNG'!$B$6:$B$505,$L88)))</f>
        <v/>
      </c>
      <c r="C88" s="16" t="str">
        <f aca="false">IF($L88="","",IF(INDEX('NHẬP ĐƠN HÀNG'!$C$6:$C$505,$L88)="","",INDEX('NHẬP ĐƠN HÀNG'!$C$6:$C$505,$L88)))</f>
        <v/>
      </c>
      <c r="D88" s="16" t="str">
        <f aca="false">IF($L88="","",IF(INDEX('NHẬP ĐƠN HÀNG'!$D$6:$D$505,$L88)="","",INDEX('NHẬP ĐƠN HÀNG'!$D$6:$D$505,$L88)))</f>
        <v/>
      </c>
      <c r="E88" s="16" t="str">
        <f aca="false">IF($L88="","",IF(INDEX('NHẬP ĐƠN HÀNG'!$H$6:$H$505,$L88)="","",INDEX('NHẬP ĐƠN HÀNG'!$H$6:$H$505,$L88)))</f>
        <v/>
      </c>
      <c r="F88" s="10" t="str">
        <f aca="false">IF($L88="","",N(INDEX('NHẬP ĐƠN HÀNG'!$I$6:$I$505,$L88)))</f>
        <v/>
      </c>
      <c r="G88" s="10" t="str">
        <f aca="false">IF($L88="","",N(INDEX('NHẬP ĐƠN HÀNG'!$P$6:$P$505,$L88)))</f>
        <v/>
      </c>
      <c r="H88" s="10" t="str">
        <f aca="false">IF($L88="","",N(INDEX('NHẬP ĐƠN HÀNG'!$Q$6:$Q$505,$L88)))</f>
        <v/>
      </c>
      <c r="I88" s="10" t="str">
        <f aca="false">IF($L88="","",N(INDEX('NHẬP ĐƠN HÀNG'!$R$6:$R$505,$L88)))</f>
        <v/>
      </c>
      <c r="J88" s="10" t="str">
        <f aca="true">IF(OR($L88="",$B88=""),"",MAX(0,TODAY()-$B88))</f>
        <v/>
      </c>
      <c r="K88" s="16" t="str">
        <f aca="false">IF($L88="","",IF(INDEX('NHẬP ĐƠN HÀNG'!$W$6:$W$505,$L88)="","",INDEX('NHẬP ĐƠN HÀNG'!$W$6:$W$505,$L88)))</f>
        <v/>
      </c>
      <c r="L88" s="0" t="str">
        <f aca="false">IFERROR(MATCH(83,'NHẬP ĐƠN HÀNG'!$Y$6:$Y$505,0),"")</f>
        <v/>
      </c>
    </row>
    <row r="89" customFormat="false" ht="15" hidden="false" customHeight="false" outlineLevel="0" collapsed="false">
      <c r="A89" s="16" t="str">
        <f aca="false">IF($L89="","",84)</f>
        <v/>
      </c>
      <c r="B89" s="34" t="str">
        <f aca="false">IF($L89="","",IF(INDEX('NHẬP ĐƠN HÀNG'!$B$6:$B$505,$L89)="","",INDEX('NHẬP ĐƠN HÀNG'!$B$6:$B$505,$L89)))</f>
        <v/>
      </c>
      <c r="C89" s="16" t="str">
        <f aca="false">IF($L89="","",IF(INDEX('NHẬP ĐƠN HÀNG'!$C$6:$C$505,$L89)="","",INDEX('NHẬP ĐƠN HÀNG'!$C$6:$C$505,$L89)))</f>
        <v/>
      </c>
      <c r="D89" s="16" t="str">
        <f aca="false">IF($L89="","",IF(INDEX('NHẬP ĐƠN HÀNG'!$D$6:$D$505,$L89)="","",INDEX('NHẬP ĐƠN HÀNG'!$D$6:$D$505,$L89)))</f>
        <v/>
      </c>
      <c r="E89" s="16" t="str">
        <f aca="false">IF($L89="","",IF(INDEX('NHẬP ĐƠN HÀNG'!$H$6:$H$505,$L89)="","",INDEX('NHẬP ĐƠN HÀNG'!$H$6:$H$505,$L89)))</f>
        <v/>
      </c>
      <c r="F89" s="10" t="str">
        <f aca="false">IF($L89="","",N(INDEX('NHẬP ĐƠN HÀNG'!$I$6:$I$505,$L89)))</f>
        <v/>
      </c>
      <c r="G89" s="10" t="str">
        <f aca="false">IF($L89="","",N(INDEX('NHẬP ĐƠN HÀNG'!$P$6:$P$505,$L89)))</f>
        <v/>
      </c>
      <c r="H89" s="10" t="str">
        <f aca="false">IF($L89="","",N(INDEX('NHẬP ĐƠN HÀNG'!$Q$6:$Q$505,$L89)))</f>
        <v/>
      </c>
      <c r="I89" s="10" t="str">
        <f aca="false">IF($L89="","",N(INDEX('NHẬP ĐƠN HÀNG'!$R$6:$R$505,$L89)))</f>
        <v/>
      </c>
      <c r="J89" s="10" t="str">
        <f aca="true">IF(OR($L89="",$B89=""),"",MAX(0,TODAY()-$B89))</f>
        <v/>
      </c>
      <c r="K89" s="16" t="str">
        <f aca="false">IF($L89="","",IF(INDEX('NHẬP ĐƠN HÀNG'!$W$6:$W$505,$L89)="","",INDEX('NHẬP ĐƠN HÀNG'!$W$6:$W$505,$L89)))</f>
        <v/>
      </c>
      <c r="L89" s="0" t="str">
        <f aca="false">IFERROR(MATCH(84,'NHẬP ĐƠN HÀNG'!$Y$6:$Y$505,0),"")</f>
        <v/>
      </c>
    </row>
    <row r="90" customFormat="false" ht="15" hidden="false" customHeight="false" outlineLevel="0" collapsed="false">
      <c r="A90" s="16" t="str">
        <f aca="false">IF($L90="","",85)</f>
        <v/>
      </c>
      <c r="B90" s="34" t="str">
        <f aca="false">IF($L90="","",IF(INDEX('NHẬP ĐƠN HÀNG'!$B$6:$B$505,$L90)="","",INDEX('NHẬP ĐƠN HÀNG'!$B$6:$B$505,$L90)))</f>
        <v/>
      </c>
      <c r="C90" s="16" t="str">
        <f aca="false">IF($L90="","",IF(INDEX('NHẬP ĐƠN HÀNG'!$C$6:$C$505,$L90)="","",INDEX('NHẬP ĐƠN HÀNG'!$C$6:$C$505,$L90)))</f>
        <v/>
      </c>
      <c r="D90" s="16" t="str">
        <f aca="false">IF($L90="","",IF(INDEX('NHẬP ĐƠN HÀNG'!$D$6:$D$505,$L90)="","",INDEX('NHẬP ĐƠN HÀNG'!$D$6:$D$505,$L90)))</f>
        <v/>
      </c>
      <c r="E90" s="16" t="str">
        <f aca="false">IF($L90="","",IF(INDEX('NHẬP ĐƠN HÀNG'!$H$6:$H$505,$L90)="","",INDEX('NHẬP ĐƠN HÀNG'!$H$6:$H$505,$L90)))</f>
        <v/>
      </c>
      <c r="F90" s="10" t="str">
        <f aca="false">IF($L90="","",N(INDEX('NHẬP ĐƠN HÀNG'!$I$6:$I$505,$L90)))</f>
        <v/>
      </c>
      <c r="G90" s="10" t="str">
        <f aca="false">IF($L90="","",N(INDEX('NHẬP ĐƠN HÀNG'!$P$6:$P$505,$L90)))</f>
        <v/>
      </c>
      <c r="H90" s="10" t="str">
        <f aca="false">IF($L90="","",N(INDEX('NHẬP ĐƠN HÀNG'!$Q$6:$Q$505,$L90)))</f>
        <v/>
      </c>
      <c r="I90" s="10" t="str">
        <f aca="false">IF($L90="","",N(INDEX('NHẬP ĐƠN HÀNG'!$R$6:$R$505,$L90)))</f>
        <v/>
      </c>
      <c r="J90" s="10" t="str">
        <f aca="true">IF(OR($L90="",$B90=""),"",MAX(0,TODAY()-$B90))</f>
        <v/>
      </c>
      <c r="K90" s="16" t="str">
        <f aca="false">IF($L90="","",IF(INDEX('NHẬP ĐƠN HÀNG'!$W$6:$W$505,$L90)="","",INDEX('NHẬP ĐƠN HÀNG'!$W$6:$W$505,$L90)))</f>
        <v/>
      </c>
      <c r="L90" s="0" t="str">
        <f aca="false">IFERROR(MATCH(85,'NHẬP ĐƠN HÀNG'!$Y$6:$Y$505,0),"")</f>
        <v/>
      </c>
    </row>
    <row r="91" customFormat="false" ht="15" hidden="false" customHeight="false" outlineLevel="0" collapsed="false">
      <c r="A91" s="16" t="str">
        <f aca="false">IF($L91="","",86)</f>
        <v/>
      </c>
      <c r="B91" s="34" t="str">
        <f aca="false">IF($L91="","",IF(INDEX('NHẬP ĐƠN HÀNG'!$B$6:$B$505,$L91)="","",INDEX('NHẬP ĐƠN HÀNG'!$B$6:$B$505,$L91)))</f>
        <v/>
      </c>
      <c r="C91" s="16" t="str">
        <f aca="false">IF($L91="","",IF(INDEX('NHẬP ĐƠN HÀNG'!$C$6:$C$505,$L91)="","",INDEX('NHẬP ĐƠN HÀNG'!$C$6:$C$505,$L91)))</f>
        <v/>
      </c>
      <c r="D91" s="16" t="str">
        <f aca="false">IF($L91="","",IF(INDEX('NHẬP ĐƠN HÀNG'!$D$6:$D$505,$L91)="","",INDEX('NHẬP ĐƠN HÀNG'!$D$6:$D$505,$L91)))</f>
        <v/>
      </c>
      <c r="E91" s="16" t="str">
        <f aca="false">IF($L91="","",IF(INDEX('NHẬP ĐƠN HÀNG'!$H$6:$H$505,$L91)="","",INDEX('NHẬP ĐƠN HÀNG'!$H$6:$H$505,$L91)))</f>
        <v/>
      </c>
      <c r="F91" s="10" t="str">
        <f aca="false">IF($L91="","",N(INDEX('NHẬP ĐƠN HÀNG'!$I$6:$I$505,$L91)))</f>
        <v/>
      </c>
      <c r="G91" s="10" t="str">
        <f aca="false">IF($L91="","",N(INDEX('NHẬP ĐƠN HÀNG'!$P$6:$P$505,$L91)))</f>
        <v/>
      </c>
      <c r="H91" s="10" t="str">
        <f aca="false">IF($L91="","",N(INDEX('NHẬP ĐƠN HÀNG'!$Q$6:$Q$505,$L91)))</f>
        <v/>
      </c>
      <c r="I91" s="10" t="str">
        <f aca="false">IF($L91="","",N(INDEX('NHẬP ĐƠN HÀNG'!$R$6:$R$505,$L91)))</f>
        <v/>
      </c>
      <c r="J91" s="10" t="str">
        <f aca="true">IF(OR($L91="",$B91=""),"",MAX(0,TODAY()-$B91))</f>
        <v/>
      </c>
      <c r="K91" s="16" t="str">
        <f aca="false">IF($L91="","",IF(INDEX('NHẬP ĐƠN HÀNG'!$W$6:$W$505,$L91)="","",INDEX('NHẬP ĐƠN HÀNG'!$W$6:$W$505,$L91)))</f>
        <v/>
      </c>
      <c r="L91" s="0" t="str">
        <f aca="false">IFERROR(MATCH(86,'NHẬP ĐƠN HÀNG'!$Y$6:$Y$505,0),"")</f>
        <v/>
      </c>
    </row>
    <row r="92" customFormat="false" ht="15" hidden="false" customHeight="false" outlineLevel="0" collapsed="false">
      <c r="A92" s="16" t="str">
        <f aca="false">IF($L92="","",87)</f>
        <v/>
      </c>
      <c r="B92" s="34" t="str">
        <f aca="false">IF($L92="","",IF(INDEX('NHẬP ĐƠN HÀNG'!$B$6:$B$505,$L92)="","",INDEX('NHẬP ĐƠN HÀNG'!$B$6:$B$505,$L92)))</f>
        <v/>
      </c>
      <c r="C92" s="16" t="str">
        <f aca="false">IF($L92="","",IF(INDEX('NHẬP ĐƠN HÀNG'!$C$6:$C$505,$L92)="","",INDEX('NHẬP ĐƠN HÀNG'!$C$6:$C$505,$L92)))</f>
        <v/>
      </c>
      <c r="D92" s="16" t="str">
        <f aca="false">IF($L92="","",IF(INDEX('NHẬP ĐƠN HÀNG'!$D$6:$D$505,$L92)="","",INDEX('NHẬP ĐƠN HÀNG'!$D$6:$D$505,$L92)))</f>
        <v/>
      </c>
      <c r="E92" s="16" t="str">
        <f aca="false">IF($L92="","",IF(INDEX('NHẬP ĐƠN HÀNG'!$H$6:$H$505,$L92)="","",INDEX('NHẬP ĐƠN HÀNG'!$H$6:$H$505,$L92)))</f>
        <v/>
      </c>
      <c r="F92" s="10" t="str">
        <f aca="false">IF($L92="","",N(INDEX('NHẬP ĐƠN HÀNG'!$I$6:$I$505,$L92)))</f>
        <v/>
      </c>
      <c r="G92" s="10" t="str">
        <f aca="false">IF($L92="","",N(INDEX('NHẬP ĐƠN HÀNG'!$P$6:$P$505,$L92)))</f>
        <v/>
      </c>
      <c r="H92" s="10" t="str">
        <f aca="false">IF($L92="","",N(INDEX('NHẬP ĐƠN HÀNG'!$Q$6:$Q$505,$L92)))</f>
        <v/>
      </c>
      <c r="I92" s="10" t="str">
        <f aca="false">IF($L92="","",N(INDEX('NHẬP ĐƠN HÀNG'!$R$6:$R$505,$L92)))</f>
        <v/>
      </c>
      <c r="J92" s="10" t="str">
        <f aca="true">IF(OR($L92="",$B92=""),"",MAX(0,TODAY()-$B92))</f>
        <v/>
      </c>
      <c r="K92" s="16" t="str">
        <f aca="false">IF($L92="","",IF(INDEX('NHẬP ĐƠN HÀNG'!$W$6:$W$505,$L92)="","",INDEX('NHẬP ĐƠN HÀNG'!$W$6:$W$505,$L92)))</f>
        <v/>
      </c>
      <c r="L92" s="0" t="str">
        <f aca="false">IFERROR(MATCH(87,'NHẬP ĐƠN HÀNG'!$Y$6:$Y$505,0),"")</f>
        <v/>
      </c>
    </row>
    <row r="93" customFormat="false" ht="15" hidden="false" customHeight="false" outlineLevel="0" collapsed="false">
      <c r="A93" s="16" t="str">
        <f aca="false">IF($L93="","",88)</f>
        <v/>
      </c>
      <c r="B93" s="34" t="str">
        <f aca="false">IF($L93="","",IF(INDEX('NHẬP ĐƠN HÀNG'!$B$6:$B$505,$L93)="","",INDEX('NHẬP ĐƠN HÀNG'!$B$6:$B$505,$L93)))</f>
        <v/>
      </c>
      <c r="C93" s="16" t="str">
        <f aca="false">IF($L93="","",IF(INDEX('NHẬP ĐƠN HÀNG'!$C$6:$C$505,$L93)="","",INDEX('NHẬP ĐƠN HÀNG'!$C$6:$C$505,$L93)))</f>
        <v/>
      </c>
      <c r="D93" s="16" t="str">
        <f aca="false">IF($L93="","",IF(INDEX('NHẬP ĐƠN HÀNG'!$D$6:$D$505,$L93)="","",INDEX('NHẬP ĐƠN HÀNG'!$D$6:$D$505,$L93)))</f>
        <v/>
      </c>
      <c r="E93" s="16" t="str">
        <f aca="false">IF($L93="","",IF(INDEX('NHẬP ĐƠN HÀNG'!$H$6:$H$505,$L93)="","",INDEX('NHẬP ĐƠN HÀNG'!$H$6:$H$505,$L93)))</f>
        <v/>
      </c>
      <c r="F93" s="10" t="str">
        <f aca="false">IF($L93="","",N(INDEX('NHẬP ĐƠN HÀNG'!$I$6:$I$505,$L93)))</f>
        <v/>
      </c>
      <c r="G93" s="10" t="str">
        <f aca="false">IF($L93="","",N(INDEX('NHẬP ĐƠN HÀNG'!$P$6:$P$505,$L93)))</f>
        <v/>
      </c>
      <c r="H93" s="10" t="str">
        <f aca="false">IF($L93="","",N(INDEX('NHẬP ĐƠN HÀNG'!$Q$6:$Q$505,$L93)))</f>
        <v/>
      </c>
      <c r="I93" s="10" t="str">
        <f aca="false">IF($L93="","",N(INDEX('NHẬP ĐƠN HÀNG'!$R$6:$R$505,$L93)))</f>
        <v/>
      </c>
      <c r="J93" s="10" t="str">
        <f aca="true">IF(OR($L93="",$B93=""),"",MAX(0,TODAY()-$B93))</f>
        <v/>
      </c>
      <c r="K93" s="16" t="str">
        <f aca="false">IF($L93="","",IF(INDEX('NHẬP ĐƠN HÀNG'!$W$6:$W$505,$L93)="","",INDEX('NHẬP ĐƠN HÀNG'!$W$6:$W$505,$L93)))</f>
        <v/>
      </c>
      <c r="L93" s="0" t="str">
        <f aca="false">IFERROR(MATCH(88,'NHẬP ĐƠN HÀNG'!$Y$6:$Y$505,0),"")</f>
        <v/>
      </c>
    </row>
    <row r="94" customFormat="false" ht="15" hidden="false" customHeight="false" outlineLevel="0" collapsed="false">
      <c r="A94" s="16" t="str">
        <f aca="false">IF($L94="","",89)</f>
        <v/>
      </c>
      <c r="B94" s="34" t="str">
        <f aca="false">IF($L94="","",IF(INDEX('NHẬP ĐƠN HÀNG'!$B$6:$B$505,$L94)="","",INDEX('NHẬP ĐƠN HÀNG'!$B$6:$B$505,$L94)))</f>
        <v/>
      </c>
      <c r="C94" s="16" t="str">
        <f aca="false">IF($L94="","",IF(INDEX('NHẬP ĐƠN HÀNG'!$C$6:$C$505,$L94)="","",INDEX('NHẬP ĐƠN HÀNG'!$C$6:$C$505,$L94)))</f>
        <v/>
      </c>
      <c r="D94" s="16" t="str">
        <f aca="false">IF($L94="","",IF(INDEX('NHẬP ĐƠN HÀNG'!$D$6:$D$505,$L94)="","",INDEX('NHẬP ĐƠN HÀNG'!$D$6:$D$505,$L94)))</f>
        <v/>
      </c>
      <c r="E94" s="16" t="str">
        <f aca="false">IF($L94="","",IF(INDEX('NHẬP ĐƠN HÀNG'!$H$6:$H$505,$L94)="","",INDEX('NHẬP ĐƠN HÀNG'!$H$6:$H$505,$L94)))</f>
        <v/>
      </c>
      <c r="F94" s="10" t="str">
        <f aca="false">IF($L94="","",N(INDEX('NHẬP ĐƠN HÀNG'!$I$6:$I$505,$L94)))</f>
        <v/>
      </c>
      <c r="G94" s="10" t="str">
        <f aca="false">IF($L94="","",N(INDEX('NHẬP ĐƠN HÀNG'!$P$6:$P$505,$L94)))</f>
        <v/>
      </c>
      <c r="H94" s="10" t="str">
        <f aca="false">IF($L94="","",N(INDEX('NHẬP ĐƠN HÀNG'!$Q$6:$Q$505,$L94)))</f>
        <v/>
      </c>
      <c r="I94" s="10" t="str">
        <f aca="false">IF($L94="","",N(INDEX('NHẬP ĐƠN HÀNG'!$R$6:$R$505,$L94)))</f>
        <v/>
      </c>
      <c r="J94" s="10" t="str">
        <f aca="true">IF(OR($L94="",$B94=""),"",MAX(0,TODAY()-$B94))</f>
        <v/>
      </c>
      <c r="K94" s="16" t="str">
        <f aca="false">IF($L94="","",IF(INDEX('NHẬP ĐƠN HÀNG'!$W$6:$W$505,$L94)="","",INDEX('NHẬP ĐƠN HÀNG'!$W$6:$W$505,$L94)))</f>
        <v/>
      </c>
      <c r="L94" s="0" t="str">
        <f aca="false">IFERROR(MATCH(89,'NHẬP ĐƠN HÀNG'!$Y$6:$Y$505,0),"")</f>
        <v/>
      </c>
    </row>
    <row r="95" customFormat="false" ht="15" hidden="false" customHeight="false" outlineLevel="0" collapsed="false">
      <c r="A95" s="16" t="str">
        <f aca="false">IF($L95="","",90)</f>
        <v/>
      </c>
      <c r="B95" s="34" t="str">
        <f aca="false">IF($L95="","",IF(INDEX('NHẬP ĐƠN HÀNG'!$B$6:$B$505,$L95)="","",INDEX('NHẬP ĐƠN HÀNG'!$B$6:$B$505,$L95)))</f>
        <v/>
      </c>
      <c r="C95" s="16" t="str">
        <f aca="false">IF($L95="","",IF(INDEX('NHẬP ĐƠN HÀNG'!$C$6:$C$505,$L95)="","",INDEX('NHẬP ĐƠN HÀNG'!$C$6:$C$505,$L95)))</f>
        <v/>
      </c>
      <c r="D95" s="16" t="str">
        <f aca="false">IF($L95="","",IF(INDEX('NHẬP ĐƠN HÀNG'!$D$6:$D$505,$L95)="","",INDEX('NHẬP ĐƠN HÀNG'!$D$6:$D$505,$L95)))</f>
        <v/>
      </c>
      <c r="E95" s="16" t="str">
        <f aca="false">IF($L95="","",IF(INDEX('NHẬP ĐƠN HÀNG'!$H$6:$H$505,$L95)="","",INDEX('NHẬP ĐƠN HÀNG'!$H$6:$H$505,$L95)))</f>
        <v/>
      </c>
      <c r="F95" s="10" t="str">
        <f aca="false">IF($L95="","",N(INDEX('NHẬP ĐƠN HÀNG'!$I$6:$I$505,$L95)))</f>
        <v/>
      </c>
      <c r="G95" s="10" t="str">
        <f aca="false">IF($L95="","",N(INDEX('NHẬP ĐƠN HÀNG'!$P$6:$P$505,$L95)))</f>
        <v/>
      </c>
      <c r="H95" s="10" t="str">
        <f aca="false">IF($L95="","",N(INDEX('NHẬP ĐƠN HÀNG'!$Q$6:$Q$505,$L95)))</f>
        <v/>
      </c>
      <c r="I95" s="10" t="str">
        <f aca="false">IF($L95="","",N(INDEX('NHẬP ĐƠN HÀNG'!$R$6:$R$505,$L95)))</f>
        <v/>
      </c>
      <c r="J95" s="10" t="str">
        <f aca="true">IF(OR($L95="",$B95=""),"",MAX(0,TODAY()-$B95))</f>
        <v/>
      </c>
      <c r="K95" s="16" t="str">
        <f aca="false">IF($L95="","",IF(INDEX('NHẬP ĐƠN HÀNG'!$W$6:$W$505,$L95)="","",INDEX('NHẬP ĐƠN HÀNG'!$W$6:$W$505,$L95)))</f>
        <v/>
      </c>
      <c r="L95" s="0" t="str">
        <f aca="false">IFERROR(MATCH(90,'NHẬP ĐƠN HÀNG'!$Y$6:$Y$505,0),"")</f>
        <v/>
      </c>
    </row>
    <row r="96" customFormat="false" ht="15" hidden="false" customHeight="false" outlineLevel="0" collapsed="false">
      <c r="A96" s="16" t="str">
        <f aca="false">IF($L96="","",91)</f>
        <v/>
      </c>
      <c r="B96" s="34" t="str">
        <f aca="false">IF($L96="","",IF(INDEX('NHẬP ĐƠN HÀNG'!$B$6:$B$505,$L96)="","",INDEX('NHẬP ĐƠN HÀNG'!$B$6:$B$505,$L96)))</f>
        <v/>
      </c>
      <c r="C96" s="16" t="str">
        <f aca="false">IF($L96="","",IF(INDEX('NHẬP ĐƠN HÀNG'!$C$6:$C$505,$L96)="","",INDEX('NHẬP ĐƠN HÀNG'!$C$6:$C$505,$L96)))</f>
        <v/>
      </c>
      <c r="D96" s="16" t="str">
        <f aca="false">IF($L96="","",IF(INDEX('NHẬP ĐƠN HÀNG'!$D$6:$D$505,$L96)="","",INDEX('NHẬP ĐƠN HÀNG'!$D$6:$D$505,$L96)))</f>
        <v/>
      </c>
      <c r="E96" s="16" t="str">
        <f aca="false">IF($L96="","",IF(INDEX('NHẬP ĐƠN HÀNG'!$H$6:$H$505,$L96)="","",INDEX('NHẬP ĐƠN HÀNG'!$H$6:$H$505,$L96)))</f>
        <v/>
      </c>
      <c r="F96" s="10" t="str">
        <f aca="false">IF($L96="","",N(INDEX('NHẬP ĐƠN HÀNG'!$I$6:$I$505,$L96)))</f>
        <v/>
      </c>
      <c r="G96" s="10" t="str">
        <f aca="false">IF($L96="","",N(INDEX('NHẬP ĐƠN HÀNG'!$P$6:$P$505,$L96)))</f>
        <v/>
      </c>
      <c r="H96" s="10" t="str">
        <f aca="false">IF($L96="","",N(INDEX('NHẬP ĐƠN HÀNG'!$Q$6:$Q$505,$L96)))</f>
        <v/>
      </c>
      <c r="I96" s="10" t="str">
        <f aca="false">IF($L96="","",N(INDEX('NHẬP ĐƠN HÀNG'!$R$6:$R$505,$L96)))</f>
        <v/>
      </c>
      <c r="J96" s="10" t="str">
        <f aca="true">IF(OR($L96="",$B96=""),"",MAX(0,TODAY()-$B96))</f>
        <v/>
      </c>
      <c r="K96" s="16" t="str">
        <f aca="false">IF($L96="","",IF(INDEX('NHẬP ĐƠN HÀNG'!$W$6:$W$505,$L96)="","",INDEX('NHẬP ĐƠN HÀNG'!$W$6:$W$505,$L96)))</f>
        <v/>
      </c>
      <c r="L96" s="0" t="str">
        <f aca="false">IFERROR(MATCH(91,'NHẬP ĐƠN HÀNG'!$Y$6:$Y$505,0),"")</f>
        <v/>
      </c>
    </row>
    <row r="97" customFormat="false" ht="15" hidden="false" customHeight="false" outlineLevel="0" collapsed="false">
      <c r="A97" s="16" t="str">
        <f aca="false">IF($L97="","",92)</f>
        <v/>
      </c>
      <c r="B97" s="34" t="str">
        <f aca="false">IF($L97="","",IF(INDEX('NHẬP ĐƠN HÀNG'!$B$6:$B$505,$L97)="","",INDEX('NHẬP ĐƠN HÀNG'!$B$6:$B$505,$L97)))</f>
        <v/>
      </c>
      <c r="C97" s="16" t="str">
        <f aca="false">IF($L97="","",IF(INDEX('NHẬP ĐƠN HÀNG'!$C$6:$C$505,$L97)="","",INDEX('NHẬP ĐƠN HÀNG'!$C$6:$C$505,$L97)))</f>
        <v/>
      </c>
      <c r="D97" s="16" t="str">
        <f aca="false">IF($L97="","",IF(INDEX('NHẬP ĐƠN HÀNG'!$D$6:$D$505,$L97)="","",INDEX('NHẬP ĐƠN HÀNG'!$D$6:$D$505,$L97)))</f>
        <v/>
      </c>
      <c r="E97" s="16" t="str">
        <f aca="false">IF($L97="","",IF(INDEX('NHẬP ĐƠN HÀNG'!$H$6:$H$505,$L97)="","",INDEX('NHẬP ĐƠN HÀNG'!$H$6:$H$505,$L97)))</f>
        <v/>
      </c>
      <c r="F97" s="10" t="str">
        <f aca="false">IF($L97="","",N(INDEX('NHẬP ĐƠN HÀNG'!$I$6:$I$505,$L97)))</f>
        <v/>
      </c>
      <c r="G97" s="10" t="str">
        <f aca="false">IF($L97="","",N(INDEX('NHẬP ĐƠN HÀNG'!$P$6:$P$505,$L97)))</f>
        <v/>
      </c>
      <c r="H97" s="10" t="str">
        <f aca="false">IF($L97="","",N(INDEX('NHẬP ĐƠN HÀNG'!$Q$6:$Q$505,$L97)))</f>
        <v/>
      </c>
      <c r="I97" s="10" t="str">
        <f aca="false">IF($L97="","",N(INDEX('NHẬP ĐƠN HÀNG'!$R$6:$R$505,$L97)))</f>
        <v/>
      </c>
      <c r="J97" s="10" t="str">
        <f aca="true">IF(OR($L97="",$B97=""),"",MAX(0,TODAY()-$B97))</f>
        <v/>
      </c>
      <c r="K97" s="16" t="str">
        <f aca="false">IF($L97="","",IF(INDEX('NHẬP ĐƠN HÀNG'!$W$6:$W$505,$L97)="","",INDEX('NHẬP ĐƠN HÀNG'!$W$6:$W$505,$L97)))</f>
        <v/>
      </c>
      <c r="L97" s="0" t="str">
        <f aca="false">IFERROR(MATCH(92,'NHẬP ĐƠN HÀNG'!$Y$6:$Y$505,0),"")</f>
        <v/>
      </c>
    </row>
    <row r="98" customFormat="false" ht="15" hidden="false" customHeight="false" outlineLevel="0" collapsed="false">
      <c r="A98" s="16" t="str">
        <f aca="false">IF($L98="","",93)</f>
        <v/>
      </c>
      <c r="B98" s="34" t="str">
        <f aca="false">IF($L98="","",IF(INDEX('NHẬP ĐƠN HÀNG'!$B$6:$B$505,$L98)="","",INDEX('NHẬP ĐƠN HÀNG'!$B$6:$B$505,$L98)))</f>
        <v/>
      </c>
      <c r="C98" s="16" t="str">
        <f aca="false">IF($L98="","",IF(INDEX('NHẬP ĐƠN HÀNG'!$C$6:$C$505,$L98)="","",INDEX('NHẬP ĐƠN HÀNG'!$C$6:$C$505,$L98)))</f>
        <v/>
      </c>
      <c r="D98" s="16" t="str">
        <f aca="false">IF($L98="","",IF(INDEX('NHẬP ĐƠN HÀNG'!$D$6:$D$505,$L98)="","",INDEX('NHẬP ĐƠN HÀNG'!$D$6:$D$505,$L98)))</f>
        <v/>
      </c>
      <c r="E98" s="16" t="str">
        <f aca="false">IF($L98="","",IF(INDEX('NHẬP ĐƠN HÀNG'!$H$6:$H$505,$L98)="","",INDEX('NHẬP ĐƠN HÀNG'!$H$6:$H$505,$L98)))</f>
        <v/>
      </c>
      <c r="F98" s="10" t="str">
        <f aca="false">IF($L98="","",N(INDEX('NHẬP ĐƠN HÀNG'!$I$6:$I$505,$L98)))</f>
        <v/>
      </c>
      <c r="G98" s="10" t="str">
        <f aca="false">IF($L98="","",N(INDEX('NHẬP ĐƠN HÀNG'!$P$6:$P$505,$L98)))</f>
        <v/>
      </c>
      <c r="H98" s="10" t="str">
        <f aca="false">IF($L98="","",N(INDEX('NHẬP ĐƠN HÀNG'!$Q$6:$Q$505,$L98)))</f>
        <v/>
      </c>
      <c r="I98" s="10" t="str">
        <f aca="false">IF($L98="","",N(INDEX('NHẬP ĐƠN HÀNG'!$R$6:$R$505,$L98)))</f>
        <v/>
      </c>
      <c r="J98" s="10" t="str">
        <f aca="true">IF(OR($L98="",$B98=""),"",MAX(0,TODAY()-$B98))</f>
        <v/>
      </c>
      <c r="K98" s="16" t="str">
        <f aca="false">IF($L98="","",IF(INDEX('NHẬP ĐƠN HÀNG'!$W$6:$W$505,$L98)="","",INDEX('NHẬP ĐƠN HÀNG'!$W$6:$W$505,$L98)))</f>
        <v/>
      </c>
      <c r="L98" s="0" t="str">
        <f aca="false">IFERROR(MATCH(93,'NHẬP ĐƠN HÀNG'!$Y$6:$Y$505,0),"")</f>
        <v/>
      </c>
    </row>
    <row r="99" customFormat="false" ht="15" hidden="false" customHeight="false" outlineLevel="0" collapsed="false">
      <c r="A99" s="16" t="str">
        <f aca="false">IF($L99="","",94)</f>
        <v/>
      </c>
      <c r="B99" s="34" t="str">
        <f aca="false">IF($L99="","",IF(INDEX('NHẬP ĐƠN HÀNG'!$B$6:$B$505,$L99)="","",INDEX('NHẬP ĐƠN HÀNG'!$B$6:$B$505,$L99)))</f>
        <v/>
      </c>
      <c r="C99" s="16" t="str">
        <f aca="false">IF($L99="","",IF(INDEX('NHẬP ĐƠN HÀNG'!$C$6:$C$505,$L99)="","",INDEX('NHẬP ĐƠN HÀNG'!$C$6:$C$505,$L99)))</f>
        <v/>
      </c>
      <c r="D99" s="16" t="str">
        <f aca="false">IF($L99="","",IF(INDEX('NHẬP ĐƠN HÀNG'!$D$6:$D$505,$L99)="","",INDEX('NHẬP ĐƠN HÀNG'!$D$6:$D$505,$L99)))</f>
        <v/>
      </c>
      <c r="E99" s="16" t="str">
        <f aca="false">IF($L99="","",IF(INDEX('NHẬP ĐƠN HÀNG'!$H$6:$H$505,$L99)="","",INDEX('NHẬP ĐƠN HÀNG'!$H$6:$H$505,$L99)))</f>
        <v/>
      </c>
      <c r="F99" s="10" t="str">
        <f aca="false">IF($L99="","",N(INDEX('NHẬP ĐƠN HÀNG'!$I$6:$I$505,$L99)))</f>
        <v/>
      </c>
      <c r="G99" s="10" t="str">
        <f aca="false">IF($L99="","",N(INDEX('NHẬP ĐƠN HÀNG'!$P$6:$P$505,$L99)))</f>
        <v/>
      </c>
      <c r="H99" s="10" t="str">
        <f aca="false">IF($L99="","",N(INDEX('NHẬP ĐƠN HÀNG'!$Q$6:$Q$505,$L99)))</f>
        <v/>
      </c>
      <c r="I99" s="10" t="str">
        <f aca="false">IF($L99="","",N(INDEX('NHẬP ĐƠN HÀNG'!$R$6:$R$505,$L99)))</f>
        <v/>
      </c>
      <c r="J99" s="10" t="str">
        <f aca="true">IF(OR($L99="",$B99=""),"",MAX(0,TODAY()-$B99))</f>
        <v/>
      </c>
      <c r="K99" s="16" t="str">
        <f aca="false">IF($L99="","",IF(INDEX('NHẬP ĐƠN HÀNG'!$W$6:$W$505,$L99)="","",INDEX('NHẬP ĐƠN HÀNG'!$W$6:$W$505,$L99)))</f>
        <v/>
      </c>
      <c r="L99" s="0" t="str">
        <f aca="false">IFERROR(MATCH(94,'NHẬP ĐƠN HÀNG'!$Y$6:$Y$505,0),"")</f>
        <v/>
      </c>
    </row>
    <row r="100" customFormat="false" ht="15" hidden="false" customHeight="false" outlineLevel="0" collapsed="false">
      <c r="A100" s="16" t="str">
        <f aca="false">IF($L100="","",95)</f>
        <v/>
      </c>
      <c r="B100" s="34" t="str">
        <f aca="false">IF($L100="","",IF(INDEX('NHẬP ĐƠN HÀNG'!$B$6:$B$505,$L100)="","",INDEX('NHẬP ĐƠN HÀNG'!$B$6:$B$505,$L100)))</f>
        <v/>
      </c>
      <c r="C100" s="16" t="str">
        <f aca="false">IF($L100="","",IF(INDEX('NHẬP ĐƠN HÀNG'!$C$6:$C$505,$L100)="","",INDEX('NHẬP ĐƠN HÀNG'!$C$6:$C$505,$L100)))</f>
        <v/>
      </c>
      <c r="D100" s="16" t="str">
        <f aca="false">IF($L100="","",IF(INDEX('NHẬP ĐƠN HÀNG'!$D$6:$D$505,$L100)="","",INDEX('NHẬP ĐƠN HÀNG'!$D$6:$D$505,$L100)))</f>
        <v/>
      </c>
      <c r="E100" s="16" t="str">
        <f aca="false">IF($L100="","",IF(INDEX('NHẬP ĐƠN HÀNG'!$H$6:$H$505,$L100)="","",INDEX('NHẬP ĐƠN HÀNG'!$H$6:$H$505,$L100)))</f>
        <v/>
      </c>
      <c r="F100" s="10" t="str">
        <f aca="false">IF($L100="","",N(INDEX('NHẬP ĐƠN HÀNG'!$I$6:$I$505,$L100)))</f>
        <v/>
      </c>
      <c r="G100" s="10" t="str">
        <f aca="false">IF($L100="","",N(INDEX('NHẬP ĐƠN HÀNG'!$P$6:$P$505,$L100)))</f>
        <v/>
      </c>
      <c r="H100" s="10" t="str">
        <f aca="false">IF($L100="","",N(INDEX('NHẬP ĐƠN HÀNG'!$Q$6:$Q$505,$L100)))</f>
        <v/>
      </c>
      <c r="I100" s="10" t="str">
        <f aca="false">IF($L100="","",N(INDEX('NHẬP ĐƠN HÀNG'!$R$6:$R$505,$L100)))</f>
        <v/>
      </c>
      <c r="J100" s="10" t="str">
        <f aca="true">IF(OR($L100="",$B100=""),"",MAX(0,TODAY()-$B100))</f>
        <v/>
      </c>
      <c r="K100" s="16" t="str">
        <f aca="false">IF($L100="","",IF(INDEX('NHẬP ĐƠN HÀNG'!$W$6:$W$505,$L100)="","",INDEX('NHẬP ĐƠN HÀNG'!$W$6:$W$505,$L100)))</f>
        <v/>
      </c>
      <c r="L100" s="0" t="str">
        <f aca="false">IFERROR(MATCH(95,'NHẬP ĐƠN HÀNG'!$Y$6:$Y$505,0),"")</f>
        <v/>
      </c>
    </row>
    <row r="101" customFormat="false" ht="15" hidden="false" customHeight="false" outlineLevel="0" collapsed="false">
      <c r="A101" s="16" t="str">
        <f aca="false">IF($L101="","",96)</f>
        <v/>
      </c>
      <c r="B101" s="34" t="str">
        <f aca="false">IF($L101="","",IF(INDEX('NHẬP ĐƠN HÀNG'!$B$6:$B$505,$L101)="","",INDEX('NHẬP ĐƠN HÀNG'!$B$6:$B$505,$L101)))</f>
        <v/>
      </c>
      <c r="C101" s="16" t="str">
        <f aca="false">IF($L101="","",IF(INDEX('NHẬP ĐƠN HÀNG'!$C$6:$C$505,$L101)="","",INDEX('NHẬP ĐƠN HÀNG'!$C$6:$C$505,$L101)))</f>
        <v/>
      </c>
      <c r="D101" s="16" t="str">
        <f aca="false">IF($L101="","",IF(INDEX('NHẬP ĐƠN HÀNG'!$D$6:$D$505,$L101)="","",INDEX('NHẬP ĐƠN HÀNG'!$D$6:$D$505,$L101)))</f>
        <v/>
      </c>
      <c r="E101" s="16" t="str">
        <f aca="false">IF($L101="","",IF(INDEX('NHẬP ĐƠN HÀNG'!$H$6:$H$505,$L101)="","",INDEX('NHẬP ĐƠN HÀNG'!$H$6:$H$505,$L101)))</f>
        <v/>
      </c>
      <c r="F101" s="10" t="str">
        <f aca="false">IF($L101="","",N(INDEX('NHẬP ĐƠN HÀNG'!$I$6:$I$505,$L101)))</f>
        <v/>
      </c>
      <c r="G101" s="10" t="str">
        <f aca="false">IF($L101="","",N(INDEX('NHẬP ĐƠN HÀNG'!$P$6:$P$505,$L101)))</f>
        <v/>
      </c>
      <c r="H101" s="10" t="str">
        <f aca="false">IF($L101="","",N(INDEX('NHẬP ĐƠN HÀNG'!$Q$6:$Q$505,$L101)))</f>
        <v/>
      </c>
      <c r="I101" s="10" t="str">
        <f aca="false">IF($L101="","",N(INDEX('NHẬP ĐƠN HÀNG'!$R$6:$R$505,$L101)))</f>
        <v/>
      </c>
      <c r="J101" s="10" t="str">
        <f aca="true">IF(OR($L101="",$B101=""),"",MAX(0,TODAY()-$B101))</f>
        <v/>
      </c>
      <c r="K101" s="16" t="str">
        <f aca="false">IF($L101="","",IF(INDEX('NHẬP ĐƠN HÀNG'!$W$6:$W$505,$L101)="","",INDEX('NHẬP ĐƠN HÀNG'!$W$6:$W$505,$L101)))</f>
        <v/>
      </c>
      <c r="L101" s="0" t="str">
        <f aca="false">IFERROR(MATCH(96,'NHẬP ĐƠN HÀNG'!$Y$6:$Y$505,0),"")</f>
        <v/>
      </c>
    </row>
    <row r="102" customFormat="false" ht="15" hidden="false" customHeight="false" outlineLevel="0" collapsed="false">
      <c r="A102" s="16" t="str">
        <f aca="false">IF($L102="","",97)</f>
        <v/>
      </c>
      <c r="B102" s="34" t="str">
        <f aca="false">IF($L102="","",IF(INDEX('NHẬP ĐƠN HÀNG'!$B$6:$B$505,$L102)="","",INDEX('NHẬP ĐƠN HÀNG'!$B$6:$B$505,$L102)))</f>
        <v/>
      </c>
      <c r="C102" s="16" t="str">
        <f aca="false">IF($L102="","",IF(INDEX('NHẬP ĐƠN HÀNG'!$C$6:$C$505,$L102)="","",INDEX('NHẬP ĐƠN HÀNG'!$C$6:$C$505,$L102)))</f>
        <v/>
      </c>
      <c r="D102" s="16" t="str">
        <f aca="false">IF($L102="","",IF(INDEX('NHẬP ĐƠN HÀNG'!$D$6:$D$505,$L102)="","",INDEX('NHẬP ĐƠN HÀNG'!$D$6:$D$505,$L102)))</f>
        <v/>
      </c>
      <c r="E102" s="16" t="str">
        <f aca="false">IF($L102="","",IF(INDEX('NHẬP ĐƠN HÀNG'!$H$6:$H$505,$L102)="","",INDEX('NHẬP ĐƠN HÀNG'!$H$6:$H$505,$L102)))</f>
        <v/>
      </c>
      <c r="F102" s="10" t="str">
        <f aca="false">IF($L102="","",N(INDEX('NHẬP ĐƠN HÀNG'!$I$6:$I$505,$L102)))</f>
        <v/>
      </c>
      <c r="G102" s="10" t="str">
        <f aca="false">IF($L102="","",N(INDEX('NHẬP ĐƠN HÀNG'!$P$6:$P$505,$L102)))</f>
        <v/>
      </c>
      <c r="H102" s="10" t="str">
        <f aca="false">IF($L102="","",N(INDEX('NHẬP ĐƠN HÀNG'!$Q$6:$Q$505,$L102)))</f>
        <v/>
      </c>
      <c r="I102" s="10" t="str">
        <f aca="false">IF($L102="","",N(INDEX('NHẬP ĐƠN HÀNG'!$R$6:$R$505,$L102)))</f>
        <v/>
      </c>
      <c r="J102" s="10" t="str">
        <f aca="true">IF(OR($L102="",$B102=""),"",MAX(0,TODAY()-$B102))</f>
        <v/>
      </c>
      <c r="K102" s="16" t="str">
        <f aca="false">IF($L102="","",IF(INDEX('NHẬP ĐƠN HÀNG'!$W$6:$W$505,$L102)="","",INDEX('NHẬP ĐƠN HÀNG'!$W$6:$W$505,$L102)))</f>
        <v/>
      </c>
      <c r="L102" s="0" t="str">
        <f aca="false">IFERROR(MATCH(97,'NHẬP ĐƠN HÀNG'!$Y$6:$Y$505,0),"")</f>
        <v/>
      </c>
    </row>
    <row r="103" customFormat="false" ht="15" hidden="false" customHeight="false" outlineLevel="0" collapsed="false">
      <c r="A103" s="16" t="str">
        <f aca="false">IF($L103="","",98)</f>
        <v/>
      </c>
      <c r="B103" s="34" t="str">
        <f aca="false">IF($L103="","",IF(INDEX('NHẬP ĐƠN HÀNG'!$B$6:$B$505,$L103)="","",INDEX('NHẬP ĐƠN HÀNG'!$B$6:$B$505,$L103)))</f>
        <v/>
      </c>
      <c r="C103" s="16" t="str">
        <f aca="false">IF($L103="","",IF(INDEX('NHẬP ĐƠN HÀNG'!$C$6:$C$505,$L103)="","",INDEX('NHẬP ĐƠN HÀNG'!$C$6:$C$505,$L103)))</f>
        <v/>
      </c>
      <c r="D103" s="16" t="str">
        <f aca="false">IF($L103="","",IF(INDEX('NHẬP ĐƠN HÀNG'!$D$6:$D$505,$L103)="","",INDEX('NHẬP ĐƠN HÀNG'!$D$6:$D$505,$L103)))</f>
        <v/>
      </c>
      <c r="E103" s="16" t="str">
        <f aca="false">IF($L103="","",IF(INDEX('NHẬP ĐƠN HÀNG'!$H$6:$H$505,$L103)="","",INDEX('NHẬP ĐƠN HÀNG'!$H$6:$H$505,$L103)))</f>
        <v/>
      </c>
      <c r="F103" s="10" t="str">
        <f aca="false">IF($L103="","",N(INDEX('NHẬP ĐƠN HÀNG'!$I$6:$I$505,$L103)))</f>
        <v/>
      </c>
      <c r="G103" s="10" t="str">
        <f aca="false">IF($L103="","",N(INDEX('NHẬP ĐƠN HÀNG'!$P$6:$P$505,$L103)))</f>
        <v/>
      </c>
      <c r="H103" s="10" t="str">
        <f aca="false">IF($L103="","",N(INDEX('NHẬP ĐƠN HÀNG'!$Q$6:$Q$505,$L103)))</f>
        <v/>
      </c>
      <c r="I103" s="10" t="str">
        <f aca="false">IF($L103="","",N(INDEX('NHẬP ĐƠN HÀNG'!$R$6:$R$505,$L103)))</f>
        <v/>
      </c>
      <c r="J103" s="10" t="str">
        <f aca="true">IF(OR($L103="",$B103=""),"",MAX(0,TODAY()-$B103))</f>
        <v/>
      </c>
      <c r="K103" s="16" t="str">
        <f aca="false">IF($L103="","",IF(INDEX('NHẬP ĐƠN HÀNG'!$W$6:$W$505,$L103)="","",INDEX('NHẬP ĐƠN HÀNG'!$W$6:$W$505,$L103)))</f>
        <v/>
      </c>
      <c r="L103" s="0" t="str">
        <f aca="false">IFERROR(MATCH(98,'NHẬP ĐƠN HÀNG'!$Y$6:$Y$505,0),"")</f>
        <v/>
      </c>
    </row>
    <row r="104" customFormat="false" ht="15" hidden="false" customHeight="false" outlineLevel="0" collapsed="false">
      <c r="A104" s="16" t="str">
        <f aca="false">IF($L104="","",99)</f>
        <v/>
      </c>
      <c r="B104" s="34" t="str">
        <f aca="false">IF($L104="","",IF(INDEX('NHẬP ĐƠN HÀNG'!$B$6:$B$505,$L104)="","",INDEX('NHẬP ĐƠN HÀNG'!$B$6:$B$505,$L104)))</f>
        <v/>
      </c>
      <c r="C104" s="16" t="str">
        <f aca="false">IF($L104="","",IF(INDEX('NHẬP ĐƠN HÀNG'!$C$6:$C$505,$L104)="","",INDEX('NHẬP ĐƠN HÀNG'!$C$6:$C$505,$L104)))</f>
        <v/>
      </c>
      <c r="D104" s="16" t="str">
        <f aca="false">IF($L104="","",IF(INDEX('NHẬP ĐƠN HÀNG'!$D$6:$D$505,$L104)="","",INDEX('NHẬP ĐƠN HÀNG'!$D$6:$D$505,$L104)))</f>
        <v/>
      </c>
      <c r="E104" s="16" t="str">
        <f aca="false">IF($L104="","",IF(INDEX('NHẬP ĐƠN HÀNG'!$H$6:$H$505,$L104)="","",INDEX('NHẬP ĐƠN HÀNG'!$H$6:$H$505,$L104)))</f>
        <v/>
      </c>
      <c r="F104" s="10" t="str">
        <f aca="false">IF($L104="","",N(INDEX('NHẬP ĐƠN HÀNG'!$I$6:$I$505,$L104)))</f>
        <v/>
      </c>
      <c r="G104" s="10" t="str">
        <f aca="false">IF($L104="","",N(INDEX('NHẬP ĐƠN HÀNG'!$P$6:$P$505,$L104)))</f>
        <v/>
      </c>
      <c r="H104" s="10" t="str">
        <f aca="false">IF($L104="","",N(INDEX('NHẬP ĐƠN HÀNG'!$Q$6:$Q$505,$L104)))</f>
        <v/>
      </c>
      <c r="I104" s="10" t="str">
        <f aca="false">IF($L104="","",N(INDEX('NHẬP ĐƠN HÀNG'!$R$6:$R$505,$L104)))</f>
        <v/>
      </c>
      <c r="J104" s="10" t="str">
        <f aca="true">IF(OR($L104="",$B104=""),"",MAX(0,TODAY()-$B104))</f>
        <v/>
      </c>
      <c r="K104" s="16" t="str">
        <f aca="false">IF($L104="","",IF(INDEX('NHẬP ĐƠN HÀNG'!$W$6:$W$505,$L104)="","",INDEX('NHẬP ĐƠN HÀNG'!$W$6:$W$505,$L104)))</f>
        <v/>
      </c>
      <c r="L104" s="0" t="str">
        <f aca="false">IFERROR(MATCH(99,'NHẬP ĐƠN HÀNG'!$Y$6:$Y$505,0),"")</f>
        <v/>
      </c>
    </row>
    <row r="105" customFormat="false" ht="15" hidden="false" customHeight="false" outlineLevel="0" collapsed="false">
      <c r="A105" s="16" t="str">
        <f aca="false">IF($L105="","",100)</f>
        <v/>
      </c>
      <c r="B105" s="34" t="str">
        <f aca="false">IF($L105="","",IF(INDEX('NHẬP ĐƠN HÀNG'!$B$6:$B$505,$L105)="","",INDEX('NHẬP ĐƠN HÀNG'!$B$6:$B$505,$L105)))</f>
        <v/>
      </c>
      <c r="C105" s="16" t="str">
        <f aca="false">IF($L105="","",IF(INDEX('NHẬP ĐƠN HÀNG'!$C$6:$C$505,$L105)="","",INDEX('NHẬP ĐƠN HÀNG'!$C$6:$C$505,$L105)))</f>
        <v/>
      </c>
      <c r="D105" s="16" t="str">
        <f aca="false">IF($L105="","",IF(INDEX('NHẬP ĐƠN HÀNG'!$D$6:$D$505,$L105)="","",INDEX('NHẬP ĐƠN HÀNG'!$D$6:$D$505,$L105)))</f>
        <v/>
      </c>
      <c r="E105" s="16" t="str">
        <f aca="false">IF($L105="","",IF(INDEX('NHẬP ĐƠN HÀNG'!$H$6:$H$505,$L105)="","",INDEX('NHẬP ĐƠN HÀNG'!$H$6:$H$505,$L105)))</f>
        <v/>
      </c>
      <c r="F105" s="10" t="str">
        <f aca="false">IF($L105="","",N(INDEX('NHẬP ĐƠN HÀNG'!$I$6:$I$505,$L105)))</f>
        <v/>
      </c>
      <c r="G105" s="10" t="str">
        <f aca="false">IF($L105="","",N(INDEX('NHẬP ĐƠN HÀNG'!$P$6:$P$505,$L105)))</f>
        <v/>
      </c>
      <c r="H105" s="10" t="str">
        <f aca="false">IF($L105="","",N(INDEX('NHẬP ĐƠN HÀNG'!$Q$6:$Q$505,$L105)))</f>
        <v/>
      </c>
      <c r="I105" s="10" t="str">
        <f aca="false">IF($L105="","",N(INDEX('NHẬP ĐƠN HÀNG'!$R$6:$R$505,$L105)))</f>
        <v/>
      </c>
      <c r="J105" s="10" t="str">
        <f aca="true">IF(OR($L105="",$B105=""),"",MAX(0,TODAY()-$B105))</f>
        <v/>
      </c>
      <c r="K105" s="16" t="str">
        <f aca="false">IF($L105="","",IF(INDEX('NHẬP ĐƠN HÀNG'!$W$6:$W$505,$L105)="","",INDEX('NHẬP ĐƠN HÀNG'!$W$6:$W$505,$L105)))</f>
        <v/>
      </c>
      <c r="L105" s="0" t="str">
        <f aca="false">IFERROR(MATCH(100,'NHẬP ĐƠN HÀNG'!$Y$6:$Y$505,0),"")</f>
        <v/>
      </c>
    </row>
    <row r="106" customFormat="false" ht="15" hidden="false" customHeight="false" outlineLevel="0" collapsed="false">
      <c r="A106" s="16" t="str">
        <f aca="false">IF($L106="","",101)</f>
        <v/>
      </c>
      <c r="B106" s="34" t="str">
        <f aca="false">IF($L106="","",IF(INDEX('NHẬP ĐƠN HÀNG'!$B$6:$B$505,$L106)="","",INDEX('NHẬP ĐƠN HÀNG'!$B$6:$B$505,$L106)))</f>
        <v/>
      </c>
      <c r="C106" s="16" t="str">
        <f aca="false">IF($L106="","",IF(INDEX('NHẬP ĐƠN HÀNG'!$C$6:$C$505,$L106)="","",INDEX('NHẬP ĐƠN HÀNG'!$C$6:$C$505,$L106)))</f>
        <v/>
      </c>
      <c r="D106" s="16" t="str">
        <f aca="false">IF($L106="","",IF(INDEX('NHẬP ĐƠN HÀNG'!$D$6:$D$505,$L106)="","",INDEX('NHẬP ĐƠN HÀNG'!$D$6:$D$505,$L106)))</f>
        <v/>
      </c>
      <c r="E106" s="16" t="str">
        <f aca="false">IF($L106="","",IF(INDEX('NHẬP ĐƠN HÀNG'!$H$6:$H$505,$L106)="","",INDEX('NHẬP ĐƠN HÀNG'!$H$6:$H$505,$L106)))</f>
        <v/>
      </c>
      <c r="F106" s="10" t="str">
        <f aca="false">IF($L106="","",N(INDEX('NHẬP ĐƠN HÀNG'!$I$6:$I$505,$L106)))</f>
        <v/>
      </c>
      <c r="G106" s="10" t="str">
        <f aca="false">IF($L106="","",N(INDEX('NHẬP ĐƠN HÀNG'!$P$6:$P$505,$L106)))</f>
        <v/>
      </c>
      <c r="H106" s="10" t="str">
        <f aca="false">IF($L106="","",N(INDEX('NHẬP ĐƠN HÀNG'!$Q$6:$Q$505,$L106)))</f>
        <v/>
      </c>
      <c r="I106" s="10" t="str">
        <f aca="false">IF($L106="","",N(INDEX('NHẬP ĐƠN HÀNG'!$R$6:$R$505,$L106)))</f>
        <v/>
      </c>
      <c r="J106" s="10" t="str">
        <f aca="true">IF(OR($L106="",$B106=""),"",MAX(0,TODAY()-$B106))</f>
        <v/>
      </c>
      <c r="K106" s="16" t="str">
        <f aca="false">IF($L106="","",IF(INDEX('NHẬP ĐƠN HÀNG'!$W$6:$W$505,$L106)="","",INDEX('NHẬP ĐƠN HÀNG'!$W$6:$W$505,$L106)))</f>
        <v/>
      </c>
      <c r="L106" s="0" t="str">
        <f aca="false">IFERROR(MATCH(101,'NHẬP ĐƠN HÀNG'!$Y$6:$Y$505,0),"")</f>
        <v/>
      </c>
    </row>
    <row r="107" customFormat="false" ht="15" hidden="false" customHeight="false" outlineLevel="0" collapsed="false">
      <c r="A107" s="16" t="str">
        <f aca="false">IF($L107="","",102)</f>
        <v/>
      </c>
      <c r="B107" s="34" t="str">
        <f aca="false">IF($L107="","",IF(INDEX('NHẬP ĐƠN HÀNG'!$B$6:$B$505,$L107)="","",INDEX('NHẬP ĐƠN HÀNG'!$B$6:$B$505,$L107)))</f>
        <v/>
      </c>
      <c r="C107" s="16" t="str">
        <f aca="false">IF($L107="","",IF(INDEX('NHẬP ĐƠN HÀNG'!$C$6:$C$505,$L107)="","",INDEX('NHẬP ĐƠN HÀNG'!$C$6:$C$505,$L107)))</f>
        <v/>
      </c>
      <c r="D107" s="16" t="str">
        <f aca="false">IF($L107="","",IF(INDEX('NHẬP ĐƠN HÀNG'!$D$6:$D$505,$L107)="","",INDEX('NHẬP ĐƠN HÀNG'!$D$6:$D$505,$L107)))</f>
        <v/>
      </c>
      <c r="E107" s="16" t="str">
        <f aca="false">IF($L107="","",IF(INDEX('NHẬP ĐƠN HÀNG'!$H$6:$H$505,$L107)="","",INDEX('NHẬP ĐƠN HÀNG'!$H$6:$H$505,$L107)))</f>
        <v/>
      </c>
      <c r="F107" s="10" t="str">
        <f aca="false">IF($L107="","",N(INDEX('NHẬP ĐƠN HÀNG'!$I$6:$I$505,$L107)))</f>
        <v/>
      </c>
      <c r="G107" s="10" t="str">
        <f aca="false">IF($L107="","",N(INDEX('NHẬP ĐƠN HÀNG'!$P$6:$P$505,$L107)))</f>
        <v/>
      </c>
      <c r="H107" s="10" t="str">
        <f aca="false">IF($L107="","",N(INDEX('NHẬP ĐƠN HÀNG'!$Q$6:$Q$505,$L107)))</f>
        <v/>
      </c>
      <c r="I107" s="10" t="str">
        <f aca="false">IF($L107="","",N(INDEX('NHẬP ĐƠN HÀNG'!$R$6:$R$505,$L107)))</f>
        <v/>
      </c>
      <c r="J107" s="10" t="str">
        <f aca="true">IF(OR($L107="",$B107=""),"",MAX(0,TODAY()-$B107))</f>
        <v/>
      </c>
      <c r="K107" s="16" t="str">
        <f aca="false">IF($L107="","",IF(INDEX('NHẬP ĐƠN HÀNG'!$W$6:$W$505,$L107)="","",INDEX('NHẬP ĐƠN HÀNG'!$W$6:$W$505,$L107)))</f>
        <v/>
      </c>
      <c r="L107" s="0" t="str">
        <f aca="false">IFERROR(MATCH(102,'NHẬP ĐƠN HÀNG'!$Y$6:$Y$505,0),"")</f>
        <v/>
      </c>
    </row>
    <row r="108" customFormat="false" ht="15" hidden="false" customHeight="false" outlineLevel="0" collapsed="false">
      <c r="A108" s="16" t="str">
        <f aca="false">IF($L108="","",103)</f>
        <v/>
      </c>
      <c r="B108" s="34" t="str">
        <f aca="false">IF($L108="","",IF(INDEX('NHẬP ĐƠN HÀNG'!$B$6:$B$505,$L108)="","",INDEX('NHẬP ĐƠN HÀNG'!$B$6:$B$505,$L108)))</f>
        <v/>
      </c>
      <c r="C108" s="16" t="str">
        <f aca="false">IF($L108="","",IF(INDEX('NHẬP ĐƠN HÀNG'!$C$6:$C$505,$L108)="","",INDEX('NHẬP ĐƠN HÀNG'!$C$6:$C$505,$L108)))</f>
        <v/>
      </c>
      <c r="D108" s="16" t="str">
        <f aca="false">IF($L108="","",IF(INDEX('NHẬP ĐƠN HÀNG'!$D$6:$D$505,$L108)="","",INDEX('NHẬP ĐƠN HÀNG'!$D$6:$D$505,$L108)))</f>
        <v/>
      </c>
      <c r="E108" s="16" t="str">
        <f aca="false">IF($L108="","",IF(INDEX('NHẬP ĐƠN HÀNG'!$H$6:$H$505,$L108)="","",INDEX('NHẬP ĐƠN HÀNG'!$H$6:$H$505,$L108)))</f>
        <v/>
      </c>
      <c r="F108" s="10" t="str">
        <f aca="false">IF($L108="","",N(INDEX('NHẬP ĐƠN HÀNG'!$I$6:$I$505,$L108)))</f>
        <v/>
      </c>
      <c r="G108" s="10" t="str">
        <f aca="false">IF($L108="","",N(INDEX('NHẬP ĐƠN HÀNG'!$P$6:$P$505,$L108)))</f>
        <v/>
      </c>
      <c r="H108" s="10" t="str">
        <f aca="false">IF($L108="","",N(INDEX('NHẬP ĐƠN HÀNG'!$Q$6:$Q$505,$L108)))</f>
        <v/>
      </c>
      <c r="I108" s="10" t="str">
        <f aca="false">IF($L108="","",N(INDEX('NHẬP ĐƠN HÀNG'!$R$6:$R$505,$L108)))</f>
        <v/>
      </c>
      <c r="J108" s="10" t="str">
        <f aca="true">IF(OR($L108="",$B108=""),"",MAX(0,TODAY()-$B108))</f>
        <v/>
      </c>
      <c r="K108" s="16" t="str">
        <f aca="false">IF($L108="","",IF(INDEX('NHẬP ĐƠN HÀNG'!$W$6:$W$505,$L108)="","",INDEX('NHẬP ĐƠN HÀNG'!$W$6:$W$505,$L108)))</f>
        <v/>
      </c>
      <c r="L108" s="0" t="str">
        <f aca="false">IFERROR(MATCH(103,'NHẬP ĐƠN HÀNG'!$Y$6:$Y$505,0),"")</f>
        <v/>
      </c>
    </row>
    <row r="109" customFormat="false" ht="15" hidden="false" customHeight="false" outlineLevel="0" collapsed="false">
      <c r="A109" s="16" t="str">
        <f aca="false">IF($L109="","",104)</f>
        <v/>
      </c>
      <c r="B109" s="34" t="str">
        <f aca="false">IF($L109="","",IF(INDEX('NHẬP ĐƠN HÀNG'!$B$6:$B$505,$L109)="","",INDEX('NHẬP ĐƠN HÀNG'!$B$6:$B$505,$L109)))</f>
        <v/>
      </c>
      <c r="C109" s="16" t="str">
        <f aca="false">IF($L109="","",IF(INDEX('NHẬP ĐƠN HÀNG'!$C$6:$C$505,$L109)="","",INDEX('NHẬP ĐƠN HÀNG'!$C$6:$C$505,$L109)))</f>
        <v/>
      </c>
      <c r="D109" s="16" t="str">
        <f aca="false">IF($L109="","",IF(INDEX('NHẬP ĐƠN HÀNG'!$D$6:$D$505,$L109)="","",INDEX('NHẬP ĐƠN HÀNG'!$D$6:$D$505,$L109)))</f>
        <v/>
      </c>
      <c r="E109" s="16" t="str">
        <f aca="false">IF($L109="","",IF(INDEX('NHẬP ĐƠN HÀNG'!$H$6:$H$505,$L109)="","",INDEX('NHẬP ĐƠN HÀNG'!$H$6:$H$505,$L109)))</f>
        <v/>
      </c>
      <c r="F109" s="10" t="str">
        <f aca="false">IF($L109="","",N(INDEX('NHẬP ĐƠN HÀNG'!$I$6:$I$505,$L109)))</f>
        <v/>
      </c>
      <c r="G109" s="10" t="str">
        <f aca="false">IF($L109="","",N(INDEX('NHẬP ĐƠN HÀNG'!$P$6:$P$505,$L109)))</f>
        <v/>
      </c>
      <c r="H109" s="10" t="str">
        <f aca="false">IF($L109="","",N(INDEX('NHẬP ĐƠN HÀNG'!$Q$6:$Q$505,$L109)))</f>
        <v/>
      </c>
      <c r="I109" s="10" t="str">
        <f aca="false">IF($L109="","",N(INDEX('NHẬP ĐƠN HÀNG'!$R$6:$R$505,$L109)))</f>
        <v/>
      </c>
      <c r="J109" s="10" t="str">
        <f aca="true">IF(OR($L109="",$B109=""),"",MAX(0,TODAY()-$B109))</f>
        <v/>
      </c>
      <c r="K109" s="16" t="str">
        <f aca="false">IF($L109="","",IF(INDEX('NHẬP ĐƠN HÀNG'!$W$6:$W$505,$L109)="","",INDEX('NHẬP ĐƠN HÀNG'!$W$6:$W$505,$L109)))</f>
        <v/>
      </c>
      <c r="L109" s="0" t="str">
        <f aca="false">IFERROR(MATCH(104,'NHẬP ĐƠN HÀNG'!$Y$6:$Y$505,0),"")</f>
        <v/>
      </c>
    </row>
    <row r="110" customFormat="false" ht="15" hidden="false" customHeight="false" outlineLevel="0" collapsed="false">
      <c r="A110" s="16" t="str">
        <f aca="false">IF($L110="","",105)</f>
        <v/>
      </c>
      <c r="B110" s="34" t="str">
        <f aca="false">IF($L110="","",IF(INDEX('NHẬP ĐƠN HÀNG'!$B$6:$B$505,$L110)="","",INDEX('NHẬP ĐƠN HÀNG'!$B$6:$B$505,$L110)))</f>
        <v/>
      </c>
      <c r="C110" s="16" t="str">
        <f aca="false">IF($L110="","",IF(INDEX('NHẬP ĐƠN HÀNG'!$C$6:$C$505,$L110)="","",INDEX('NHẬP ĐƠN HÀNG'!$C$6:$C$505,$L110)))</f>
        <v/>
      </c>
      <c r="D110" s="16" t="str">
        <f aca="false">IF($L110="","",IF(INDEX('NHẬP ĐƠN HÀNG'!$D$6:$D$505,$L110)="","",INDEX('NHẬP ĐƠN HÀNG'!$D$6:$D$505,$L110)))</f>
        <v/>
      </c>
      <c r="E110" s="16" t="str">
        <f aca="false">IF($L110="","",IF(INDEX('NHẬP ĐƠN HÀNG'!$H$6:$H$505,$L110)="","",INDEX('NHẬP ĐƠN HÀNG'!$H$6:$H$505,$L110)))</f>
        <v/>
      </c>
      <c r="F110" s="10" t="str">
        <f aca="false">IF($L110="","",N(INDEX('NHẬP ĐƠN HÀNG'!$I$6:$I$505,$L110)))</f>
        <v/>
      </c>
      <c r="G110" s="10" t="str">
        <f aca="false">IF($L110="","",N(INDEX('NHẬP ĐƠN HÀNG'!$P$6:$P$505,$L110)))</f>
        <v/>
      </c>
      <c r="H110" s="10" t="str">
        <f aca="false">IF($L110="","",N(INDEX('NHẬP ĐƠN HÀNG'!$Q$6:$Q$505,$L110)))</f>
        <v/>
      </c>
      <c r="I110" s="10" t="str">
        <f aca="false">IF($L110="","",N(INDEX('NHẬP ĐƠN HÀNG'!$R$6:$R$505,$L110)))</f>
        <v/>
      </c>
      <c r="J110" s="10" t="str">
        <f aca="true">IF(OR($L110="",$B110=""),"",MAX(0,TODAY()-$B110))</f>
        <v/>
      </c>
      <c r="K110" s="16" t="str">
        <f aca="false">IF($L110="","",IF(INDEX('NHẬP ĐƠN HÀNG'!$W$6:$W$505,$L110)="","",INDEX('NHẬP ĐƠN HÀNG'!$W$6:$W$505,$L110)))</f>
        <v/>
      </c>
      <c r="L110" s="0" t="str">
        <f aca="false">IFERROR(MATCH(105,'NHẬP ĐƠN HÀNG'!$Y$6:$Y$505,0),"")</f>
        <v/>
      </c>
    </row>
    <row r="111" customFormat="false" ht="15" hidden="false" customHeight="false" outlineLevel="0" collapsed="false">
      <c r="A111" s="16" t="str">
        <f aca="false">IF($L111="","",106)</f>
        <v/>
      </c>
      <c r="B111" s="34" t="str">
        <f aca="false">IF($L111="","",IF(INDEX('NHẬP ĐƠN HÀNG'!$B$6:$B$505,$L111)="","",INDEX('NHẬP ĐƠN HÀNG'!$B$6:$B$505,$L111)))</f>
        <v/>
      </c>
      <c r="C111" s="16" t="str">
        <f aca="false">IF($L111="","",IF(INDEX('NHẬP ĐƠN HÀNG'!$C$6:$C$505,$L111)="","",INDEX('NHẬP ĐƠN HÀNG'!$C$6:$C$505,$L111)))</f>
        <v/>
      </c>
      <c r="D111" s="16" t="str">
        <f aca="false">IF($L111="","",IF(INDEX('NHẬP ĐƠN HÀNG'!$D$6:$D$505,$L111)="","",INDEX('NHẬP ĐƠN HÀNG'!$D$6:$D$505,$L111)))</f>
        <v/>
      </c>
      <c r="E111" s="16" t="str">
        <f aca="false">IF($L111="","",IF(INDEX('NHẬP ĐƠN HÀNG'!$H$6:$H$505,$L111)="","",INDEX('NHẬP ĐƠN HÀNG'!$H$6:$H$505,$L111)))</f>
        <v/>
      </c>
      <c r="F111" s="10" t="str">
        <f aca="false">IF($L111="","",N(INDEX('NHẬP ĐƠN HÀNG'!$I$6:$I$505,$L111)))</f>
        <v/>
      </c>
      <c r="G111" s="10" t="str">
        <f aca="false">IF($L111="","",N(INDEX('NHẬP ĐƠN HÀNG'!$P$6:$P$505,$L111)))</f>
        <v/>
      </c>
      <c r="H111" s="10" t="str">
        <f aca="false">IF($L111="","",N(INDEX('NHẬP ĐƠN HÀNG'!$Q$6:$Q$505,$L111)))</f>
        <v/>
      </c>
      <c r="I111" s="10" t="str">
        <f aca="false">IF($L111="","",N(INDEX('NHẬP ĐƠN HÀNG'!$R$6:$R$505,$L111)))</f>
        <v/>
      </c>
      <c r="J111" s="10" t="str">
        <f aca="true">IF(OR($L111="",$B111=""),"",MAX(0,TODAY()-$B111))</f>
        <v/>
      </c>
      <c r="K111" s="16" t="str">
        <f aca="false">IF($L111="","",IF(INDEX('NHẬP ĐƠN HÀNG'!$W$6:$W$505,$L111)="","",INDEX('NHẬP ĐƠN HÀNG'!$W$6:$W$505,$L111)))</f>
        <v/>
      </c>
      <c r="L111" s="0" t="str">
        <f aca="false">IFERROR(MATCH(106,'NHẬP ĐƠN HÀNG'!$Y$6:$Y$505,0),"")</f>
        <v/>
      </c>
    </row>
    <row r="112" customFormat="false" ht="15" hidden="false" customHeight="false" outlineLevel="0" collapsed="false">
      <c r="A112" s="16" t="str">
        <f aca="false">IF($L112="","",107)</f>
        <v/>
      </c>
      <c r="B112" s="34" t="str">
        <f aca="false">IF($L112="","",IF(INDEX('NHẬP ĐƠN HÀNG'!$B$6:$B$505,$L112)="","",INDEX('NHẬP ĐƠN HÀNG'!$B$6:$B$505,$L112)))</f>
        <v/>
      </c>
      <c r="C112" s="16" t="str">
        <f aca="false">IF($L112="","",IF(INDEX('NHẬP ĐƠN HÀNG'!$C$6:$C$505,$L112)="","",INDEX('NHẬP ĐƠN HÀNG'!$C$6:$C$505,$L112)))</f>
        <v/>
      </c>
      <c r="D112" s="16" t="str">
        <f aca="false">IF($L112="","",IF(INDEX('NHẬP ĐƠN HÀNG'!$D$6:$D$505,$L112)="","",INDEX('NHẬP ĐƠN HÀNG'!$D$6:$D$505,$L112)))</f>
        <v/>
      </c>
      <c r="E112" s="16" t="str">
        <f aca="false">IF($L112="","",IF(INDEX('NHẬP ĐƠN HÀNG'!$H$6:$H$505,$L112)="","",INDEX('NHẬP ĐƠN HÀNG'!$H$6:$H$505,$L112)))</f>
        <v/>
      </c>
      <c r="F112" s="10" t="str">
        <f aca="false">IF($L112="","",N(INDEX('NHẬP ĐƠN HÀNG'!$I$6:$I$505,$L112)))</f>
        <v/>
      </c>
      <c r="G112" s="10" t="str">
        <f aca="false">IF($L112="","",N(INDEX('NHẬP ĐƠN HÀNG'!$P$6:$P$505,$L112)))</f>
        <v/>
      </c>
      <c r="H112" s="10" t="str">
        <f aca="false">IF($L112="","",N(INDEX('NHẬP ĐƠN HÀNG'!$Q$6:$Q$505,$L112)))</f>
        <v/>
      </c>
      <c r="I112" s="10" t="str">
        <f aca="false">IF($L112="","",N(INDEX('NHẬP ĐƠN HÀNG'!$R$6:$R$505,$L112)))</f>
        <v/>
      </c>
      <c r="J112" s="10" t="str">
        <f aca="true">IF(OR($L112="",$B112=""),"",MAX(0,TODAY()-$B112))</f>
        <v/>
      </c>
      <c r="K112" s="16" t="str">
        <f aca="false">IF($L112="","",IF(INDEX('NHẬP ĐƠN HÀNG'!$W$6:$W$505,$L112)="","",INDEX('NHẬP ĐƠN HÀNG'!$W$6:$W$505,$L112)))</f>
        <v/>
      </c>
      <c r="L112" s="0" t="str">
        <f aca="false">IFERROR(MATCH(107,'NHẬP ĐƠN HÀNG'!$Y$6:$Y$505,0),"")</f>
        <v/>
      </c>
    </row>
    <row r="113" customFormat="false" ht="15" hidden="false" customHeight="false" outlineLevel="0" collapsed="false">
      <c r="A113" s="16" t="str">
        <f aca="false">IF($L113="","",108)</f>
        <v/>
      </c>
      <c r="B113" s="34" t="str">
        <f aca="false">IF($L113="","",IF(INDEX('NHẬP ĐƠN HÀNG'!$B$6:$B$505,$L113)="","",INDEX('NHẬP ĐƠN HÀNG'!$B$6:$B$505,$L113)))</f>
        <v/>
      </c>
      <c r="C113" s="16" t="str">
        <f aca="false">IF($L113="","",IF(INDEX('NHẬP ĐƠN HÀNG'!$C$6:$C$505,$L113)="","",INDEX('NHẬP ĐƠN HÀNG'!$C$6:$C$505,$L113)))</f>
        <v/>
      </c>
      <c r="D113" s="16" t="str">
        <f aca="false">IF($L113="","",IF(INDEX('NHẬP ĐƠN HÀNG'!$D$6:$D$505,$L113)="","",INDEX('NHẬP ĐƠN HÀNG'!$D$6:$D$505,$L113)))</f>
        <v/>
      </c>
      <c r="E113" s="16" t="str">
        <f aca="false">IF($L113="","",IF(INDEX('NHẬP ĐƠN HÀNG'!$H$6:$H$505,$L113)="","",INDEX('NHẬP ĐƠN HÀNG'!$H$6:$H$505,$L113)))</f>
        <v/>
      </c>
      <c r="F113" s="10" t="str">
        <f aca="false">IF($L113="","",N(INDEX('NHẬP ĐƠN HÀNG'!$I$6:$I$505,$L113)))</f>
        <v/>
      </c>
      <c r="G113" s="10" t="str">
        <f aca="false">IF($L113="","",N(INDEX('NHẬP ĐƠN HÀNG'!$P$6:$P$505,$L113)))</f>
        <v/>
      </c>
      <c r="H113" s="10" t="str">
        <f aca="false">IF($L113="","",N(INDEX('NHẬP ĐƠN HÀNG'!$Q$6:$Q$505,$L113)))</f>
        <v/>
      </c>
      <c r="I113" s="10" t="str">
        <f aca="false">IF($L113="","",N(INDEX('NHẬP ĐƠN HÀNG'!$R$6:$R$505,$L113)))</f>
        <v/>
      </c>
      <c r="J113" s="10" t="str">
        <f aca="true">IF(OR($L113="",$B113=""),"",MAX(0,TODAY()-$B113))</f>
        <v/>
      </c>
      <c r="K113" s="16" t="str">
        <f aca="false">IF($L113="","",IF(INDEX('NHẬP ĐƠN HÀNG'!$W$6:$W$505,$L113)="","",INDEX('NHẬP ĐƠN HÀNG'!$W$6:$W$505,$L113)))</f>
        <v/>
      </c>
      <c r="L113" s="0" t="str">
        <f aca="false">IFERROR(MATCH(108,'NHẬP ĐƠN HÀNG'!$Y$6:$Y$505,0),"")</f>
        <v/>
      </c>
    </row>
    <row r="114" customFormat="false" ht="15" hidden="false" customHeight="false" outlineLevel="0" collapsed="false">
      <c r="A114" s="16" t="str">
        <f aca="false">IF($L114="","",109)</f>
        <v/>
      </c>
      <c r="B114" s="34" t="str">
        <f aca="false">IF($L114="","",IF(INDEX('NHẬP ĐƠN HÀNG'!$B$6:$B$505,$L114)="","",INDEX('NHẬP ĐƠN HÀNG'!$B$6:$B$505,$L114)))</f>
        <v/>
      </c>
      <c r="C114" s="16" t="str">
        <f aca="false">IF($L114="","",IF(INDEX('NHẬP ĐƠN HÀNG'!$C$6:$C$505,$L114)="","",INDEX('NHẬP ĐƠN HÀNG'!$C$6:$C$505,$L114)))</f>
        <v/>
      </c>
      <c r="D114" s="16" t="str">
        <f aca="false">IF($L114="","",IF(INDEX('NHẬP ĐƠN HÀNG'!$D$6:$D$505,$L114)="","",INDEX('NHẬP ĐƠN HÀNG'!$D$6:$D$505,$L114)))</f>
        <v/>
      </c>
      <c r="E114" s="16" t="str">
        <f aca="false">IF($L114="","",IF(INDEX('NHẬP ĐƠN HÀNG'!$H$6:$H$505,$L114)="","",INDEX('NHẬP ĐƠN HÀNG'!$H$6:$H$505,$L114)))</f>
        <v/>
      </c>
      <c r="F114" s="10" t="str">
        <f aca="false">IF($L114="","",N(INDEX('NHẬP ĐƠN HÀNG'!$I$6:$I$505,$L114)))</f>
        <v/>
      </c>
      <c r="G114" s="10" t="str">
        <f aca="false">IF($L114="","",N(INDEX('NHẬP ĐƠN HÀNG'!$P$6:$P$505,$L114)))</f>
        <v/>
      </c>
      <c r="H114" s="10" t="str">
        <f aca="false">IF($L114="","",N(INDEX('NHẬP ĐƠN HÀNG'!$Q$6:$Q$505,$L114)))</f>
        <v/>
      </c>
      <c r="I114" s="10" t="str">
        <f aca="false">IF($L114="","",N(INDEX('NHẬP ĐƠN HÀNG'!$R$6:$R$505,$L114)))</f>
        <v/>
      </c>
      <c r="J114" s="10" t="str">
        <f aca="true">IF(OR($L114="",$B114=""),"",MAX(0,TODAY()-$B114))</f>
        <v/>
      </c>
      <c r="K114" s="16" t="str">
        <f aca="false">IF($L114="","",IF(INDEX('NHẬP ĐƠN HÀNG'!$W$6:$W$505,$L114)="","",INDEX('NHẬP ĐƠN HÀNG'!$W$6:$W$505,$L114)))</f>
        <v/>
      </c>
      <c r="L114" s="0" t="str">
        <f aca="false">IFERROR(MATCH(109,'NHẬP ĐƠN HÀNG'!$Y$6:$Y$505,0),"")</f>
        <v/>
      </c>
    </row>
    <row r="115" customFormat="false" ht="15" hidden="false" customHeight="false" outlineLevel="0" collapsed="false">
      <c r="A115" s="16" t="str">
        <f aca="false">IF($L115="","",110)</f>
        <v/>
      </c>
      <c r="B115" s="34" t="str">
        <f aca="false">IF($L115="","",IF(INDEX('NHẬP ĐƠN HÀNG'!$B$6:$B$505,$L115)="","",INDEX('NHẬP ĐƠN HÀNG'!$B$6:$B$505,$L115)))</f>
        <v/>
      </c>
      <c r="C115" s="16" t="str">
        <f aca="false">IF($L115="","",IF(INDEX('NHẬP ĐƠN HÀNG'!$C$6:$C$505,$L115)="","",INDEX('NHẬP ĐƠN HÀNG'!$C$6:$C$505,$L115)))</f>
        <v/>
      </c>
      <c r="D115" s="16" t="str">
        <f aca="false">IF($L115="","",IF(INDEX('NHẬP ĐƠN HÀNG'!$D$6:$D$505,$L115)="","",INDEX('NHẬP ĐƠN HÀNG'!$D$6:$D$505,$L115)))</f>
        <v/>
      </c>
      <c r="E115" s="16" t="str">
        <f aca="false">IF($L115="","",IF(INDEX('NHẬP ĐƠN HÀNG'!$H$6:$H$505,$L115)="","",INDEX('NHẬP ĐƠN HÀNG'!$H$6:$H$505,$L115)))</f>
        <v/>
      </c>
      <c r="F115" s="10" t="str">
        <f aca="false">IF($L115="","",N(INDEX('NHẬP ĐƠN HÀNG'!$I$6:$I$505,$L115)))</f>
        <v/>
      </c>
      <c r="G115" s="10" t="str">
        <f aca="false">IF($L115="","",N(INDEX('NHẬP ĐƠN HÀNG'!$P$6:$P$505,$L115)))</f>
        <v/>
      </c>
      <c r="H115" s="10" t="str">
        <f aca="false">IF($L115="","",N(INDEX('NHẬP ĐƠN HÀNG'!$Q$6:$Q$505,$L115)))</f>
        <v/>
      </c>
      <c r="I115" s="10" t="str">
        <f aca="false">IF($L115="","",N(INDEX('NHẬP ĐƠN HÀNG'!$R$6:$R$505,$L115)))</f>
        <v/>
      </c>
      <c r="J115" s="10" t="str">
        <f aca="true">IF(OR($L115="",$B115=""),"",MAX(0,TODAY()-$B115))</f>
        <v/>
      </c>
      <c r="K115" s="16" t="str">
        <f aca="false">IF($L115="","",IF(INDEX('NHẬP ĐƠN HÀNG'!$W$6:$W$505,$L115)="","",INDEX('NHẬP ĐƠN HÀNG'!$W$6:$W$505,$L115)))</f>
        <v/>
      </c>
      <c r="L115" s="0" t="str">
        <f aca="false">IFERROR(MATCH(110,'NHẬP ĐƠN HÀNG'!$Y$6:$Y$505,0),"")</f>
        <v/>
      </c>
    </row>
    <row r="116" customFormat="false" ht="15" hidden="false" customHeight="false" outlineLevel="0" collapsed="false">
      <c r="A116" s="16" t="str">
        <f aca="false">IF($L116="","",111)</f>
        <v/>
      </c>
      <c r="B116" s="34" t="str">
        <f aca="false">IF($L116="","",IF(INDEX('NHẬP ĐƠN HÀNG'!$B$6:$B$505,$L116)="","",INDEX('NHẬP ĐƠN HÀNG'!$B$6:$B$505,$L116)))</f>
        <v/>
      </c>
      <c r="C116" s="16" t="str">
        <f aca="false">IF($L116="","",IF(INDEX('NHẬP ĐƠN HÀNG'!$C$6:$C$505,$L116)="","",INDEX('NHẬP ĐƠN HÀNG'!$C$6:$C$505,$L116)))</f>
        <v/>
      </c>
      <c r="D116" s="16" t="str">
        <f aca="false">IF($L116="","",IF(INDEX('NHẬP ĐƠN HÀNG'!$D$6:$D$505,$L116)="","",INDEX('NHẬP ĐƠN HÀNG'!$D$6:$D$505,$L116)))</f>
        <v/>
      </c>
      <c r="E116" s="16" t="str">
        <f aca="false">IF($L116="","",IF(INDEX('NHẬP ĐƠN HÀNG'!$H$6:$H$505,$L116)="","",INDEX('NHẬP ĐƠN HÀNG'!$H$6:$H$505,$L116)))</f>
        <v/>
      </c>
      <c r="F116" s="10" t="str">
        <f aca="false">IF($L116="","",N(INDEX('NHẬP ĐƠN HÀNG'!$I$6:$I$505,$L116)))</f>
        <v/>
      </c>
      <c r="G116" s="10" t="str">
        <f aca="false">IF($L116="","",N(INDEX('NHẬP ĐƠN HÀNG'!$P$6:$P$505,$L116)))</f>
        <v/>
      </c>
      <c r="H116" s="10" t="str">
        <f aca="false">IF($L116="","",N(INDEX('NHẬP ĐƠN HÀNG'!$Q$6:$Q$505,$L116)))</f>
        <v/>
      </c>
      <c r="I116" s="10" t="str">
        <f aca="false">IF($L116="","",N(INDEX('NHẬP ĐƠN HÀNG'!$R$6:$R$505,$L116)))</f>
        <v/>
      </c>
      <c r="J116" s="10" t="str">
        <f aca="true">IF(OR($L116="",$B116=""),"",MAX(0,TODAY()-$B116))</f>
        <v/>
      </c>
      <c r="K116" s="16" t="str">
        <f aca="false">IF($L116="","",IF(INDEX('NHẬP ĐƠN HÀNG'!$W$6:$W$505,$L116)="","",INDEX('NHẬP ĐƠN HÀNG'!$W$6:$W$505,$L116)))</f>
        <v/>
      </c>
      <c r="L116" s="0" t="str">
        <f aca="false">IFERROR(MATCH(111,'NHẬP ĐƠN HÀNG'!$Y$6:$Y$505,0),"")</f>
        <v/>
      </c>
    </row>
    <row r="117" customFormat="false" ht="15" hidden="false" customHeight="false" outlineLevel="0" collapsed="false">
      <c r="A117" s="16" t="str">
        <f aca="false">IF($L117="","",112)</f>
        <v/>
      </c>
      <c r="B117" s="34" t="str">
        <f aca="false">IF($L117="","",IF(INDEX('NHẬP ĐƠN HÀNG'!$B$6:$B$505,$L117)="","",INDEX('NHẬP ĐƠN HÀNG'!$B$6:$B$505,$L117)))</f>
        <v/>
      </c>
      <c r="C117" s="16" t="str">
        <f aca="false">IF($L117="","",IF(INDEX('NHẬP ĐƠN HÀNG'!$C$6:$C$505,$L117)="","",INDEX('NHẬP ĐƠN HÀNG'!$C$6:$C$505,$L117)))</f>
        <v/>
      </c>
      <c r="D117" s="16" t="str">
        <f aca="false">IF($L117="","",IF(INDEX('NHẬP ĐƠN HÀNG'!$D$6:$D$505,$L117)="","",INDEX('NHẬP ĐƠN HÀNG'!$D$6:$D$505,$L117)))</f>
        <v/>
      </c>
      <c r="E117" s="16" t="str">
        <f aca="false">IF($L117="","",IF(INDEX('NHẬP ĐƠN HÀNG'!$H$6:$H$505,$L117)="","",INDEX('NHẬP ĐƠN HÀNG'!$H$6:$H$505,$L117)))</f>
        <v/>
      </c>
      <c r="F117" s="10" t="str">
        <f aca="false">IF($L117="","",N(INDEX('NHẬP ĐƠN HÀNG'!$I$6:$I$505,$L117)))</f>
        <v/>
      </c>
      <c r="G117" s="10" t="str">
        <f aca="false">IF($L117="","",N(INDEX('NHẬP ĐƠN HÀNG'!$P$6:$P$505,$L117)))</f>
        <v/>
      </c>
      <c r="H117" s="10" t="str">
        <f aca="false">IF($L117="","",N(INDEX('NHẬP ĐƠN HÀNG'!$Q$6:$Q$505,$L117)))</f>
        <v/>
      </c>
      <c r="I117" s="10" t="str">
        <f aca="false">IF($L117="","",N(INDEX('NHẬP ĐƠN HÀNG'!$R$6:$R$505,$L117)))</f>
        <v/>
      </c>
      <c r="J117" s="10" t="str">
        <f aca="true">IF(OR($L117="",$B117=""),"",MAX(0,TODAY()-$B117))</f>
        <v/>
      </c>
      <c r="K117" s="16" t="str">
        <f aca="false">IF($L117="","",IF(INDEX('NHẬP ĐƠN HÀNG'!$W$6:$W$505,$L117)="","",INDEX('NHẬP ĐƠN HÀNG'!$W$6:$W$505,$L117)))</f>
        <v/>
      </c>
      <c r="L117" s="0" t="str">
        <f aca="false">IFERROR(MATCH(112,'NHẬP ĐƠN HÀNG'!$Y$6:$Y$505,0),"")</f>
        <v/>
      </c>
    </row>
    <row r="118" customFormat="false" ht="15" hidden="false" customHeight="false" outlineLevel="0" collapsed="false">
      <c r="A118" s="16" t="str">
        <f aca="false">IF($L118="","",113)</f>
        <v/>
      </c>
      <c r="B118" s="34" t="str">
        <f aca="false">IF($L118="","",IF(INDEX('NHẬP ĐƠN HÀNG'!$B$6:$B$505,$L118)="","",INDEX('NHẬP ĐƠN HÀNG'!$B$6:$B$505,$L118)))</f>
        <v/>
      </c>
      <c r="C118" s="16" t="str">
        <f aca="false">IF($L118="","",IF(INDEX('NHẬP ĐƠN HÀNG'!$C$6:$C$505,$L118)="","",INDEX('NHẬP ĐƠN HÀNG'!$C$6:$C$505,$L118)))</f>
        <v/>
      </c>
      <c r="D118" s="16" t="str">
        <f aca="false">IF($L118="","",IF(INDEX('NHẬP ĐƠN HÀNG'!$D$6:$D$505,$L118)="","",INDEX('NHẬP ĐƠN HÀNG'!$D$6:$D$505,$L118)))</f>
        <v/>
      </c>
      <c r="E118" s="16" t="str">
        <f aca="false">IF($L118="","",IF(INDEX('NHẬP ĐƠN HÀNG'!$H$6:$H$505,$L118)="","",INDEX('NHẬP ĐƠN HÀNG'!$H$6:$H$505,$L118)))</f>
        <v/>
      </c>
      <c r="F118" s="10" t="str">
        <f aca="false">IF($L118="","",N(INDEX('NHẬP ĐƠN HÀNG'!$I$6:$I$505,$L118)))</f>
        <v/>
      </c>
      <c r="G118" s="10" t="str">
        <f aca="false">IF($L118="","",N(INDEX('NHẬP ĐƠN HÀNG'!$P$6:$P$505,$L118)))</f>
        <v/>
      </c>
      <c r="H118" s="10" t="str">
        <f aca="false">IF($L118="","",N(INDEX('NHẬP ĐƠN HÀNG'!$Q$6:$Q$505,$L118)))</f>
        <v/>
      </c>
      <c r="I118" s="10" t="str">
        <f aca="false">IF($L118="","",N(INDEX('NHẬP ĐƠN HÀNG'!$R$6:$R$505,$L118)))</f>
        <v/>
      </c>
      <c r="J118" s="10" t="str">
        <f aca="true">IF(OR($L118="",$B118=""),"",MAX(0,TODAY()-$B118))</f>
        <v/>
      </c>
      <c r="K118" s="16" t="str">
        <f aca="false">IF($L118="","",IF(INDEX('NHẬP ĐƠN HÀNG'!$W$6:$W$505,$L118)="","",INDEX('NHẬP ĐƠN HÀNG'!$W$6:$W$505,$L118)))</f>
        <v/>
      </c>
      <c r="L118" s="0" t="str">
        <f aca="false">IFERROR(MATCH(113,'NHẬP ĐƠN HÀNG'!$Y$6:$Y$505,0),"")</f>
        <v/>
      </c>
    </row>
    <row r="119" customFormat="false" ht="15" hidden="false" customHeight="false" outlineLevel="0" collapsed="false">
      <c r="A119" s="16" t="str">
        <f aca="false">IF($L119="","",114)</f>
        <v/>
      </c>
      <c r="B119" s="34" t="str">
        <f aca="false">IF($L119="","",IF(INDEX('NHẬP ĐƠN HÀNG'!$B$6:$B$505,$L119)="","",INDEX('NHẬP ĐƠN HÀNG'!$B$6:$B$505,$L119)))</f>
        <v/>
      </c>
      <c r="C119" s="16" t="str">
        <f aca="false">IF($L119="","",IF(INDEX('NHẬP ĐƠN HÀNG'!$C$6:$C$505,$L119)="","",INDEX('NHẬP ĐƠN HÀNG'!$C$6:$C$505,$L119)))</f>
        <v/>
      </c>
      <c r="D119" s="16" t="str">
        <f aca="false">IF($L119="","",IF(INDEX('NHẬP ĐƠN HÀNG'!$D$6:$D$505,$L119)="","",INDEX('NHẬP ĐƠN HÀNG'!$D$6:$D$505,$L119)))</f>
        <v/>
      </c>
      <c r="E119" s="16" t="str">
        <f aca="false">IF($L119="","",IF(INDEX('NHẬP ĐƠN HÀNG'!$H$6:$H$505,$L119)="","",INDEX('NHẬP ĐƠN HÀNG'!$H$6:$H$505,$L119)))</f>
        <v/>
      </c>
      <c r="F119" s="10" t="str">
        <f aca="false">IF($L119="","",N(INDEX('NHẬP ĐƠN HÀNG'!$I$6:$I$505,$L119)))</f>
        <v/>
      </c>
      <c r="G119" s="10" t="str">
        <f aca="false">IF($L119="","",N(INDEX('NHẬP ĐƠN HÀNG'!$P$6:$P$505,$L119)))</f>
        <v/>
      </c>
      <c r="H119" s="10" t="str">
        <f aca="false">IF($L119="","",N(INDEX('NHẬP ĐƠN HÀNG'!$Q$6:$Q$505,$L119)))</f>
        <v/>
      </c>
      <c r="I119" s="10" t="str">
        <f aca="false">IF($L119="","",N(INDEX('NHẬP ĐƠN HÀNG'!$R$6:$R$505,$L119)))</f>
        <v/>
      </c>
      <c r="J119" s="10" t="str">
        <f aca="true">IF(OR($L119="",$B119=""),"",MAX(0,TODAY()-$B119))</f>
        <v/>
      </c>
      <c r="K119" s="16" t="str">
        <f aca="false">IF($L119="","",IF(INDEX('NHẬP ĐƠN HÀNG'!$W$6:$W$505,$L119)="","",INDEX('NHẬP ĐƠN HÀNG'!$W$6:$W$505,$L119)))</f>
        <v/>
      </c>
      <c r="L119" s="0" t="str">
        <f aca="false">IFERROR(MATCH(114,'NHẬP ĐƠN HÀNG'!$Y$6:$Y$505,0),"")</f>
        <v/>
      </c>
    </row>
    <row r="120" customFormat="false" ht="15" hidden="false" customHeight="false" outlineLevel="0" collapsed="false">
      <c r="A120" s="16" t="str">
        <f aca="false">IF($L120="","",115)</f>
        <v/>
      </c>
      <c r="B120" s="34" t="str">
        <f aca="false">IF($L120="","",IF(INDEX('NHẬP ĐƠN HÀNG'!$B$6:$B$505,$L120)="","",INDEX('NHẬP ĐƠN HÀNG'!$B$6:$B$505,$L120)))</f>
        <v/>
      </c>
      <c r="C120" s="16" t="str">
        <f aca="false">IF($L120="","",IF(INDEX('NHẬP ĐƠN HÀNG'!$C$6:$C$505,$L120)="","",INDEX('NHẬP ĐƠN HÀNG'!$C$6:$C$505,$L120)))</f>
        <v/>
      </c>
      <c r="D120" s="16" t="str">
        <f aca="false">IF($L120="","",IF(INDEX('NHẬP ĐƠN HÀNG'!$D$6:$D$505,$L120)="","",INDEX('NHẬP ĐƠN HÀNG'!$D$6:$D$505,$L120)))</f>
        <v/>
      </c>
      <c r="E120" s="16" t="str">
        <f aca="false">IF($L120="","",IF(INDEX('NHẬP ĐƠN HÀNG'!$H$6:$H$505,$L120)="","",INDEX('NHẬP ĐƠN HÀNG'!$H$6:$H$505,$L120)))</f>
        <v/>
      </c>
      <c r="F120" s="10" t="str">
        <f aca="false">IF($L120="","",N(INDEX('NHẬP ĐƠN HÀNG'!$I$6:$I$505,$L120)))</f>
        <v/>
      </c>
      <c r="G120" s="10" t="str">
        <f aca="false">IF($L120="","",N(INDEX('NHẬP ĐƠN HÀNG'!$P$6:$P$505,$L120)))</f>
        <v/>
      </c>
      <c r="H120" s="10" t="str">
        <f aca="false">IF($L120="","",N(INDEX('NHẬP ĐƠN HÀNG'!$Q$6:$Q$505,$L120)))</f>
        <v/>
      </c>
      <c r="I120" s="10" t="str">
        <f aca="false">IF($L120="","",N(INDEX('NHẬP ĐƠN HÀNG'!$R$6:$R$505,$L120)))</f>
        <v/>
      </c>
      <c r="J120" s="10" t="str">
        <f aca="true">IF(OR($L120="",$B120=""),"",MAX(0,TODAY()-$B120))</f>
        <v/>
      </c>
      <c r="K120" s="16" t="str">
        <f aca="false">IF($L120="","",IF(INDEX('NHẬP ĐƠN HÀNG'!$W$6:$W$505,$L120)="","",INDEX('NHẬP ĐƠN HÀNG'!$W$6:$W$505,$L120)))</f>
        <v/>
      </c>
      <c r="L120" s="0" t="str">
        <f aca="false">IFERROR(MATCH(115,'NHẬP ĐƠN HÀNG'!$Y$6:$Y$505,0),"")</f>
        <v/>
      </c>
    </row>
    <row r="121" customFormat="false" ht="15" hidden="false" customHeight="false" outlineLevel="0" collapsed="false">
      <c r="A121" s="16" t="str">
        <f aca="false">IF($L121="","",116)</f>
        <v/>
      </c>
      <c r="B121" s="34" t="str">
        <f aca="false">IF($L121="","",IF(INDEX('NHẬP ĐƠN HÀNG'!$B$6:$B$505,$L121)="","",INDEX('NHẬP ĐƠN HÀNG'!$B$6:$B$505,$L121)))</f>
        <v/>
      </c>
      <c r="C121" s="16" t="str">
        <f aca="false">IF($L121="","",IF(INDEX('NHẬP ĐƠN HÀNG'!$C$6:$C$505,$L121)="","",INDEX('NHẬP ĐƠN HÀNG'!$C$6:$C$505,$L121)))</f>
        <v/>
      </c>
      <c r="D121" s="16" t="str">
        <f aca="false">IF($L121="","",IF(INDEX('NHẬP ĐƠN HÀNG'!$D$6:$D$505,$L121)="","",INDEX('NHẬP ĐƠN HÀNG'!$D$6:$D$505,$L121)))</f>
        <v/>
      </c>
      <c r="E121" s="16" t="str">
        <f aca="false">IF($L121="","",IF(INDEX('NHẬP ĐƠN HÀNG'!$H$6:$H$505,$L121)="","",INDEX('NHẬP ĐƠN HÀNG'!$H$6:$H$505,$L121)))</f>
        <v/>
      </c>
      <c r="F121" s="10" t="str">
        <f aca="false">IF($L121="","",N(INDEX('NHẬP ĐƠN HÀNG'!$I$6:$I$505,$L121)))</f>
        <v/>
      </c>
      <c r="G121" s="10" t="str">
        <f aca="false">IF($L121="","",N(INDEX('NHẬP ĐƠN HÀNG'!$P$6:$P$505,$L121)))</f>
        <v/>
      </c>
      <c r="H121" s="10" t="str">
        <f aca="false">IF($L121="","",N(INDEX('NHẬP ĐƠN HÀNG'!$Q$6:$Q$505,$L121)))</f>
        <v/>
      </c>
      <c r="I121" s="10" t="str">
        <f aca="false">IF($L121="","",N(INDEX('NHẬP ĐƠN HÀNG'!$R$6:$R$505,$L121)))</f>
        <v/>
      </c>
      <c r="J121" s="10" t="str">
        <f aca="true">IF(OR($L121="",$B121=""),"",MAX(0,TODAY()-$B121))</f>
        <v/>
      </c>
      <c r="K121" s="16" t="str">
        <f aca="false">IF($L121="","",IF(INDEX('NHẬP ĐƠN HÀNG'!$W$6:$W$505,$L121)="","",INDEX('NHẬP ĐƠN HÀNG'!$W$6:$W$505,$L121)))</f>
        <v/>
      </c>
      <c r="L121" s="0" t="str">
        <f aca="false">IFERROR(MATCH(116,'NHẬP ĐƠN HÀNG'!$Y$6:$Y$505,0),"")</f>
        <v/>
      </c>
    </row>
    <row r="122" customFormat="false" ht="15" hidden="false" customHeight="false" outlineLevel="0" collapsed="false">
      <c r="A122" s="16" t="str">
        <f aca="false">IF($L122="","",117)</f>
        <v/>
      </c>
      <c r="B122" s="34" t="str">
        <f aca="false">IF($L122="","",IF(INDEX('NHẬP ĐƠN HÀNG'!$B$6:$B$505,$L122)="","",INDEX('NHẬP ĐƠN HÀNG'!$B$6:$B$505,$L122)))</f>
        <v/>
      </c>
      <c r="C122" s="16" t="str">
        <f aca="false">IF($L122="","",IF(INDEX('NHẬP ĐƠN HÀNG'!$C$6:$C$505,$L122)="","",INDEX('NHẬP ĐƠN HÀNG'!$C$6:$C$505,$L122)))</f>
        <v/>
      </c>
      <c r="D122" s="16" t="str">
        <f aca="false">IF($L122="","",IF(INDEX('NHẬP ĐƠN HÀNG'!$D$6:$D$505,$L122)="","",INDEX('NHẬP ĐƠN HÀNG'!$D$6:$D$505,$L122)))</f>
        <v/>
      </c>
      <c r="E122" s="16" t="str">
        <f aca="false">IF($L122="","",IF(INDEX('NHẬP ĐƠN HÀNG'!$H$6:$H$505,$L122)="","",INDEX('NHẬP ĐƠN HÀNG'!$H$6:$H$505,$L122)))</f>
        <v/>
      </c>
      <c r="F122" s="10" t="str">
        <f aca="false">IF($L122="","",N(INDEX('NHẬP ĐƠN HÀNG'!$I$6:$I$505,$L122)))</f>
        <v/>
      </c>
      <c r="G122" s="10" t="str">
        <f aca="false">IF($L122="","",N(INDEX('NHẬP ĐƠN HÀNG'!$P$6:$P$505,$L122)))</f>
        <v/>
      </c>
      <c r="H122" s="10" t="str">
        <f aca="false">IF($L122="","",N(INDEX('NHẬP ĐƠN HÀNG'!$Q$6:$Q$505,$L122)))</f>
        <v/>
      </c>
      <c r="I122" s="10" t="str">
        <f aca="false">IF($L122="","",N(INDEX('NHẬP ĐƠN HÀNG'!$R$6:$R$505,$L122)))</f>
        <v/>
      </c>
      <c r="J122" s="10" t="str">
        <f aca="true">IF(OR($L122="",$B122=""),"",MAX(0,TODAY()-$B122))</f>
        <v/>
      </c>
      <c r="K122" s="16" t="str">
        <f aca="false">IF($L122="","",IF(INDEX('NHẬP ĐƠN HÀNG'!$W$6:$W$505,$L122)="","",INDEX('NHẬP ĐƠN HÀNG'!$W$6:$W$505,$L122)))</f>
        <v/>
      </c>
      <c r="L122" s="0" t="str">
        <f aca="false">IFERROR(MATCH(117,'NHẬP ĐƠN HÀNG'!$Y$6:$Y$505,0),"")</f>
        <v/>
      </c>
    </row>
    <row r="123" customFormat="false" ht="15" hidden="false" customHeight="false" outlineLevel="0" collapsed="false">
      <c r="A123" s="16" t="str">
        <f aca="false">IF($L123="","",118)</f>
        <v/>
      </c>
      <c r="B123" s="34" t="str">
        <f aca="false">IF($L123="","",IF(INDEX('NHẬP ĐƠN HÀNG'!$B$6:$B$505,$L123)="","",INDEX('NHẬP ĐƠN HÀNG'!$B$6:$B$505,$L123)))</f>
        <v/>
      </c>
      <c r="C123" s="16" t="str">
        <f aca="false">IF($L123="","",IF(INDEX('NHẬP ĐƠN HÀNG'!$C$6:$C$505,$L123)="","",INDEX('NHẬP ĐƠN HÀNG'!$C$6:$C$505,$L123)))</f>
        <v/>
      </c>
      <c r="D123" s="16" t="str">
        <f aca="false">IF($L123="","",IF(INDEX('NHẬP ĐƠN HÀNG'!$D$6:$D$505,$L123)="","",INDEX('NHẬP ĐƠN HÀNG'!$D$6:$D$505,$L123)))</f>
        <v/>
      </c>
      <c r="E123" s="16" t="str">
        <f aca="false">IF($L123="","",IF(INDEX('NHẬP ĐƠN HÀNG'!$H$6:$H$505,$L123)="","",INDEX('NHẬP ĐƠN HÀNG'!$H$6:$H$505,$L123)))</f>
        <v/>
      </c>
      <c r="F123" s="10" t="str">
        <f aca="false">IF($L123="","",N(INDEX('NHẬP ĐƠN HÀNG'!$I$6:$I$505,$L123)))</f>
        <v/>
      </c>
      <c r="G123" s="10" t="str">
        <f aca="false">IF($L123="","",N(INDEX('NHẬP ĐƠN HÀNG'!$P$6:$P$505,$L123)))</f>
        <v/>
      </c>
      <c r="H123" s="10" t="str">
        <f aca="false">IF($L123="","",N(INDEX('NHẬP ĐƠN HÀNG'!$Q$6:$Q$505,$L123)))</f>
        <v/>
      </c>
      <c r="I123" s="10" t="str">
        <f aca="false">IF($L123="","",N(INDEX('NHẬP ĐƠN HÀNG'!$R$6:$R$505,$L123)))</f>
        <v/>
      </c>
      <c r="J123" s="10" t="str">
        <f aca="true">IF(OR($L123="",$B123=""),"",MAX(0,TODAY()-$B123))</f>
        <v/>
      </c>
      <c r="K123" s="16" t="str">
        <f aca="false">IF($L123="","",IF(INDEX('NHẬP ĐƠN HÀNG'!$W$6:$W$505,$L123)="","",INDEX('NHẬP ĐƠN HÀNG'!$W$6:$W$505,$L123)))</f>
        <v/>
      </c>
      <c r="L123" s="0" t="str">
        <f aca="false">IFERROR(MATCH(118,'NHẬP ĐƠN HÀNG'!$Y$6:$Y$505,0),"")</f>
        <v/>
      </c>
    </row>
    <row r="124" customFormat="false" ht="15" hidden="false" customHeight="false" outlineLevel="0" collapsed="false">
      <c r="A124" s="16" t="str">
        <f aca="false">IF($L124="","",119)</f>
        <v/>
      </c>
      <c r="B124" s="34" t="str">
        <f aca="false">IF($L124="","",IF(INDEX('NHẬP ĐƠN HÀNG'!$B$6:$B$505,$L124)="","",INDEX('NHẬP ĐƠN HÀNG'!$B$6:$B$505,$L124)))</f>
        <v/>
      </c>
      <c r="C124" s="16" t="str">
        <f aca="false">IF($L124="","",IF(INDEX('NHẬP ĐƠN HÀNG'!$C$6:$C$505,$L124)="","",INDEX('NHẬP ĐƠN HÀNG'!$C$6:$C$505,$L124)))</f>
        <v/>
      </c>
      <c r="D124" s="16" t="str">
        <f aca="false">IF($L124="","",IF(INDEX('NHẬP ĐƠN HÀNG'!$D$6:$D$505,$L124)="","",INDEX('NHẬP ĐƠN HÀNG'!$D$6:$D$505,$L124)))</f>
        <v/>
      </c>
      <c r="E124" s="16" t="str">
        <f aca="false">IF($L124="","",IF(INDEX('NHẬP ĐƠN HÀNG'!$H$6:$H$505,$L124)="","",INDEX('NHẬP ĐƠN HÀNG'!$H$6:$H$505,$L124)))</f>
        <v/>
      </c>
      <c r="F124" s="10" t="str">
        <f aca="false">IF($L124="","",N(INDEX('NHẬP ĐƠN HÀNG'!$I$6:$I$505,$L124)))</f>
        <v/>
      </c>
      <c r="G124" s="10" t="str">
        <f aca="false">IF($L124="","",N(INDEX('NHẬP ĐƠN HÀNG'!$P$6:$P$505,$L124)))</f>
        <v/>
      </c>
      <c r="H124" s="10" t="str">
        <f aca="false">IF($L124="","",N(INDEX('NHẬP ĐƠN HÀNG'!$Q$6:$Q$505,$L124)))</f>
        <v/>
      </c>
      <c r="I124" s="10" t="str">
        <f aca="false">IF($L124="","",N(INDEX('NHẬP ĐƠN HÀNG'!$R$6:$R$505,$L124)))</f>
        <v/>
      </c>
      <c r="J124" s="10" t="str">
        <f aca="true">IF(OR($L124="",$B124=""),"",MAX(0,TODAY()-$B124))</f>
        <v/>
      </c>
      <c r="K124" s="16" t="str">
        <f aca="false">IF($L124="","",IF(INDEX('NHẬP ĐƠN HÀNG'!$W$6:$W$505,$L124)="","",INDEX('NHẬP ĐƠN HÀNG'!$W$6:$W$505,$L124)))</f>
        <v/>
      </c>
      <c r="L124" s="0" t="str">
        <f aca="false">IFERROR(MATCH(119,'NHẬP ĐƠN HÀNG'!$Y$6:$Y$505,0),"")</f>
        <v/>
      </c>
    </row>
    <row r="125" customFormat="false" ht="15" hidden="false" customHeight="false" outlineLevel="0" collapsed="false">
      <c r="A125" s="16" t="str">
        <f aca="false">IF($L125="","",120)</f>
        <v/>
      </c>
      <c r="B125" s="34" t="str">
        <f aca="false">IF($L125="","",IF(INDEX('NHẬP ĐƠN HÀNG'!$B$6:$B$505,$L125)="","",INDEX('NHẬP ĐƠN HÀNG'!$B$6:$B$505,$L125)))</f>
        <v/>
      </c>
      <c r="C125" s="16" t="str">
        <f aca="false">IF($L125="","",IF(INDEX('NHẬP ĐƠN HÀNG'!$C$6:$C$505,$L125)="","",INDEX('NHẬP ĐƠN HÀNG'!$C$6:$C$505,$L125)))</f>
        <v/>
      </c>
      <c r="D125" s="16" t="str">
        <f aca="false">IF($L125="","",IF(INDEX('NHẬP ĐƠN HÀNG'!$D$6:$D$505,$L125)="","",INDEX('NHẬP ĐƠN HÀNG'!$D$6:$D$505,$L125)))</f>
        <v/>
      </c>
      <c r="E125" s="16" t="str">
        <f aca="false">IF($L125="","",IF(INDEX('NHẬP ĐƠN HÀNG'!$H$6:$H$505,$L125)="","",INDEX('NHẬP ĐƠN HÀNG'!$H$6:$H$505,$L125)))</f>
        <v/>
      </c>
      <c r="F125" s="10" t="str">
        <f aca="false">IF($L125="","",N(INDEX('NHẬP ĐƠN HÀNG'!$I$6:$I$505,$L125)))</f>
        <v/>
      </c>
      <c r="G125" s="10" t="str">
        <f aca="false">IF($L125="","",N(INDEX('NHẬP ĐƠN HÀNG'!$P$6:$P$505,$L125)))</f>
        <v/>
      </c>
      <c r="H125" s="10" t="str">
        <f aca="false">IF($L125="","",N(INDEX('NHẬP ĐƠN HÀNG'!$Q$6:$Q$505,$L125)))</f>
        <v/>
      </c>
      <c r="I125" s="10" t="str">
        <f aca="false">IF($L125="","",N(INDEX('NHẬP ĐƠN HÀNG'!$R$6:$R$505,$L125)))</f>
        <v/>
      </c>
      <c r="J125" s="10" t="str">
        <f aca="true">IF(OR($L125="",$B125=""),"",MAX(0,TODAY()-$B125))</f>
        <v/>
      </c>
      <c r="K125" s="16" t="str">
        <f aca="false">IF($L125="","",IF(INDEX('NHẬP ĐƠN HÀNG'!$W$6:$W$505,$L125)="","",INDEX('NHẬP ĐƠN HÀNG'!$W$6:$W$505,$L125)))</f>
        <v/>
      </c>
      <c r="L125" s="0" t="str">
        <f aca="false">IFERROR(MATCH(120,'NHẬP ĐƠN HÀNG'!$Y$6:$Y$505,0),"")</f>
        <v/>
      </c>
    </row>
    <row r="126" customFormat="false" ht="15" hidden="false" customHeight="false" outlineLevel="0" collapsed="false">
      <c r="A126" s="16" t="str">
        <f aca="false">IF($L126="","",121)</f>
        <v/>
      </c>
      <c r="B126" s="34" t="str">
        <f aca="false">IF($L126="","",IF(INDEX('NHẬP ĐƠN HÀNG'!$B$6:$B$505,$L126)="","",INDEX('NHẬP ĐƠN HÀNG'!$B$6:$B$505,$L126)))</f>
        <v/>
      </c>
      <c r="C126" s="16" t="str">
        <f aca="false">IF($L126="","",IF(INDEX('NHẬP ĐƠN HÀNG'!$C$6:$C$505,$L126)="","",INDEX('NHẬP ĐƠN HÀNG'!$C$6:$C$505,$L126)))</f>
        <v/>
      </c>
      <c r="D126" s="16" t="str">
        <f aca="false">IF($L126="","",IF(INDEX('NHẬP ĐƠN HÀNG'!$D$6:$D$505,$L126)="","",INDEX('NHẬP ĐƠN HÀNG'!$D$6:$D$505,$L126)))</f>
        <v/>
      </c>
      <c r="E126" s="16" t="str">
        <f aca="false">IF($L126="","",IF(INDEX('NHẬP ĐƠN HÀNG'!$H$6:$H$505,$L126)="","",INDEX('NHẬP ĐƠN HÀNG'!$H$6:$H$505,$L126)))</f>
        <v/>
      </c>
      <c r="F126" s="10" t="str">
        <f aca="false">IF($L126="","",N(INDEX('NHẬP ĐƠN HÀNG'!$I$6:$I$505,$L126)))</f>
        <v/>
      </c>
      <c r="G126" s="10" t="str">
        <f aca="false">IF($L126="","",N(INDEX('NHẬP ĐƠN HÀNG'!$P$6:$P$505,$L126)))</f>
        <v/>
      </c>
      <c r="H126" s="10" t="str">
        <f aca="false">IF($L126="","",N(INDEX('NHẬP ĐƠN HÀNG'!$Q$6:$Q$505,$L126)))</f>
        <v/>
      </c>
      <c r="I126" s="10" t="str">
        <f aca="false">IF($L126="","",N(INDEX('NHẬP ĐƠN HÀNG'!$R$6:$R$505,$L126)))</f>
        <v/>
      </c>
      <c r="J126" s="10" t="str">
        <f aca="true">IF(OR($L126="",$B126=""),"",MAX(0,TODAY()-$B126))</f>
        <v/>
      </c>
      <c r="K126" s="16" t="str">
        <f aca="false">IF($L126="","",IF(INDEX('NHẬP ĐƠN HÀNG'!$W$6:$W$505,$L126)="","",INDEX('NHẬP ĐƠN HÀNG'!$W$6:$W$505,$L126)))</f>
        <v/>
      </c>
      <c r="L126" s="0" t="str">
        <f aca="false">IFERROR(MATCH(121,'NHẬP ĐƠN HÀNG'!$Y$6:$Y$505,0),"")</f>
        <v/>
      </c>
    </row>
    <row r="127" customFormat="false" ht="15" hidden="false" customHeight="false" outlineLevel="0" collapsed="false">
      <c r="A127" s="16" t="str">
        <f aca="false">IF($L127="","",122)</f>
        <v/>
      </c>
      <c r="B127" s="34" t="str">
        <f aca="false">IF($L127="","",IF(INDEX('NHẬP ĐƠN HÀNG'!$B$6:$B$505,$L127)="","",INDEX('NHẬP ĐƠN HÀNG'!$B$6:$B$505,$L127)))</f>
        <v/>
      </c>
      <c r="C127" s="16" t="str">
        <f aca="false">IF($L127="","",IF(INDEX('NHẬP ĐƠN HÀNG'!$C$6:$C$505,$L127)="","",INDEX('NHẬP ĐƠN HÀNG'!$C$6:$C$505,$L127)))</f>
        <v/>
      </c>
      <c r="D127" s="16" t="str">
        <f aca="false">IF($L127="","",IF(INDEX('NHẬP ĐƠN HÀNG'!$D$6:$D$505,$L127)="","",INDEX('NHẬP ĐƠN HÀNG'!$D$6:$D$505,$L127)))</f>
        <v/>
      </c>
      <c r="E127" s="16" t="str">
        <f aca="false">IF($L127="","",IF(INDEX('NHẬP ĐƠN HÀNG'!$H$6:$H$505,$L127)="","",INDEX('NHẬP ĐƠN HÀNG'!$H$6:$H$505,$L127)))</f>
        <v/>
      </c>
      <c r="F127" s="10" t="str">
        <f aca="false">IF($L127="","",N(INDEX('NHẬP ĐƠN HÀNG'!$I$6:$I$505,$L127)))</f>
        <v/>
      </c>
      <c r="G127" s="10" t="str">
        <f aca="false">IF($L127="","",N(INDEX('NHẬP ĐƠN HÀNG'!$P$6:$P$505,$L127)))</f>
        <v/>
      </c>
      <c r="H127" s="10" t="str">
        <f aca="false">IF($L127="","",N(INDEX('NHẬP ĐƠN HÀNG'!$Q$6:$Q$505,$L127)))</f>
        <v/>
      </c>
      <c r="I127" s="10" t="str">
        <f aca="false">IF($L127="","",N(INDEX('NHẬP ĐƠN HÀNG'!$R$6:$R$505,$L127)))</f>
        <v/>
      </c>
      <c r="J127" s="10" t="str">
        <f aca="true">IF(OR($L127="",$B127=""),"",MAX(0,TODAY()-$B127))</f>
        <v/>
      </c>
      <c r="K127" s="16" t="str">
        <f aca="false">IF($L127="","",IF(INDEX('NHẬP ĐƠN HÀNG'!$W$6:$W$505,$L127)="","",INDEX('NHẬP ĐƠN HÀNG'!$W$6:$W$505,$L127)))</f>
        <v/>
      </c>
      <c r="L127" s="0" t="str">
        <f aca="false">IFERROR(MATCH(122,'NHẬP ĐƠN HÀNG'!$Y$6:$Y$505,0),"")</f>
        <v/>
      </c>
    </row>
    <row r="128" customFormat="false" ht="15" hidden="false" customHeight="false" outlineLevel="0" collapsed="false">
      <c r="A128" s="16" t="str">
        <f aca="false">IF($L128="","",123)</f>
        <v/>
      </c>
      <c r="B128" s="34" t="str">
        <f aca="false">IF($L128="","",IF(INDEX('NHẬP ĐƠN HÀNG'!$B$6:$B$505,$L128)="","",INDEX('NHẬP ĐƠN HÀNG'!$B$6:$B$505,$L128)))</f>
        <v/>
      </c>
      <c r="C128" s="16" t="str">
        <f aca="false">IF($L128="","",IF(INDEX('NHẬP ĐƠN HÀNG'!$C$6:$C$505,$L128)="","",INDEX('NHẬP ĐƠN HÀNG'!$C$6:$C$505,$L128)))</f>
        <v/>
      </c>
      <c r="D128" s="16" t="str">
        <f aca="false">IF($L128="","",IF(INDEX('NHẬP ĐƠN HÀNG'!$D$6:$D$505,$L128)="","",INDEX('NHẬP ĐƠN HÀNG'!$D$6:$D$505,$L128)))</f>
        <v/>
      </c>
      <c r="E128" s="16" t="str">
        <f aca="false">IF($L128="","",IF(INDEX('NHẬP ĐƠN HÀNG'!$H$6:$H$505,$L128)="","",INDEX('NHẬP ĐƠN HÀNG'!$H$6:$H$505,$L128)))</f>
        <v/>
      </c>
      <c r="F128" s="10" t="str">
        <f aca="false">IF($L128="","",N(INDEX('NHẬP ĐƠN HÀNG'!$I$6:$I$505,$L128)))</f>
        <v/>
      </c>
      <c r="G128" s="10" t="str">
        <f aca="false">IF($L128="","",N(INDEX('NHẬP ĐƠN HÀNG'!$P$6:$P$505,$L128)))</f>
        <v/>
      </c>
      <c r="H128" s="10" t="str">
        <f aca="false">IF($L128="","",N(INDEX('NHẬP ĐƠN HÀNG'!$Q$6:$Q$505,$L128)))</f>
        <v/>
      </c>
      <c r="I128" s="10" t="str">
        <f aca="false">IF($L128="","",N(INDEX('NHẬP ĐƠN HÀNG'!$R$6:$R$505,$L128)))</f>
        <v/>
      </c>
      <c r="J128" s="10" t="str">
        <f aca="true">IF(OR($L128="",$B128=""),"",MAX(0,TODAY()-$B128))</f>
        <v/>
      </c>
      <c r="K128" s="16" t="str">
        <f aca="false">IF($L128="","",IF(INDEX('NHẬP ĐƠN HÀNG'!$W$6:$W$505,$L128)="","",INDEX('NHẬP ĐƠN HÀNG'!$W$6:$W$505,$L128)))</f>
        <v/>
      </c>
      <c r="L128" s="0" t="str">
        <f aca="false">IFERROR(MATCH(123,'NHẬP ĐƠN HÀNG'!$Y$6:$Y$505,0),"")</f>
        <v/>
      </c>
    </row>
    <row r="129" customFormat="false" ht="15" hidden="false" customHeight="false" outlineLevel="0" collapsed="false">
      <c r="A129" s="16" t="str">
        <f aca="false">IF($L129="","",124)</f>
        <v/>
      </c>
      <c r="B129" s="34" t="str">
        <f aca="false">IF($L129="","",IF(INDEX('NHẬP ĐƠN HÀNG'!$B$6:$B$505,$L129)="","",INDEX('NHẬP ĐƠN HÀNG'!$B$6:$B$505,$L129)))</f>
        <v/>
      </c>
      <c r="C129" s="16" t="str">
        <f aca="false">IF($L129="","",IF(INDEX('NHẬP ĐƠN HÀNG'!$C$6:$C$505,$L129)="","",INDEX('NHẬP ĐƠN HÀNG'!$C$6:$C$505,$L129)))</f>
        <v/>
      </c>
      <c r="D129" s="16" t="str">
        <f aca="false">IF($L129="","",IF(INDEX('NHẬP ĐƠN HÀNG'!$D$6:$D$505,$L129)="","",INDEX('NHẬP ĐƠN HÀNG'!$D$6:$D$505,$L129)))</f>
        <v/>
      </c>
      <c r="E129" s="16" t="str">
        <f aca="false">IF($L129="","",IF(INDEX('NHẬP ĐƠN HÀNG'!$H$6:$H$505,$L129)="","",INDEX('NHẬP ĐƠN HÀNG'!$H$6:$H$505,$L129)))</f>
        <v/>
      </c>
      <c r="F129" s="10" t="str">
        <f aca="false">IF($L129="","",N(INDEX('NHẬP ĐƠN HÀNG'!$I$6:$I$505,$L129)))</f>
        <v/>
      </c>
      <c r="G129" s="10" t="str">
        <f aca="false">IF($L129="","",N(INDEX('NHẬP ĐƠN HÀNG'!$P$6:$P$505,$L129)))</f>
        <v/>
      </c>
      <c r="H129" s="10" t="str">
        <f aca="false">IF($L129="","",N(INDEX('NHẬP ĐƠN HÀNG'!$Q$6:$Q$505,$L129)))</f>
        <v/>
      </c>
      <c r="I129" s="10" t="str">
        <f aca="false">IF($L129="","",N(INDEX('NHẬP ĐƠN HÀNG'!$R$6:$R$505,$L129)))</f>
        <v/>
      </c>
      <c r="J129" s="10" t="str">
        <f aca="true">IF(OR($L129="",$B129=""),"",MAX(0,TODAY()-$B129))</f>
        <v/>
      </c>
      <c r="K129" s="16" t="str">
        <f aca="false">IF($L129="","",IF(INDEX('NHẬP ĐƠN HÀNG'!$W$6:$W$505,$L129)="","",INDEX('NHẬP ĐƠN HÀNG'!$W$6:$W$505,$L129)))</f>
        <v/>
      </c>
      <c r="L129" s="0" t="str">
        <f aca="false">IFERROR(MATCH(124,'NHẬP ĐƠN HÀNG'!$Y$6:$Y$505,0),"")</f>
        <v/>
      </c>
    </row>
    <row r="130" customFormat="false" ht="15" hidden="false" customHeight="false" outlineLevel="0" collapsed="false">
      <c r="A130" s="16" t="str">
        <f aca="false">IF($L130="","",125)</f>
        <v/>
      </c>
      <c r="B130" s="34" t="str">
        <f aca="false">IF($L130="","",IF(INDEX('NHẬP ĐƠN HÀNG'!$B$6:$B$505,$L130)="","",INDEX('NHẬP ĐƠN HÀNG'!$B$6:$B$505,$L130)))</f>
        <v/>
      </c>
      <c r="C130" s="16" t="str">
        <f aca="false">IF($L130="","",IF(INDEX('NHẬP ĐƠN HÀNG'!$C$6:$C$505,$L130)="","",INDEX('NHẬP ĐƠN HÀNG'!$C$6:$C$505,$L130)))</f>
        <v/>
      </c>
      <c r="D130" s="16" t="str">
        <f aca="false">IF($L130="","",IF(INDEX('NHẬP ĐƠN HÀNG'!$D$6:$D$505,$L130)="","",INDEX('NHẬP ĐƠN HÀNG'!$D$6:$D$505,$L130)))</f>
        <v/>
      </c>
      <c r="E130" s="16" t="str">
        <f aca="false">IF($L130="","",IF(INDEX('NHẬP ĐƠN HÀNG'!$H$6:$H$505,$L130)="","",INDEX('NHẬP ĐƠN HÀNG'!$H$6:$H$505,$L130)))</f>
        <v/>
      </c>
      <c r="F130" s="10" t="str">
        <f aca="false">IF($L130="","",N(INDEX('NHẬP ĐƠN HÀNG'!$I$6:$I$505,$L130)))</f>
        <v/>
      </c>
      <c r="G130" s="10" t="str">
        <f aca="false">IF($L130="","",N(INDEX('NHẬP ĐƠN HÀNG'!$P$6:$P$505,$L130)))</f>
        <v/>
      </c>
      <c r="H130" s="10" t="str">
        <f aca="false">IF($L130="","",N(INDEX('NHẬP ĐƠN HÀNG'!$Q$6:$Q$505,$L130)))</f>
        <v/>
      </c>
      <c r="I130" s="10" t="str">
        <f aca="false">IF($L130="","",N(INDEX('NHẬP ĐƠN HÀNG'!$R$6:$R$505,$L130)))</f>
        <v/>
      </c>
      <c r="J130" s="10" t="str">
        <f aca="true">IF(OR($L130="",$B130=""),"",MAX(0,TODAY()-$B130))</f>
        <v/>
      </c>
      <c r="K130" s="16" t="str">
        <f aca="false">IF($L130="","",IF(INDEX('NHẬP ĐƠN HÀNG'!$W$6:$W$505,$L130)="","",INDEX('NHẬP ĐƠN HÀNG'!$W$6:$W$505,$L130)))</f>
        <v/>
      </c>
      <c r="L130" s="0" t="str">
        <f aca="false">IFERROR(MATCH(125,'NHẬP ĐƠN HÀNG'!$Y$6:$Y$505,0),"")</f>
        <v/>
      </c>
    </row>
    <row r="131" customFormat="false" ht="15" hidden="false" customHeight="false" outlineLevel="0" collapsed="false">
      <c r="A131" s="16" t="str">
        <f aca="false">IF($L131="","",126)</f>
        <v/>
      </c>
      <c r="B131" s="34" t="str">
        <f aca="false">IF($L131="","",IF(INDEX('NHẬP ĐƠN HÀNG'!$B$6:$B$505,$L131)="","",INDEX('NHẬP ĐƠN HÀNG'!$B$6:$B$505,$L131)))</f>
        <v/>
      </c>
      <c r="C131" s="16" t="str">
        <f aca="false">IF($L131="","",IF(INDEX('NHẬP ĐƠN HÀNG'!$C$6:$C$505,$L131)="","",INDEX('NHẬP ĐƠN HÀNG'!$C$6:$C$505,$L131)))</f>
        <v/>
      </c>
      <c r="D131" s="16" t="str">
        <f aca="false">IF($L131="","",IF(INDEX('NHẬP ĐƠN HÀNG'!$D$6:$D$505,$L131)="","",INDEX('NHẬP ĐƠN HÀNG'!$D$6:$D$505,$L131)))</f>
        <v/>
      </c>
      <c r="E131" s="16" t="str">
        <f aca="false">IF($L131="","",IF(INDEX('NHẬP ĐƠN HÀNG'!$H$6:$H$505,$L131)="","",INDEX('NHẬP ĐƠN HÀNG'!$H$6:$H$505,$L131)))</f>
        <v/>
      </c>
      <c r="F131" s="10" t="str">
        <f aca="false">IF($L131="","",N(INDEX('NHẬP ĐƠN HÀNG'!$I$6:$I$505,$L131)))</f>
        <v/>
      </c>
      <c r="G131" s="10" t="str">
        <f aca="false">IF($L131="","",N(INDEX('NHẬP ĐƠN HÀNG'!$P$6:$P$505,$L131)))</f>
        <v/>
      </c>
      <c r="H131" s="10" t="str">
        <f aca="false">IF($L131="","",N(INDEX('NHẬP ĐƠN HÀNG'!$Q$6:$Q$505,$L131)))</f>
        <v/>
      </c>
      <c r="I131" s="10" t="str">
        <f aca="false">IF($L131="","",N(INDEX('NHẬP ĐƠN HÀNG'!$R$6:$R$505,$L131)))</f>
        <v/>
      </c>
      <c r="J131" s="10" t="str">
        <f aca="true">IF(OR($L131="",$B131=""),"",MAX(0,TODAY()-$B131))</f>
        <v/>
      </c>
      <c r="K131" s="16" t="str">
        <f aca="false">IF($L131="","",IF(INDEX('NHẬP ĐƠN HÀNG'!$W$6:$W$505,$L131)="","",INDEX('NHẬP ĐƠN HÀNG'!$W$6:$W$505,$L131)))</f>
        <v/>
      </c>
      <c r="L131" s="0" t="str">
        <f aca="false">IFERROR(MATCH(126,'NHẬP ĐƠN HÀNG'!$Y$6:$Y$505,0),"")</f>
        <v/>
      </c>
    </row>
    <row r="132" customFormat="false" ht="15" hidden="false" customHeight="false" outlineLevel="0" collapsed="false">
      <c r="A132" s="16" t="str">
        <f aca="false">IF($L132="","",127)</f>
        <v/>
      </c>
      <c r="B132" s="34" t="str">
        <f aca="false">IF($L132="","",IF(INDEX('NHẬP ĐƠN HÀNG'!$B$6:$B$505,$L132)="","",INDEX('NHẬP ĐƠN HÀNG'!$B$6:$B$505,$L132)))</f>
        <v/>
      </c>
      <c r="C132" s="16" t="str">
        <f aca="false">IF($L132="","",IF(INDEX('NHẬP ĐƠN HÀNG'!$C$6:$C$505,$L132)="","",INDEX('NHẬP ĐƠN HÀNG'!$C$6:$C$505,$L132)))</f>
        <v/>
      </c>
      <c r="D132" s="16" t="str">
        <f aca="false">IF($L132="","",IF(INDEX('NHẬP ĐƠN HÀNG'!$D$6:$D$505,$L132)="","",INDEX('NHẬP ĐƠN HÀNG'!$D$6:$D$505,$L132)))</f>
        <v/>
      </c>
      <c r="E132" s="16" t="str">
        <f aca="false">IF($L132="","",IF(INDEX('NHẬP ĐƠN HÀNG'!$H$6:$H$505,$L132)="","",INDEX('NHẬP ĐƠN HÀNG'!$H$6:$H$505,$L132)))</f>
        <v/>
      </c>
      <c r="F132" s="10" t="str">
        <f aca="false">IF($L132="","",N(INDEX('NHẬP ĐƠN HÀNG'!$I$6:$I$505,$L132)))</f>
        <v/>
      </c>
      <c r="G132" s="10" t="str">
        <f aca="false">IF($L132="","",N(INDEX('NHẬP ĐƠN HÀNG'!$P$6:$P$505,$L132)))</f>
        <v/>
      </c>
      <c r="H132" s="10" t="str">
        <f aca="false">IF($L132="","",N(INDEX('NHẬP ĐƠN HÀNG'!$Q$6:$Q$505,$L132)))</f>
        <v/>
      </c>
      <c r="I132" s="10" t="str">
        <f aca="false">IF($L132="","",N(INDEX('NHẬP ĐƠN HÀNG'!$R$6:$R$505,$L132)))</f>
        <v/>
      </c>
      <c r="J132" s="10" t="str">
        <f aca="true">IF(OR($L132="",$B132=""),"",MAX(0,TODAY()-$B132))</f>
        <v/>
      </c>
      <c r="K132" s="16" t="str">
        <f aca="false">IF($L132="","",IF(INDEX('NHẬP ĐƠN HÀNG'!$W$6:$W$505,$L132)="","",INDEX('NHẬP ĐƠN HÀNG'!$W$6:$W$505,$L132)))</f>
        <v/>
      </c>
      <c r="L132" s="0" t="str">
        <f aca="false">IFERROR(MATCH(127,'NHẬP ĐƠN HÀNG'!$Y$6:$Y$505,0),"")</f>
        <v/>
      </c>
    </row>
    <row r="133" customFormat="false" ht="15" hidden="false" customHeight="false" outlineLevel="0" collapsed="false">
      <c r="A133" s="16" t="str">
        <f aca="false">IF($L133="","",128)</f>
        <v/>
      </c>
      <c r="B133" s="34" t="str">
        <f aca="false">IF($L133="","",IF(INDEX('NHẬP ĐƠN HÀNG'!$B$6:$B$505,$L133)="","",INDEX('NHẬP ĐƠN HÀNG'!$B$6:$B$505,$L133)))</f>
        <v/>
      </c>
      <c r="C133" s="16" t="str">
        <f aca="false">IF($L133="","",IF(INDEX('NHẬP ĐƠN HÀNG'!$C$6:$C$505,$L133)="","",INDEX('NHẬP ĐƠN HÀNG'!$C$6:$C$505,$L133)))</f>
        <v/>
      </c>
      <c r="D133" s="16" t="str">
        <f aca="false">IF($L133="","",IF(INDEX('NHẬP ĐƠN HÀNG'!$D$6:$D$505,$L133)="","",INDEX('NHẬP ĐƠN HÀNG'!$D$6:$D$505,$L133)))</f>
        <v/>
      </c>
      <c r="E133" s="16" t="str">
        <f aca="false">IF($L133="","",IF(INDEX('NHẬP ĐƠN HÀNG'!$H$6:$H$505,$L133)="","",INDEX('NHẬP ĐƠN HÀNG'!$H$6:$H$505,$L133)))</f>
        <v/>
      </c>
      <c r="F133" s="10" t="str">
        <f aca="false">IF($L133="","",N(INDEX('NHẬP ĐƠN HÀNG'!$I$6:$I$505,$L133)))</f>
        <v/>
      </c>
      <c r="G133" s="10" t="str">
        <f aca="false">IF($L133="","",N(INDEX('NHẬP ĐƠN HÀNG'!$P$6:$P$505,$L133)))</f>
        <v/>
      </c>
      <c r="H133" s="10" t="str">
        <f aca="false">IF($L133="","",N(INDEX('NHẬP ĐƠN HÀNG'!$Q$6:$Q$505,$L133)))</f>
        <v/>
      </c>
      <c r="I133" s="10" t="str">
        <f aca="false">IF($L133="","",N(INDEX('NHẬP ĐƠN HÀNG'!$R$6:$R$505,$L133)))</f>
        <v/>
      </c>
      <c r="J133" s="10" t="str">
        <f aca="true">IF(OR($L133="",$B133=""),"",MAX(0,TODAY()-$B133))</f>
        <v/>
      </c>
      <c r="K133" s="16" t="str">
        <f aca="false">IF($L133="","",IF(INDEX('NHẬP ĐƠN HÀNG'!$W$6:$W$505,$L133)="","",INDEX('NHẬP ĐƠN HÀNG'!$W$6:$W$505,$L133)))</f>
        <v/>
      </c>
      <c r="L133" s="0" t="str">
        <f aca="false">IFERROR(MATCH(128,'NHẬP ĐƠN HÀNG'!$Y$6:$Y$505,0),"")</f>
        <v/>
      </c>
    </row>
    <row r="134" customFormat="false" ht="15" hidden="false" customHeight="false" outlineLevel="0" collapsed="false">
      <c r="A134" s="16" t="str">
        <f aca="false">IF($L134="","",129)</f>
        <v/>
      </c>
      <c r="B134" s="34" t="str">
        <f aca="false">IF($L134="","",IF(INDEX('NHẬP ĐƠN HÀNG'!$B$6:$B$505,$L134)="","",INDEX('NHẬP ĐƠN HÀNG'!$B$6:$B$505,$L134)))</f>
        <v/>
      </c>
      <c r="C134" s="16" t="str">
        <f aca="false">IF($L134="","",IF(INDEX('NHẬP ĐƠN HÀNG'!$C$6:$C$505,$L134)="","",INDEX('NHẬP ĐƠN HÀNG'!$C$6:$C$505,$L134)))</f>
        <v/>
      </c>
      <c r="D134" s="16" t="str">
        <f aca="false">IF($L134="","",IF(INDEX('NHẬP ĐƠN HÀNG'!$D$6:$D$505,$L134)="","",INDEX('NHẬP ĐƠN HÀNG'!$D$6:$D$505,$L134)))</f>
        <v/>
      </c>
      <c r="E134" s="16" t="str">
        <f aca="false">IF($L134="","",IF(INDEX('NHẬP ĐƠN HÀNG'!$H$6:$H$505,$L134)="","",INDEX('NHẬP ĐƠN HÀNG'!$H$6:$H$505,$L134)))</f>
        <v/>
      </c>
      <c r="F134" s="10" t="str">
        <f aca="false">IF($L134="","",N(INDEX('NHẬP ĐƠN HÀNG'!$I$6:$I$505,$L134)))</f>
        <v/>
      </c>
      <c r="G134" s="10" t="str">
        <f aca="false">IF($L134="","",N(INDEX('NHẬP ĐƠN HÀNG'!$P$6:$P$505,$L134)))</f>
        <v/>
      </c>
      <c r="H134" s="10" t="str">
        <f aca="false">IF($L134="","",N(INDEX('NHẬP ĐƠN HÀNG'!$Q$6:$Q$505,$L134)))</f>
        <v/>
      </c>
      <c r="I134" s="10" t="str">
        <f aca="false">IF($L134="","",N(INDEX('NHẬP ĐƠN HÀNG'!$R$6:$R$505,$L134)))</f>
        <v/>
      </c>
      <c r="J134" s="10" t="str">
        <f aca="true">IF(OR($L134="",$B134=""),"",MAX(0,TODAY()-$B134))</f>
        <v/>
      </c>
      <c r="K134" s="16" t="str">
        <f aca="false">IF($L134="","",IF(INDEX('NHẬP ĐƠN HÀNG'!$W$6:$W$505,$L134)="","",INDEX('NHẬP ĐƠN HÀNG'!$W$6:$W$505,$L134)))</f>
        <v/>
      </c>
      <c r="L134" s="0" t="str">
        <f aca="false">IFERROR(MATCH(129,'NHẬP ĐƠN HÀNG'!$Y$6:$Y$505,0),"")</f>
        <v/>
      </c>
    </row>
    <row r="135" customFormat="false" ht="15" hidden="false" customHeight="false" outlineLevel="0" collapsed="false">
      <c r="A135" s="16" t="str">
        <f aca="false">IF($L135="","",130)</f>
        <v/>
      </c>
      <c r="B135" s="34" t="str">
        <f aca="false">IF($L135="","",IF(INDEX('NHẬP ĐƠN HÀNG'!$B$6:$B$505,$L135)="","",INDEX('NHẬP ĐƠN HÀNG'!$B$6:$B$505,$L135)))</f>
        <v/>
      </c>
      <c r="C135" s="16" t="str">
        <f aca="false">IF($L135="","",IF(INDEX('NHẬP ĐƠN HÀNG'!$C$6:$C$505,$L135)="","",INDEX('NHẬP ĐƠN HÀNG'!$C$6:$C$505,$L135)))</f>
        <v/>
      </c>
      <c r="D135" s="16" t="str">
        <f aca="false">IF($L135="","",IF(INDEX('NHẬP ĐƠN HÀNG'!$D$6:$D$505,$L135)="","",INDEX('NHẬP ĐƠN HÀNG'!$D$6:$D$505,$L135)))</f>
        <v/>
      </c>
      <c r="E135" s="16" t="str">
        <f aca="false">IF($L135="","",IF(INDEX('NHẬP ĐƠN HÀNG'!$H$6:$H$505,$L135)="","",INDEX('NHẬP ĐƠN HÀNG'!$H$6:$H$505,$L135)))</f>
        <v/>
      </c>
      <c r="F135" s="10" t="str">
        <f aca="false">IF($L135="","",N(INDEX('NHẬP ĐƠN HÀNG'!$I$6:$I$505,$L135)))</f>
        <v/>
      </c>
      <c r="G135" s="10" t="str">
        <f aca="false">IF($L135="","",N(INDEX('NHẬP ĐƠN HÀNG'!$P$6:$P$505,$L135)))</f>
        <v/>
      </c>
      <c r="H135" s="10" t="str">
        <f aca="false">IF($L135="","",N(INDEX('NHẬP ĐƠN HÀNG'!$Q$6:$Q$505,$L135)))</f>
        <v/>
      </c>
      <c r="I135" s="10" t="str">
        <f aca="false">IF($L135="","",N(INDEX('NHẬP ĐƠN HÀNG'!$R$6:$R$505,$L135)))</f>
        <v/>
      </c>
      <c r="J135" s="10" t="str">
        <f aca="true">IF(OR($L135="",$B135=""),"",MAX(0,TODAY()-$B135))</f>
        <v/>
      </c>
      <c r="K135" s="16" t="str">
        <f aca="false">IF($L135="","",IF(INDEX('NHẬP ĐƠN HÀNG'!$W$6:$W$505,$L135)="","",INDEX('NHẬP ĐƠN HÀNG'!$W$6:$W$505,$L135)))</f>
        <v/>
      </c>
      <c r="L135" s="0" t="str">
        <f aca="false">IFERROR(MATCH(130,'NHẬP ĐƠN HÀNG'!$Y$6:$Y$505,0),"")</f>
        <v/>
      </c>
    </row>
    <row r="136" customFormat="false" ht="15" hidden="false" customHeight="false" outlineLevel="0" collapsed="false">
      <c r="A136" s="16" t="str">
        <f aca="false">IF($L136="","",131)</f>
        <v/>
      </c>
      <c r="B136" s="34" t="str">
        <f aca="false">IF($L136="","",IF(INDEX('NHẬP ĐƠN HÀNG'!$B$6:$B$505,$L136)="","",INDEX('NHẬP ĐƠN HÀNG'!$B$6:$B$505,$L136)))</f>
        <v/>
      </c>
      <c r="C136" s="16" t="str">
        <f aca="false">IF($L136="","",IF(INDEX('NHẬP ĐƠN HÀNG'!$C$6:$C$505,$L136)="","",INDEX('NHẬP ĐƠN HÀNG'!$C$6:$C$505,$L136)))</f>
        <v/>
      </c>
      <c r="D136" s="16" t="str">
        <f aca="false">IF($L136="","",IF(INDEX('NHẬP ĐƠN HÀNG'!$D$6:$D$505,$L136)="","",INDEX('NHẬP ĐƠN HÀNG'!$D$6:$D$505,$L136)))</f>
        <v/>
      </c>
      <c r="E136" s="16" t="str">
        <f aca="false">IF($L136="","",IF(INDEX('NHẬP ĐƠN HÀNG'!$H$6:$H$505,$L136)="","",INDEX('NHẬP ĐƠN HÀNG'!$H$6:$H$505,$L136)))</f>
        <v/>
      </c>
      <c r="F136" s="10" t="str">
        <f aca="false">IF($L136="","",N(INDEX('NHẬP ĐƠN HÀNG'!$I$6:$I$505,$L136)))</f>
        <v/>
      </c>
      <c r="G136" s="10" t="str">
        <f aca="false">IF($L136="","",N(INDEX('NHẬP ĐƠN HÀNG'!$P$6:$P$505,$L136)))</f>
        <v/>
      </c>
      <c r="H136" s="10" t="str">
        <f aca="false">IF($L136="","",N(INDEX('NHẬP ĐƠN HÀNG'!$Q$6:$Q$505,$L136)))</f>
        <v/>
      </c>
      <c r="I136" s="10" t="str">
        <f aca="false">IF($L136="","",N(INDEX('NHẬP ĐƠN HÀNG'!$R$6:$R$505,$L136)))</f>
        <v/>
      </c>
      <c r="J136" s="10" t="str">
        <f aca="true">IF(OR($L136="",$B136=""),"",MAX(0,TODAY()-$B136))</f>
        <v/>
      </c>
      <c r="K136" s="16" t="str">
        <f aca="false">IF($L136="","",IF(INDEX('NHẬP ĐƠN HÀNG'!$W$6:$W$505,$L136)="","",INDEX('NHẬP ĐƠN HÀNG'!$W$6:$W$505,$L136)))</f>
        <v/>
      </c>
      <c r="L136" s="0" t="str">
        <f aca="false">IFERROR(MATCH(131,'NHẬP ĐƠN HÀNG'!$Y$6:$Y$505,0),"")</f>
        <v/>
      </c>
    </row>
    <row r="137" customFormat="false" ht="15" hidden="false" customHeight="false" outlineLevel="0" collapsed="false">
      <c r="A137" s="16" t="str">
        <f aca="false">IF($L137="","",132)</f>
        <v/>
      </c>
      <c r="B137" s="34" t="str">
        <f aca="false">IF($L137="","",IF(INDEX('NHẬP ĐƠN HÀNG'!$B$6:$B$505,$L137)="","",INDEX('NHẬP ĐƠN HÀNG'!$B$6:$B$505,$L137)))</f>
        <v/>
      </c>
      <c r="C137" s="16" t="str">
        <f aca="false">IF($L137="","",IF(INDEX('NHẬP ĐƠN HÀNG'!$C$6:$C$505,$L137)="","",INDEX('NHẬP ĐƠN HÀNG'!$C$6:$C$505,$L137)))</f>
        <v/>
      </c>
      <c r="D137" s="16" t="str">
        <f aca="false">IF($L137="","",IF(INDEX('NHẬP ĐƠN HÀNG'!$D$6:$D$505,$L137)="","",INDEX('NHẬP ĐƠN HÀNG'!$D$6:$D$505,$L137)))</f>
        <v/>
      </c>
      <c r="E137" s="16" t="str">
        <f aca="false">IF($L137="","",IF(INDEX('NHẬP ĐƠN HÀNG'!$H$6:$H$505,$L137)="","",INDEX('NHẬP ĐƠN HÀNG'!$H$6:$H$505,$L137)))</f>
        <v/>
      </c>
      <c r="F137" s="10" t="str">
        <f aca="false">IF($L137="","",N(INDEX('NHẬP ĐƠN HÀNG'!$I$6:$I$505,$L137)))</f>
        <v/>
      </c>
      <c r="G137" s="10" t="str">
        <f aca="false">IF($L137="","",N(INDEX('NHẬP ĐƠN HÀNG'!$P$6:$P$505,$L137)))</f>
        <v/>
      </c>
      <c r="H137" s="10" t="str">
        <f aca="false">IF($L137="","",N(INDEX('NHẬP ĐƠN HÀNG'!$Q$6:$Q$505,$L137)))</f>
        <v/>
      </c>
      <c r="I137" s="10" t="str">
        <f aca="false">IF($L137="","",N(INDEX('NHẬP ĐƠN HÀNG'!$R$6:$R$505,$L137)))</f>
        <v/>
      </c>
      <c r="J137" s="10" t="str">
        <f aca="true">IF(OR($L137="",$B137=""),"",MAX(0,TODAY()-$B137))</f>
        <v/>
      </c>
      <c r="K137" s="16" t="str">
        <f aca="false">IF($L137="","",IF(INDEX('NHẬP ĐƠN HÀNG'!$W$6:$W$505,$L137)="","",INDEX('NHẬP ĐƠN HÀNG'!$W$6:$W$505,$L137)))</f>
        <v/>
      </c>
      <c r="L137" s="0" t="str">
        <f aca="false">IFERROR(MATCH(132,'NHẬP ĐƠN HÀNG'!$Y$6:$Y$505,0),"")</f>
        <v/>
      </c>
    </row>
    <row r="138" customFormat="false" ht="15" hidden="false" customHeight="false" outlineLevel="0" collapsed="false">
      <c r="A138" s="16" t="str">
        <f aca="false">IF($L138="","",133)</f>
        <v/>
      </c>
      <c r="B138" s="34" t="str">
        <f aca="false">IF($L138="","",IF(INDEX('NHẬP ĐƠN HÀNG'!$B$6:$B$505,$L138)="","",INDEX('NHẬP ĐƠN HÀNG'!$B$6:$B$505,$L138)))</f>
        <v/>
      </c>
      <c r="C138" s="16" t="str">
        <f aca="false">IF($L138="","",IF(INDEX('NHẬP ĐƠN HÀNG'!$C$6:$C$505,$L138)="","",INDEX('NHẬP ĐƠN HÀNG'!$C$6:$C$505,$L138)))</f>
        <v/>
      </c>
      <c r="D138" s="16" t="str">
        <f aca="false">IF($L138="","",IF(INDEX('NHẬP ĐƠN HÀNG'!$D$6:$D$505,$L138)="","",INDEX('NHẬP ĐƠN HÀNG'!$D$6:$D$505,$L138)))</f>
        <v/>
      </c>
      <c r="E138" s="16" t="str">
        <f aca="false">IF($L138="","",IF(INDEX('NHẬP ĐƠN HÀNG'!$H$6:$H$505,$L138)="","",INDEX('NHẬP ĐƠN HÀNG'!$H$6:$H$505,$L138)))</f>
        <v/>
      </c>
      <c r="F138" s="10" t="str">
        <f aca="false">IF($L138="","",N(INDEX('NHẬP ĐƠN HÀNG'!$I$6:$I$505,$L138)))</f>
        <v/>
      </c>
      <c r="G138" s="10" t="str">
        <f aca="false">IF($L138="","",N(INDEX('NHẬP ĐƠN HÀNG'!$P$6:$P$505,$L138)))</f>
        <v/>
      </c>
      <c r="H138" s="10" t="str">
        <f aca="false">IF($L138="","",N(INDEX('NHẬP ĐƠN HÀNG'!$Q$6:$Q$505,$L138)))</f>
        <v/>
      </c>
      <c r="I138" s="10" t="str">
        <f aca="false">IF($L138="","",N(INDEX('NHẬP ĐƠN HÀNG'!$R$6:$R$505,$L138)))</f>
        <v/>
      </c>
      <c r="J138" s="10" t="str">
        <f aca="true">IF(OR($L138="",$B138=""),"",MAX(0,TODAY()-$B138))</f>
        <v/>
      </c>
      <c r="K138" s="16" t="str">
        <f aca="false">IF($L138="","",IF(INDEX('NHẬP ĐƠN HÀNG'!$W$6:$W$505,$L138)="","",INDEX('NHẬP ĐƠN HÀNG'!$W$6:$W$505,$L138)))</f>
        <v/>
      </c>
      <c r="L138" s="0" t="str">
        <f aca="false">IFERROR(MATCH(133,'NHẬP ĐƠN HÀNG'!$Y$6:$Y$505,0),"")</f>
        <v/>
      </c>
    </row>
    <row r="139" customFormat="false" ht="15" hidden="false" customHeight="false" outlineLevel="0" collapsed="false">
      <c r="A139" s="16" t="str">
        <f aca="false">IF($L139="","",134)</f>
        <v/>
      </c>
      <c r="B139" s="34" t="str">
        <f aca="false">IF($L139="","",IF(INDEX('NHẬP ĐƠN HÀNG'!$B$6:$B$505,$L139)="","",INDEX('NHẬP ĐƠN HÀNG'!$B$6:$B$505,$L139)))</f>
        <v/>
      </c>
      <c r="C139" s="16" t="str">
        <f aca="false">IF($L139="","",IF(INDEX('NHẬP ĐƠN HÀNG'!$C$6:$C$505,$L139)="","",INDEX('NHẬP ĐƠN HÀNG'!$C$6:$C$505,$L139)))</f>
        <v/>
      </c>
      <c r="D139" s="16" t="str">
        <f aca="false">IF($L139="","",IF(INDEX('NHẬP ĐƠN HÀNG'!$D$6:$D$505,$L139)="","",INDEX('NHẬP ĐƠN HÀNG'!$D$6:$D$505,$L139)))</f>
        <v/>
      </c>
      <c r="E139" s="16" t="str">
        <f aca="false">IF($L139="","",IF(INDEX('NHẬP ĐƠN HÀNG'!$H$6:$H$505,$L139)="","",INDEX('NHẬP ĐƠN HÀNG'!$H$6:$H$505,$L139)))</f>
        <v/>
      </c>
      <c r="F139" s="10" t="str">
        <f aca="false">IF($L139="","",N(INDEX('NHẬP ĐƠN HÀNG'!$I$6:$I$505,$L139)))</f>
        <v/>
      </c>
      <c r="G139" s="10" t="str">
        <f aca="false">IF($L139="","",N(INDEX('NHẬP ĐƠN HÀNG'!$P$6:$P$505,$L139)))</f>
        <v/>
      </c>
      <c r="H139" s="10" t="str">
        <f aca="false">IF($L139="","",N(INDEX('NHẬP ĐƠN HÀNG'!$Q$6:$Q$505,$L139)))</f>
        <v/>
      </c>
      <c r="I139" s="10" t="str">
        <f aca="false">IF($L139="","",N(INDEX('NHẬP ĐƠN HÀNG'!$R$6:$R$505,$L139)))</f>
        <v/>
      </c>
      <c r="J139" s="10" t="str">
        <f aca="true">IF(OR($L139="",$B139=""),"",MAX(0,TODAY()-$B139))</f>
        <v/>
      </c>
      <c r="K139" s="16" t="str">
        <f aca="false">IF($L139="","",IF(INDEX('NHẬP ĐƠN HÀNG'!$W$6:$W$505,$L139)="","",INDEX('NHẬP ĐƠN HÀNG'!$W$6:$W$505,$L139)))</f>
        <v/>
      </c>
      <c r="L139" s="0" t="str">
        <f aca="false">IFERROR(MATCH(134,'NHẬP ĐƠN HÀNG'!$Y$6:$Y$505,0),"")</f>
        <v/>
      </c>
    </row>
    <row r="140" customFormat="false" ht="15" hidden="false" customHeight="false" outlineLevel="0" collapsed="false">
      <c r="A140" s="16" t="str">
        <f aca="false">IF($L140="","",135)</f>
        <v/>
      </c>
      <c r="B140" s="34" t="str">
        <f aca="false">IF($L140="","",IF(INDEX('NHẬP ĐƠN HÀNG'!$B$6:$B$505,$L140)="","",INDEX('NHẬP ĐƠN HÀNG'!$B$6:$B$505,$L140)))</f>
        <v/>
      </c>
      <c r="C140" s="16" t="str">
        <f aca="false">IF($L140="","",IF(INDEX('NHẬP ĐƠN HÀNG'!$C$6:$C$505,$L140)="","",INDEX('NHẬP ĐƠN HÀNG'!$C$6:$C$505,$L140)))</f>
        <v/>
      </c>
      <c r="D140" s="16" t="str">
        <f aca="false">IF($L140="","",IF(INDEX('NHẬP ĐƠN HÀNG'!$D$6:$D$505,$L140)="","",INDEX('NHẬP ĐƠN HÀNG'!$D$6:$D$505,$L140)))</f>
        <v/>
      </c>
      <c r="E140" s="16" t="str">
        <f aca="false">IF($L140="","",IF(INDEX('NHẬP ĐƠN HÀNG'!$H$6:$H$505,$L140)="","",INDEX('NHẬP ĐƠN HÀNG'!$H$6:$H$505,$L140)))</f>
        <v/>
      </c>
      <c r="F140" s="10" t="str">
        <f aca="false">IF($L140="","",N(INDEX('NHẬP ĐƠN HÀNG'!$I$6:$I$505,$L140)))</f>
        <v/>
      </c>
      <c r="G140" s="10" t="str">
        <f aca="false">IF($L140="","",N(INDEX('NHẬP ĐƠN HÀNG'!$P$6:$P$505,$L140)))</f>
        <v/>
      </c>
      <c r="H140" s="10" t="str">
        <f aca="false">IF($L140="","",N(INDEX('NHẬP ĐƠN HÀNG'!$Q$6:$Q$505,$L140)))</f>
        <v/>
      </c>
      <c r="I140" s="10" t="str">
        <f aca="false">IF($L140="","",N(INDEX('NHẬP ĐƠN HÀNG'!$R$6:$R$505,$L140)))</f>
        <v/>
      </c>
      <c r="J140" s="10" t="str">
        <f aca="true">IF(OR($L140="",$B140=""),"",MAX(0,TODAY()-$B140))</f>
        <v/>
      </c>
      <c r="K140" s="16" t="str">
        <f aca="false">IF($L140="","",IF(INDEX('NHẬP ĐƠN HÀNG'!$W$6:$W$505,$L140)="","",INDEX('NHẬP ĐƠN HÀNG'!$W$6:$W$505,$L140)))</f>
        <v/>
      </c>
      <c r="L140" s="0" t="str">
        <f aca="false">IFERROR(MATCH(135,'NHẬP ĐƠN HÀNG'!$Y$6:$Y$505,0),"")</f>
        <v/>
      </c>
    </row>
    <row r="141" customFormat="false" ht="15" hidden="false" customHeight="false" outlineLevel="0" collapsed="false">
      <c r="A141" s="16" t="str">
        <f aca="false">IF($L141="","",136)</f>
        <v/>
      </c>
      <c r="B141" s="34" t="str">
        <f aca="false">IF($L141="","",IF(INDEX('NHẬP ĐƠN HÀNG'!$B$6:$B$505,$L141)="","",INDEX('NHẬP ĐƠN HÀNG'!$B$6:$B$505,$L141)))</f>
        <v/>
      </c>
      <c r="C141" s="16" t="str">
        <f aca="false">IF($L141="","",IF(INDEX('NHẬP ĐƠN HÀNG'!$C$6:$C$505,$L141)="","",INDEX('NHẬP ĐƠN HÀNG'!$C$6:$C$505,$L141)))</f>
        <v/>
      </c>
      <c r="D141" s="16" t="str">
        <f aca="false">IF($L141="","",IF(INDEX('NHẬP ĐƠN HÀNG'!$D$6:$D$505,$L141)="","",INDEX('NHẬP ĐƠN HÀNG'!$D$6:$D$505,$L141)))</f>
        <v/>
      </c>
      <c r="E141" s="16" t="str">
        <f aca="false">IF($L141="","",IF(INDEX('NHẬP ĐƠN HÀNG'!$H$6:$H$505,$L141)="","",INDEX('NHẬP ĐƠN HÀNG'!$H$6:$H$505,$L141)))</f>
        <v/>
      </c>
      <c r="F141" s="10" t="str">
        <f aca="false">IF($L141="","",N(INDEX('NHẬP ĐƠN HÀNG'!$I$6:$I$505,$L141)))</f>
        <v/>
      </c>
      <c r="G141" s="10" t="str">
        <f aca="false">IF($L141="","",N(INDEX('NHẬP ĐƠN HÀNG'!$P$6:$P$505,$L141)))</f>
        <v/>
      </c>
      <c r="H141" s="10" t="str">
        <f aca="false">IF($L141="","",N(INDEX('NHẬP ĐƠN HÀNG'!$Q$6:$Q$505,$L141)))</f>
        <v/>
      </c>
      <c r="I141" s="10" t="str">
        <f aca="false">IF($L141="","",N(INDEX('NHẬP ĐƠN HÀNG'!$R$6:$R$505,$L141)))</f>
        <v/>
      </c>
      <c r="J141" s="10" t="str">
        <f aca="true">IF(OR($L141="",$B141=""),"",MAX(0,TODAY()-$B141))</f>
        <v/>
      </c>
      <c r="K141" s="16" t="str">
        <f aca="false">IF($L141="","",IF(INDEX('NHẬP ĐƠN HÀNG'!$W$6:$W$505,$L141)="","",INDEX('NHẬP ĐƠN HÀNG'!$W$6:$W$505,$L141)))</f>
        <v/>
      </c>
      <c r="L141" s="0" t="str">
        <f aca="false">IFERROR(MATCH(136,'NHẬP ĐƠN HÀNG'!$Y$6:$Y$505,0),"")</f>
        <v/>
      </c>
    </row>
    <row r="142" customFormat="false" ht="15" hidden="false" customHeight="false" outlineLevel="0" collapsed="false">
      <c r="A142" s="16" t="str">
        <f aca="false">IF($L142="","",137)</f>
        <v/>
      </c>
      <c r="B142" s="34" t="str">
        <f aca="false">IF($L142="","",IF(INDEX('NHẬP ĐƠN HÀNG'!$B$6:$B$505,$L142)="","",INDEX('NHẬP ĐƠN HÀNG'!$B$6:$B$505,$L142)))</f>
        <v/>
      </c>
      <c r="C142" s="16" t="str">
        <f aca="false">IF($L142="","",IF(INDEX('NHẬP ĐƠN HÀNG'!$C$6:$C$505,$L142)="","",INDEX('NHẬP ĐƠN HÀNG'!$C$6:$C$505,$L142)))</f>
        <v/>
      </c>
      <c r="D142" s="16" t="str">
        <f aca="false">IF($L142="","",IF(INDEX('NHẬP ĐƠN HÀNG'!$D$6:$D$505,$L142)="","",INDEX('NHẬP ĐƠN HÀNG'!$D$6:$D$505,$L142)))</f>
        <v/>
      </c>
      <c r="E142" s="16" t="str">
        <f aca="false">IF($L142="","",IF(INDEX('NHẬP ĐƠN HÀNG'!$H$6:$H$505,$L142)="","",INDEX('NHẬP ĐƠN HÀNG'!$H$6:$H$505,$L142)))</f>
        <v/>
      </c>
      <c r="F142" s="10" t="str">
        <f aca="false">IF($L142="","",N(INDEX('NHẬP ĐƠN HÀNG'!$I$6:$I$505,$L142)))</f>
        <v/>
      </c>
      <c r="G142" s="10" t="str">
        <f aca="false">IF($L142="","",N(INDEX('NHẬP ĐƠN HÀNG'!$P$6:$P$505,$L142)))</f>
        <v/>
      </c>
      <c r="H142" s="10" t="str">
        <f aca="false">IF($L142="","",N(INDEX('NHẬP ĐƠN HÀNG'!$Q$6:$Q$505,$L142)))</f>
        <v/>
      </c>
      <c r="I142" s="10" t="str">
        <f aca="false">IF($L142="","",N(INDEX('NHẬP ĐƠN HÀNG'!$R$6:$R$505,$L142)))</f>
        <v/>
      </c>
      <c r="J142" s="10" t="str">
        <f aca="true">IF(OR($L142="",$B142=""),"",MAX(0,TODAY()-$B142))</f>
        <v/>
      </c>
      <c r="K142" s="16" t="str">
        <f aca="false">IF($L142="","",IF(INDEX('NHẬP ĐƠN HÀNG'!$W$6:$W$505,$L142)="","",INDEX('NHẬP ĐƠN HÀNG'!$W$6:$W$505,$L142)))</f>
        <v/>
      </c>
      <c r="L142" s="0" t="str">
        <f aca="false">IFERROR(MATCH(137,'NHẬP ĐƠN HÀNG'!$Y$6:$Y$505,0),"")</f>
        <v/>
      </c>
    </row>
    <row r="143" customFormat="false" ht="15" hidden="false" customHeight="false" outlineLevel="0" collapsed="false">
      <c r="A143" s="16" t="str">
        <f aca="false">IF($L143="","",138)</f>
        <v/>
      </c>
      <c r="B143" s="34" t="str">
        <f aca="false">IF($L143="","",IF(INDEX('NHẬP ĐƠN HÀNG'!$B$6:$B$505,$L143)="","",INDEX('NHẬP ĐƠN HÀNG'!$B$6:$B$505,$L143)))</f>
        <v/>
      </c>
      <c r="C143" s="16" t="str">
        <f aca="false">IF($L143="","",IF(INDEX('NHẬP ĐƠN HÀNG'!$C$6:$C$505,$L143)="","",INDEX('NHẬP ĐƠN HÀNG'!$C$6:$C$505,$L143)))</f>
        <v/>
      </c>
      <c r="D143" s="16" t="str">
        <f aca="false">IF($L143="","",IF(INDEX('NHẬP ĐƠN HÀNG'!$D$6:$D$505,$L143)="","",INDEX('NHẬP ĐƠN HÀNG'!$D$6:$D$505,$L143)))</f>
        <v/>
      </c>
      <c r="E143" s="16" t="str">
        <f aca="false">IF($L143="","",IF(INDEX('NHẬP ĐƠN HÀNG'!$H$6:$H$505,$L143)="","",INDEX('NHẬP ĐƠN HÀNG'!$H$6:$H$505,$L143)))</f>
        <v/>
      </c>
      <c r="F143" s="10" t="str">
        <f aca="false">IF($L143="","",N(INDEX('NHẬP ĐƠN HÀNG'!$I$6:$I$505,$L143)))</f>
        <v/>
      </c>
      <c r="G143" s="10" t="str">
        <f aca="false">IF($L143="","",N(INDEX('NHẬP ĐƠN HÀNG'!$P$6:$P$505,$L143)))</f>
        <v/>
      </c>
      <c r="H143" s="10" t="str">
        <f aca="false">IF($L143="","",N(INDEX('NHẬP ĐƠN HÀNG'!$Q$6:$Q$505,$L143)))</f>
        <v/>
      </c>
      <c r="I143" s="10" t="str">
        <f aca="false">IF($L143="","",N(INDEX('NHẬP ĐƠN HÀNG'!$R$6:$R$505,$L143)))</f>
        <v/>
      </c>
      <c r="J143" s="10" t="str">
        <f aca="true">IF(OR($L143="",$B143=""),"",MAX(0,TODAY()-$B143))</f>
        <v/>
      </c>
      <c r="K143" s="16" t="str">
        <f aca="false">IF($L143="","",IF(INDEX('NHẬP ĐƠN HÀNG'!$W$6:$W$505,$L143)="","",INDEX('NHẬP ĐƠN HÀNG'!$W$6:$W$505,$L143)))</f>
        <v/>
      </c>
      <c r="L143" s="0" t="str">
        <f aca="false">IFERROR(MATCH(138,'NHẬP ĐƠN HÀNG'!$Y$6:$Y$505,0),"")</f>
        <v/>
      </c>
    </row>
    <row r="144" customFormat="false" ht="15" hidden="false" customHeight="false" outlineLevel="0" collapsed="false">
      <c r="A144" s="16" t="str">
        <f aca="false">IF($L144="","",139)</f>
        <v/>
      </c>
      <c r="B144" s="34" t="str">
        <f aca="false">IF($L144="","",IF(INDEX('NHẬP ĐƠN HÀNG'!$B$6:$B$505,$L144)="","",INDEX('NHẬP ĐƠN HÀNG'!$B$6:$B$505,$L144)))</f>
        <v/>
      </c>
      <c r="C144" s="16" t="str">
        <f aca="false">IF($L144="","",IF(INDEX('NHẬP ĐƠN HÀNG'!$C$6:$C$505,$L144)="","",INDEX('NHẬP ĐƠN HÀNG'!$C$6:$C$505,$L144)))</f>
        <v/>
      </c>
      <c r="D144" s="16" t="str">
        <f aca="false">IF($L144="","",IF(INDEX('NHẬP ĐƠN HÀNG'!$D$6:$D$505,$L144)="","",INDEX('NHẬP ĐƠN HÀNG'!$D$6:$D$505,$L144)))</f>
        <v/>
      </c>
      <c r="E144" s="16" t="str">
        <f aca="false">IF($L144="","",IF(INDEX('NHẬP ĐƠN HÀNG'!$H$6:$H$505,$L144)="","",INDEX('NHẬP ĐƠN HÀNG'!$H$6:$H$505,$L144)))</f>
        <v/>
      </c>
      <c r="F144" s="10" t="str">
        <f aca="false">IF($L144="","",N(INDEX('NHẬP ĐƠN HÀNG'!$I$6:$I$505,$L144)))</f>
        <v/>
      </c>
      <c r="G144" s="10" t="str">
        <f aca="false">IF($L144="","",N(INDEX('NHẬP ĐƠN HÀNG'!$P$6:$P$505,$L144)))</f>
        <v/>
      </c>
      <c r="H144" s="10" t="str">
        <f aca="false">IF($L144="","",N(INDEX('NHẬP ĐƠN HÀNG'!$Q$6:$Q$505,$L144)))</f>
        <v/>
      </c>
      <c r="I144" s="10" t="str">
        <f aca="false">IF($L144="","",N(INDEX('NHẬP ĐƠN HÀNG'!$R$6:$R$505,$L144)))</f>
        <v/>
      </c>
      <c r="J144" s="10" t="str">
        <f aca="true">IF(OR($L144="",$B144=""),"",MAX(0,TODAY()-$B144))</f>
        <v/>
      </c>
      <c r="K144" s="16" t="str">
        <f aca="false">IF($L144="","",IF(INDEX('NHẬP ĐƠN HÀNG'!$W$6:$W$505,$L144)="","",INDEX('NHẬP ĐƠN HÀNG'!$W$6:$W$505,$L144)))</f>
        <v/>
      </c>
      <c r="L144" s="0" t="str">
        <f aca="false">IFERROR(MATCH(139,'NHẬP ĐƠN HÀNG'!$Y$6:$Y$505,0),"")</f>
        <v/>
      </c>
    </row>
    <row r="145" customFormat="false" ht="15" hidden="false" customHeight="false" outlineLevel="0" collapsed="false">
      <c r="A145" s="16" t="str">
        <f aca="false">IF($L145="","",140)</f>
        <v/>
      </c>
      <c r="B145" s="34" t="str">
        <f aca="false">IF($L145="","",IF(INDEX('NHẬP ĐƠN HÀNG'!$B$6:$B$505,$L145)="","",INDEX('NHẬP ĐƠN HÀNG'!$B$6:$B$505,$L145)))</f>
        <v/>
      </c>
      <c r="C145" s="16" t="str">
        <f aca="false">IF($L145="","",IF(INDEX('NHẬP ĐƠN HÀNG'!$C$6:$C$505,$L145)="","",INDEX('NHẬP ĐƠN HÀNG'!$C$6:$C$505,$L145)))</f>
        <v/>
      </c>
      <c r="D145" s="16" t="str">
        <f aca="false">IF($L145="","",IF(INDEX('NHẬP ĐƠN HÀNG'!$D$6:$D$505,$L145)="","",INDEX('NHẬP ĐƠN HÀNG'!$D$6:$D$505,$L145)))</f>
        <v/>
      </c>
      <c r="E145" s="16" t="str">
        <f aca="false">IF($L145="","",IF(INDEX('NHẬP ĐƠN HÀNG'!$H$6:$H$505,$L145)="","",INDEX('NHẬP ĐƠN HÀNG'!$H$6:$H$505,$L145)))</f>
        <v/>
      </c>
      <c r="F145" s="10" t="str">
        <f aca="false">IF($L145="","",N(INDEX('NHẬP ĐƠN HÀNG'!$I$6:$I$505,$L145)))</f>
        <v/>
      </c>
      <c r="G145" s="10" t="str">
        <f aca="false">IF($L145="","",N(INDEX('NHẬP ĐƠN HÀNG'!$P$6:$P$505,$L145)))</f>
        <v/>
      </c>
      <c r="H145" s="10" t="str">
        <f aca="false">IF($L145="","",N(INDEX('NHẬP ĐƠN HÀNG'!$Q$6:$Q$505,$L145)))</f>
        <v/>
      </c>
      <c r="I145" s="10" t="str">
        <f aca="false">IF($L145="","",N(INDEX('NHẬP ĐƠN HÀNG'!$R$6:$R$505,$L145)))</f>
        <v/>
      </c>
      <c r="J145" s="10" t="str">
        <f aca="true">IF(OR($L145="",$B145=""),"",MAX(0,TODAY()-$B145))</f>
        <v/>
      </c>
      <c r="K145" s="16" t="str">
        <f aca="false">IF($L145="","",IF(INDEX('NHẬP ĐƠN HÀNG'!$W$6:$W$505,$L145)="","",INDEX('NHẬP ĐƠN HÀNG'!$W$6:$W$505,$L145)))</f>
        <v/>
      </c>
      <c r="L145" s="0" t="str">
        <f aca="false">IFERROR(MATCH(140,'NHẬP ĐƠN HÀNG'!$Y$6:$Y$505,0),"")</f>
        <v/>
      </c>
    </row>
    <row r="146" customFormat="false" ht="15" hidden="false" customHeight="false" outlineLevel="0" collapsed="false">
      <c r="A146" s="16" t="str">
        <f aca="false">IF($L146="","",141)</f>
        <v/>
      </c>
      <c r="B146" s="34" t="str">
        <f aca="false">IF($L146="","",IF(INDEX('NHẬP ĐƠN HÀNG'!$B$6:$B$505,$L146)="","",INDEX('NHẬP ĐƠN HÀNG'!$B$6:$B$505,$L146)))</f>
        <v/>
      </c>
      <c r="C146" s="16" t="str">
        <f aca="false">IF($L146="","",IF(INDEX('NHẬP ĐƠN HÀNG'!$C$6:$C$505,$L146)="","",INDEX('NHẬP ĐƠN HÀNG'!$C$6:$C$505,$L146)))</f>
        <v/>
      </c>
      <c r="D146" s="16" t="str">
        <f aca="false">IF($L146="","",IF(INDEX('NHẬP ĐƠN HÀNG'!$D$6:$D$505,$L146)="","",INDEX('NHẬP ĐƠN HÀNG'!$D$6:$D$505,$L146)))</f>
        <v/>
      </c>
      <c r="E146" s="16" t="str">
        <f aca="false">IF($L146="","",IF(INDEX('NHẬP ĐƠN HÀNG'!$H$6:$H$505,$L146)="","",INDEX('NHẬP ĐƠN HÀNG'!$H$6:$H$505,$L146)))</f>
        <v/>
      </c>
      <c r="F146" s="10" t="str">
        <f aca="false">IF($L146="","",N(INDEX('NHẬP ĐƠN HÀNG'!$I$6:$I$505,$L146)))</f>
        <v/>
      </c>
      <c r="G146" s="10" t="str">
        <f aca="false">IF($L146="","",N(INDEX('NHẬP ĐƠN HÀNG'!$P$6:$P$505,$L146)))</f>
        <v/>
      </c>
      <c r="H146" s="10" t="str">
        <f aca="false">IF($L146="","",N(INDEX('NHẬP ĐƠN HÀNG'!$Q$6:$Q$505,$L146)))</f>
        <v/>
      </c>
      <c r="I146" s="10" t="str">
        <f aca="false">IF($L146="","",N(INDEX('NHẬP ĐƠN HÀNG'!$R$6:$R$505,$L146)))</f>
        <v/>
      </c>
      <c r="J146" s="10" t="str">
        <f aca="true">IF(OR($L146="",$B146=""),"",MAX(0,TODAY()-$B146))</f>
        <v/>
      </c>
      <c r="K146" s="16" t="str">
        <f aca="false">IF($L146="","",IF(INDEX('NHẬP ĐƠN HÀNG'!$W$6:$W$505,$L146)="","",INDEX('NHẬP ĐƠN HÀNG'!$W$6:$W$505,$L146)))</f>
        <v/>
      </c>
      <c r="L146" s="0" t="str">
        <f aca="false">IFERROR(MATCH(141,'NHẬP ĐƠN HÀNG'!$Y$6:$Y$505,0),"")</f>
        <v/>
      </c>
    </row>
    <row r="147" customFormat="false" ht="15" hidden="false" customHeight="false" outlineLevel="0" collapsed="false">
      <c r="A147" s="16" t="str">
        <f aca="false">IF($L147="","",142)</f>
        <v/>
      </c>
      <c r="B147" s="34" t="str">
        <f aca="false">IF($L147="","",IF(INDEX('NHẬP ĐƠN HÀNG'!$B$6:$B$505,$L147)="","",INDEX('NHẬP ĐƠN HÀNG'!$B$6:$B$505,$L147)))</f>
        <v/>
      </c>
      <c r="C147" s="16" t="str">
        <f aca="false">IF($L147="","",IF(INDEX('NHẬP ĐƠN HÀNG'!$C$6:$C$505,$L147)="","",INDEX('NHẬP ĐƠN HÀNG'!$C$6:$C$505,$L147)))</f>
        <v/>
      </c>
      <c r="D147" s="16" t="str">
        <f aca="false">IF($L147="","",IF(INDEX('NHẬP ĐƠN HÀNG'!$D$6:$D$505,$L147)="","",INDEX('NHẬP ĐƠN HÀNG'!$D$6:$D$505,$L147)))</f>
        <v/>
      </c>
      <c r="E147" s="16" t="str">
        <f aca="false">IF($L147="","",IF(INDEX('NHẬP ĐƠN HÀNG'!$H$6:$H$505,$L147)="","",INDEX('NHẬP ĐƠN HÀNG'!$H$6:$H$505,$L147)))</f>
        <v/>
      </c>
      <c r="F147" s="10" t="str">
        <f aca="false">IF($L147="","",N(INDEX('NHẬP ĐƠN HÀNG'!$I$6:$I$505,$L147)))</f>
        <v/>
      </c>
      <c r="G147" s="10" t="str">
        <f aca="false">IF($L147="","",N(INDEX('NHẬP ĐƠN HÀNG'!$P$6:$P$505,$L147)))</f>
        <v/>
      </c>
      <c r="H147" s="10" t="str">
        <f aca="false">IF($L147="","",N(INDEX('NHẬP ĐƠN HÀNG'!$Q$6:$Q$505,$L147)))</f>
        <v/>
      </c>
      <c r="I147" s="10" t="str">
        <f aca="false">IF($L147="","",N(INDEX('NHẬP ĐƠN HÀNG'!$R$6:$R$505,$L147)))</f>
        <v/>
      </c>
      <c r="J147" s="10" t="str">
        <f aca="true">IF(OR($L147="",$B147=""),"",MAX(0,TODAY()-$B147))</f>
        <v/>
      </c>
      <c r="K147" s="16" t="str">
        <f aca="false">IF($L147="","",IF(INDEX('NHẬP ĐƠN HÀNG'!$W$6:$W$505,$L147)="","",INDEX('NHẬP ĐƠN HÀNG'!$W$6:$W$505,$L147)))</f>
        <v/>
      </c>
      <c r="L147" s="0" t="str">
        <f aca="false">IFERROR(MATCH(142,'NHẬP ĐƠN HÀNG'!$Y$6:$Y$505,0),"")</f>
        <v/>
      </c>
    </row>
    <row r="148" customFormat="false" ht="15" hidden="false" customHeight="false" outlineLevel="0" collapsed="false">
      <c r="A148" s="16" t="str">
        <f aca="false">IF($L148="","",143)</f>
        <v/>
      </c>
      <c r="B148" s="34" t="str">
        <f aca="false">IF($L148="","",IF(INDEX('NHẬP ĐƠN HÀNG'!$B$6:$B$505,$L148)="","",INDEX('NHẬP ĐƠN HÀNG'!$B$6:$B$505,$L148)))</f>
        <v/>
      </c>
      <c r="C148" s="16" t="str">
        <f aca="false">IF($L148="","",IF(INDEX('NHẬP ĐƠN HÀNG'!$C$6:$C$505,$L148)="","",INDEX('NHẬP ĐƠN HÀNG'!$C$6:$C$505,$L148)))</f>
        <v/>
      </c>
      <c r="D148" s="16" t="str">
        <f aca="false">IF($L148="","",IF(INDEX('NHẬP ĐƠN HÀNG'!$D$6:$D$505,$L148)="","",INDEX('NHẬP ĐƠN HÀNG'!$D$6:$D$505,$L148)))</f>
        <v/>
      </c>
      <c r="E148" s="16" t="str">
        <f aca="false">IF($L148="","",IF(INDEX('NHẬP ĐƠN HÀNG'!$H$6:$H$505,$L148)="","",INDEX('NHẬP ĐƠN HÀNG'!$H$6:$H$505,$L148)))</f>
        <v/>
      </c>
      <c r="F148" s="10" t="str">
        <f aca="false">IF($L148="","",N(INDEX('NHẬP ĐƠN HÀNG'!$I$6:$I$505,$L148)))</f>
        <v/>
      </c>
      <c r="G148" s="10" t="str">
        <f aca="false">IF($L148="","",N(INDEX('NHẬP ĐƠN HÀNG'!$P$6:$P$505,$L148)))</f>
        <v/>
      </c>
      <c r="H148" s="10" t="str">
        <f aca="false">IF($L148="","",N(INDEX('NHẬP ĐƠN HÀNG'!$Q$6:$Q$505,$L148)))</f>
        <v/>
      </c>
      <c r="I148" s="10" t="str">
        <f aca="false">IF($L148="","",N(INDEX('NHẬP ĐƠN HÀNG'!$R$6:$R$505,$L148)))</f>
        <v/>
      </c>
      <c r="J148" s="10" t="str">
        <f aca="true">IF(OR($L148="",$B148=""),"",MAX(0,TODAY()-$B148))</f>
        <v/>
      </c>
      <c r="K148" s="16" t="str">
        <f aca="false">IF($L148="","",IF(INDEX('NHẬP ĐƠN HÀNG'!$W$6:$W$505,$L148)="","",INDEX('NHẬP ĐƠN HÀNG'!$W$6:$W$505,$L148)))</f>
        <v/>
      </c>
      <c r="L148" s="0" t="str">
        <f aca="false">IFERROR(MATCH(143,'NHẬP ĐƠN HÀNG'!$Y$6:$Y$505,0),"")</f>
        <v/>
      </c>
    </row>
    <row r="149" customFormat="false" ht="15" hidden="false" customHeight="false" outlineLevel="0" collapsed="false">
      <c r="A149" s="16" t="str">
        <f aca="false">IF($L149="","",144)</f>
        <v/>
      </c>
      <c r="B149" s="34" t="str">
        <f aca="false">IF($L149="","",IF(INDEX('NHẬP ĐƠN HÀNG'!$B$6:$B$505,$L149)="","",INDEX('NHẬP ĐƠN HÀNG'!$B$6:$B$505,$L149)))</f>
        <v/>
      </c>
      <c r="C149" s="16" t="str">
        <f aca="false">IF($L149="","",IF(INDEX('NHẬP ĐƠN HÀNG'!$C$6:$C$505,$L149)="","",INDEX('NHẬP ĐƠN HÀNG'!$C$6:$C$505,$L149)))</f>
        <v/>
      </c>
      <c r="D149" s="16" t="str">
        <f aca="false">IF($L149="","",IF(INDEX('NHẬP ĐƠN HÀNG'!$D$6:$D$505,$L149)="","",INDEX('NHẬP ĐƠN HÀNG'!$D$6:$D$505,$L149)))</f>
        <v/>
      </c>
      <c r="E149" s="16" t="str">
        <f aca="false">IF($L149="","",IF(INDEX('NHẬP ĐƠN HÀNG'!$H$6:$H$505,$L149)="","",INDEX('NHẬP ĐƠN HÀNG'!$H$6:$H$505,$L149)))</f>
        <v/>
      </c>
      <c r="F149" s="10" t="str">
        <f aca="false">IF($L149="","",N(INDEX('NHẬP ĐƠN HÀNG'!$I$6:$I$505,$L149)))</f>
        <v/>
      </c>
      <c r="G149" s="10" t="str">
        <f aca="false">IF($L149="","",N(INDEX('NHẬP ĐƠN HÀNG'!$P$6:$P$505,$L149)))</f>
        <v/>
      </c>
      <c r="H149" s="10" t="str">
        <f aca="false">IF($L149="","",N(INDEX('NHẬP ĐƠN HÀNG'!$Q$6:$Q$505,$L149)))</f>
        <v/>
      </c>
      <c r="I149" s="10" t="str">
        <f aca="false">IF($L149="","",N(INDEX('NHẬP ĐƠN HÀNG'!$R$6:$R$505,$L149)))</f>
        <v/>
      </c>
      <c r="J149" s="10" t="str">
        <f aca="true">IF(OR($L149="",$B149=""),"",MAX(0,TODAY()-$B149))</f>
        <v/>
      </c>
      <c r="K149" s="16" t="str">
        <f aca="false">IF($L149="","",IF(INDEX('NHẬP ĐƠN HÀNG'!$W$6:$W$505,$L149)="","",INDEX('NHẬP ĐƠN HÀNG'!$W$6:$W$505,$L149)))</f>
        <v/>
      </c>
      <c r="L149" s="0" t="str">
        <f aca="false">IFERROR(MATCH(144,'NHẬP ĐƠN HÀNG'!$Y$6:$Y$505,0),"")</f>
        <v/>
      </c>
    </row>
    <row r="150" customFormat="false" ht="15" hidden="false" customHeight="false" outlineLevel="0" collapsed="false">
      <c r="A150" s="16" t="str">
        <f aca="false">IF($L150="","",145)</f>
        <v/>
      </c>
      <c r="B150" s="34" t="str">
        <f aca="false">IF($L150="","",IF(INDEX('NHẬP ĐƠN HÀNG'!$B$6:$B$505,$L150)="","",INDEX('NHẬP ĐƠN HÀNG'!$B$6:$B$505,$L150)))</f>
        <v/>
      </c>
      <c r="C150" s="16" t="str">
        <f aca="false">IF($L150="","",IF(INDEX('NHẬP ĐƠN HÀNG'!$C$6:$C$505,$L150)="","",INDEX('NHẬP ĐƠN HÀNG'!$C$6:$C$505,$L150)))</f>
        <v/>
      </c>
      <c r="D150" s="16" t="str">
        <f aca="false">IF($L150="","",IF(INDEX('NHẬP ĐƠN HÀNG'!$D$6:$D$505,$L150)="","",INDEX('NHẬP ĐƠN HÀNG'!$D$6:$D$505,$L150)))</f>
        <v/>
      </c>
      <c r="E150" s="16" t="str">
        <f aca="false">IF($L150="","",IF(INDEX('NHẬP ĐƠN HÀNG'!$H$6:$H$505,$L150)="","",INDEX('NHẬP ĐƠN HÀNG'!$H$6:$H$505,$L150)))</f>
        <v/>
      </c>
      <c r="F150" s="10" t="str">
        <f aca="false">IF($L150="","",N(INDEX('NHẬP ĐƠN HÀNG'!$I$6:$I$505,$L150)))</f>
        <v/>
      </c>
      <c r="G150" s="10" t="str">
        <f aca="false">IF($L150="","",N(INDEX('NHẬP ĐƠN HÀNG'!$P$6:$P$505,$L150)))</f>
        <v/>
      </c>
      <c r="H150" s="10" t="str">
        <f aca="false">IF($L150="","",N(INDEX('NHẬP ĐƠN HÀNG'!$Q$6:$Q$505,$L150)))</f>
        <v/>
      </c>
      <c r="I150" s="10" t="str">
        <f aca="false">IF($L150="","",N(INDEX('NHẬP ĐƠN HÀNG'!$R$6:$R$505,$L150)))</f>
        <v/>
      </c>
      <c r="J150" s="10" t="str">
        <f aca="true">IF(OR($L150="",$B150=""),"",MAX(0,TODAY()-$B150))</f>
        <v/>
      </c>
      <c r="K150" s="16" t="str">
        <f aca="false">IF($L150="","",IF(INDEX('NHẬP ĐƠN HÀNG'!$W$6:$W$505,$L150)="","",INDEX('NHẬP ĐƠN HÀNG'!$W$6:$W$505,$L150)))</f>
        <v/>
      </c>
      <c r="L150" s="0" t="str">
        <f aca="false">IFERROR(MATCH(145,'NHẬP ĐƠN HÀNG'!$Y$6:$Y$505,0),"")</f>
        <v/>
      </c>
    </row>
    <row r="151" customFormat="false" ht="15" hidden="false" customHeight="false" outlineLevel="0" collapsed="false">
      <c r="A151" s="16" t="str">
        <f aca="false">IF($L151="","",146)</f>
        <v/>
      </c>
      <c r="B151" s="34" t="str">
        <f aca="false">IF($L151="","",IF(INDEX('NHẬP ĐƠN HÀNG'!$B$6:$B$505,$L151)="","",INDEX('NHẬP ĐƠN HÀNG'!$B$6:$B$505,$L151)))</f>
        <v/>
      </c>
      <c r="C151" s="16" t="str">
        <f aca="false">IF($L151="","",IF(INDEX('NHẬP ĐƠN HÀNG'!$C$6:$C$505,$L151)="","",INDEX('NHẬP ĐƠN HÀNG'!$C$6:$C$505,$L151)))</f>
        <v/>
      </c>
      <c r="D151" s="16" t="str">
        <f aca="false">IF($L151="","",IF(INDEX('NHẬP ĐƠN HÀNG'!$D$6:$D$505,$L151)="","",INDEX('NHẬP ĐƠN HÀNG'!$D$6:$D$505,$L151)))</f>
        <v/>
      </c>
      <c r="E151" s="16" t="str">
        <f aca="false">IF($L151="","",IF(INDEX('NHẬP ĐƠN HÀNG'!$H$6:$H$505,$L151)="","",INDEX('NHẬP ĐƠN HÀNG'!$H$6:$H$505,$L151)))</f>
        <v/>
      </c>
      <c r="F151" s="10" t="str">
        <f aca="false">IF($L151="","",N(INDEX('NHẬP ĐƠN HÀNG'!$I$6:$I$505,$L151)))</f>
        <v/>
      </c>
      <c r="G151" s="10" t="str">
        <f aca="false">IF($L151="","",N(INDEX('NHẬP ĐƠN HÀNG'!$P$6:$P$505,$L151)))</f>
        <v/>
      </c>
      <c r="H151" s="10" t="str">
        <f aca="false">IF($L151="","",N(INDEX('NHẬP ĐƠN HÀNG'!$Q$6:$Q$505,$L151)))</f>
        <v/>
      </c>
      <c r="I151" s="10" t="str">
        <f aca="false">IF($L151="","",N(INDEX('NHẬP ĐƠN HÀNG'!$R$6:$R$505,$L151)))</f>
        <v/>
      </c>
      <c r="J151" s="10" t="str">
        <f aca="true">IF(OR($L151="",$B151=""),"",MAX(0,TODAY()-$B151))</f>
        <v/>
      </c>
      <c r="K151" s="16" t="str">
        <f aca="false">IF($L151="","",IF(INDEX('NHẬP ĐƠN HÀNG'!$W$6:$W$505,$L151)="","",INDEX('NHẬP ĐƠN HÀNG'!$W$6:$W$505,$L151)))</f>
        <v/>
      </c>
      <c r="L151" s="0" t="str">
        <f aca="false">IFERROR(MATCH(146,'NHẬP ĐƠN HÀNG'!$Y$6:$Y$505,0),"")</f>
        <v/>
      </c>
    </row>
    <row r="152" customFormat="false" ht="15" hidden="false" customHeight="false" outlineLevel="0" collapsed="false">
      <c r="A152" s="16" t="str">
        <f aca="false">IF($L152="","",147)</f>
        <v/>
      </c>
      <c r="B152" s="34" t="str">
        <f aca="false">IF($L152="","",IF(INDEX('NHẬP ĐƠN HÀNG'!$B$6:$B$505,$L152)="","",INDEX('NHẬP ĐƠN HÀNG'!$B$6:$B$505,$L152)))</f>
        <v/>
      </c>
      <c r="C152" s="16" t="str">
        <f aca="false">IF($L152="","",IF(INDEX('NHẬP ĐƠN HÀNG'!$C$6:$C$505,$L152)="","",INDEX('NHẬP ĐƠN HÀNG'!$C$6:$C$505,$L152)))</f>
        <v/>
      </c>
      <c r="D152" s="16" t="str">
        <f aca="false">IF($L152="","",IF(INDEX('NHẬP ĐƠN HÀNG'!$D$6:$D$505,$L152)="","",INDEX('NHẬP ĐƠN HÀNG'!$D$6:$D$505,$L152)))</f>
        <v/>
      </c>
      <c r="E152" s="16" t="str">
        <f aca="false">IF($L152="","",IF(INDEX('NHẬP ĐƠN HÀNG'!$H$6:$H$505,$L152)="","",INDEX('NHẬP ĐƠN HÀNG'!$H$6:$H$505,$L152)))</f>
        <v/>
      </c>
      <c r="F152" s="10" t="str">
        <f aca="false">IF($L152="","",N(INDEX('NHẬP ĐƠN HÀNG'!$I$6:$I$505,$L152)))</f>
        <v/>
      </c>
      <c r="G152" s="10" t="str">
        <f aca="false">IF($L152="","",N(INDEX('NHẬP ĐƠN HÀNG'!$P$6:$P$505,$L152)))</f>
        <v/>
      </c>
      <c r="H152" s="10" t="str">
        <f aca="false">IF($L152="","",N(INDEX('NHẬP ĐƠN HÀNG'!$Q$6:$Q$505,$L152)))</f>
        <v/>
      </c>
      <c r="I152" s="10" t="str">
        <f aca="false">IF($L152="","",N(INDEX('NHẬP ĐƠN HÀNG'!$R$6:$R$505,$L152)))</f>
        <v/>
      </c>
      <c r="J152" s="10" t="str">
        <f aca="true">IF(OR($L152="",$B152=""),"",MAX(0,TODAY()-$B152))</f>
        <v/>
      </c>
      <c r="K152" s="16" t="str">
        <f aca="false">IF($L152="","",IF(INDEX('NHẬP ĐƠN HÀNG'!$W$6:$W$505,$L152)="","",INDEX('NHẬP ĐƠN HÀNG'!$W$6:$W$505,$L152)))</f>
        <v/>
      </c>
      <c r="L152" s="0" t="str">
        <f aca="false">IFERROR(MATCH(147,'NHẬP ĐƠN HÀNG'!$Y$6:$Y$505,0),"")</f>
        <v/>
      </c>
    </row>
    <row r="153" customFormat="false" ht="15" hidden="false" customHeight="false" outlineLevel="0" collapsed="false">
      <c r="A153" s="16" t="str">
        <f aca="false">IF($L153="","",148)</f>
        <v/>
      </c>
      <c r="B153" s="34" t="str">
        <f aca="false">IF($L153="","",IF(INDEX('NHẬP ĐƠN HÀNG'!$B$6:$B$505,$L153)="","",INDEX('NHẬP ĐƠN HÀNG'!$B$6:$B$505,$L153)))</f>
        <v/>
      </c>
      <c r="C153" s="16" t="str">
        <f aca="false">IF($L153="","",IF(INDEX('NHẬP ĐƠN HÀNG'!$C$6:$C$505,$L153)="","",INDEX('NHẬP ĐƠN HÀNG'!$C$6:$C$505,$L153)))</f>
        <v/>
      </c>
      <c r="D153" s="16" t="str">
        <f aca="false">IF($L153="","",IF(INDEX('NHẬP ĐƠN HÀNG'!$D$6:$D$505,$L153)="","",INDEX('NHẬP ĐƠN HÀNG'!$D$6:$D$505,$L153)))</f>
        <v/>
      </c>
      <c r="E153" s="16" t="str">
        <f aca="false">IF($L153="","",IF(INDEX('NHẬP ĐƠN HÀNG'!$H$6:$H$505,$L153)="","",INDEX('NHẬP ĐƠN HÀNG'!$H$6:$H$505,$L153)))</f>
        <v/>
      </c>
      <c r="F153" s="10" t="str">
        <f aca="false">IF($L153="","",N(INDEX('NHẬP ĐƠN HÀNG'!$I$6:$I$505,$L153)))</f>
        <v/>
      </c>
      <c r="G153" s="10" t="str">
        <f aca="false">IF($L153="","",N(INDEX('NHẬP ĐƠN HÀNG'!$P$6:$P$505,$L153)))</f>
        <v/>
      </c>
      <c r="H153" s="10" t="str">
        <f aca="false">IF($L153="","",N(INDEX('NHẬP ĐƠN HÀNG'!$Q$6:$Q$505,$L153)))</f>
        <v/>
      </c>
      <c r="I153" s="10" t="str">
        <f aca="false">IF($L153="","",N(INDEX('NHẬP ĐƠN HÀNG'!$R$6:$R$505,$L153)))</f>
        <v/>
      </c>
      <c r="J153" s="10" t="str">
        <f aca="true">IF(OR($L153="",$B153=""),"",MAX(0,TODAY()-$B153))</f>
        <v/>
      </c>
      <c r="K153" s="16" t="str">
        <f aca="false">IF($L153="","",IF(INDEX('NHẬP ĐƠN HÀNG'!$W$6:$W$505,$L153)="","",INDEX('NHẬP ĐƠN HÀNG'!$W$6:$W$505,$L153)))</f>
        <v/>
      </c>
      <c r="L153" s="0" t="str">
        <f aca="false">IFERROR(MATCH(148,'NHẬP ĐƠN HÀNG'!$Y$6:$Y$505,0),"")</f>
        <v/>
      </c>
    </row>
    <row r="154" customFormat="false" ht="15" hidden="false" customHeight="false" outlineLevel="0" collapsed="false">
      <c r="A154" s="16" t="str">
        <f aca="false">IF($L154="","",149)</f>
        <v/>
      </c>
      <c r="B154" s="34" t="str">
        <f aca="false">IF($L154="","",IF(INDEX('NHẬP ĐƠN HÀNG'!$B$6:$B$505,$L154)="","",INDEX('NHẬP ĐƠN HÀNG'!$B$6:$B$505,$L154)))</f>
        <v/>
      </c>
      <c r="C154" s="16" t="str">
        <f aca="false">IF($L154="","",IF(INDEX('NHẬP ĐƠN HÀNG'!$C$6:$C$505,$L154)="","",INDEX('NHẬP ĐƠN HÀNG'!$C$6:$C$505,$L154)))</f>
        <v/>
      </c>
      <c r="D154" s="16" t="str">
        <f aca="false">IF($L154="","",IF(INDEX('NHẬP ĐƠN HÀNG'!$D$6:$D$505,$L154)="","",INDEX('NHẬP ĐƠN HÀNG'!$D$6:$D$505,$L154)))</f>
        <v/>
      </c>
      <c r="E154" s="16" t="str">
        <f aca="false">IF($L154="","",IF(INDEX('NHẬP ĐƠN HÀNG'!$H$6:$H$505,$L154)="","",INDEX('NHẬP ĐƠN HÀNG'!$H$6:$H$505,$L154)))</f>
        <v/>
      </c>
      <c r="F154" s="10" t="str">
        <f aca="false">IF($L154="","",N(INDEX('NHẬP ĐƠN HÀNG'!$I$6:$I$505,$L154)))</f>
        <v/>
      </c>
      <c r="G154" s="10" t="str">
        <f aca="false">IF($L154="","",N(INDEX('NHẬP ĐƠN HÀNG'!$P$6:$P$505,$L154)))</f>
        <v/>
      </c>
      <c r="H154" s="10" t="str">
        <f aca="false">IF($L154="","",N(INDEX('NHẬP ĐƠN HÀNG'!$Q$6:$Q$505,$L154)))</f>
        <v/>
      </c>
      <c r="I154" s="10" t="str">
        <f aca="false">IF($L154="","",N(INDEX('NHẬP ĐƠN HÀNG'!$R$6:$R$505,$L154)))</f>
        <v/>
      </c>
      <c r="J154" s="10" t="str">
        <f aca="true">IF(OR($L154="",$B154=""),"",MAX(0,TODAY()-$B154))</f>
        <v/>
      </c>
      <c r="K154" s="16" t="str">
        <f aca="false">IF($L154="","",IF(INDEX('NHẬP ĐƠN HÀNG'!$W$6:$W$505,$L154)="","",INDEX('NHẬP ĐƠN HÀNG'!$W$6:$W$505,$L154)))</f>
        <v/>
      </c>
      <c r="L154" s="0" t="str">
        <f aca="false">IFERROR(MATCH(149,'NHẬP ĐƠN HÀNG'!$Y$6:$Y$505,0),"")</f>
        <v/>
      </c>
    </row>
    <row r="155" customFormat="false" ht="15" hidden="false" customHeight="false" outlineLevel="0" collapsed="false">
      <c r="A155" s="16" t="str">
        <f aca="false">IF($L155="","",150)</f>
        <v/>
      </c>
      <c r="B155" s="34" t="str">
        <f aca="false">IF($L155="","",IF(INDEX('NHẬP ĐƠN HÀNG'!$B$6:$B$505,$L155)="","",INDEX('NHẬP ĐƠN HÀNG'!$B$6:$B$505,$L155)))</f>
        <v/>
      </c>
      <c r="C155" s="16" t="str">
        <f aca="false">IF($L155="","",IF(INDEX('NHẬP ĐƠN HÀNG'!$C$6:$C$505,$L155)="","",INDEX('NHẬP ĐƠN HÀNG'!$C$6:$C$505,$L155)))</f>
        <v/>
      </c>
      <c r="D155" s="16" t="str">
        <f aca="false">IF($L155="","",IF(INDEX('NHẬP ĐƠN HÀNG'!$D$6:$D$505,$L155)="","",INDEX('NHẬP ĐƠN HÀNG'!$D$6:$D$505,$L155)))</f>
        <v/>
      </c>
      <c r="E155" s="16" t="str">
        <f aca="false">IF($L155="","",IF(INDEX('NHẬP ĐƠN HÀNG'!$H$6:$H$505,$L155)="","",INDEX('NHẬP ĐƠN HÀNG'!$H$6:$H$505,$L155)))</f>
        <v/>
      </c>
      <c r="F155" s="10" t="str">
        <f aca="false">IF($L155="","",N(INDEX('NHẬP ĐƠN HÀNG'!$I$6:$I$505,$L155)))</f>
        <v/>
      </c>
      <c r="G155" s="10" t="str">
        <f aca="false">IF($L155="","",N(INDEX('NHẬP ĐƠN HÀNG'!$P$6:$P$505,$L155)))</f>
        <v/>
      </c>
      <c r="H155" s="10" t="str">
        <f aca="false">IF($L155="","",N(INDEX('NHẬP ĐƠN HÀNG'!$Q$6:$Q$505,$L155)))</f>
        <v/>
      </c>
      <c r="I155" s="10" t="str">
        <f aca="false">IF($L155="","",N(INDEX('NHẬP ĐƠN HÀNG'!$R$6:$R$505,$L155)))</f>
        <v/>
      </c>
      <c r="J155" s="10" t="str">
        <f aca="true">IF(OR($L155="",$B155=""),"",MAX(0,TODAY()-$B155))</f>
        <v/>
      </c>
      <c r="K155" s="16" t="str">
        <f aca="false">IF($L155="","",IF(INDEX('NHẬP ĐƠN HÀNG'!$W$6:$W$505,$L155)="","",INDEX('NHẬP ĐƠN HÀNG'!$W$6:$W$505,$L155)))</f>
        <v/>
      </c>
      <c r="L155" s="0" t="str">
        <f aca="false">IFERROR(MATCH(150,'NHẬP ĐƠN HÀNG'!$Y$6:$Y$505,0),"")</f>
        <v/>
      </c>
    </row>
    <row r="156" customFormat="false" ht="15" hidden="false" customHeight="false" outlineLevel="0" collapsed="false">
      <c r="A156" s="16" t="str">
        <f aca="false">IF($L156="","",151)</f>
        <v/>
      </c>
      <c r="B156" s="34" t="str">
        <f aca="false">IF($L156="","",IF(INDEX('NHẬP ĐƠN HÀNG'!$B$6:$B$505,$L156)="","",INDEX('NHẬP ĐƠN HÀNG'!$B$6:$B$505,$L156)))</f>
        <v/>
      </c>
      <c r="C156" s="16" t="str">
        <f aca="false">IF($L156="","",IF(INDEX('NHẬP ĐƠN HÀNG'!$C$6:$C$505,$L156)="","",INDEX('NHẬP ĐƠN HÀNG'!$C$6:$C$505,$L156)))</f>
        <v/>
      </c>
      <c r="D156" s="16" t="str">
        <f aca="false">IF($L156="","",IF(INDEX('NHẬP ĐƠN HÀNG'!$D$6:$D$505,$L156)="","",INDEX('NHẬP ĐƠN HÀNG'!$D$6:$D$505,$L156)))</f>
        <v/>
      </c>
      <c r="E156" s="16" t="str">
        <f aca="false">IF($L156="","",IF(INDEX('NHẬP ĐƠN HÀNG'!$H$6:$H$505,$L156)="","",INDEX('NHẬP ĐƠN HÀNG'!$H$6:$H$505,$L156)))</f>
        <v/>
      </c>
      <c r="F156" s="10" t="str">
        <f aca="false">IF($L156="","",N(INDEX('NHẬP ĐƠN HÀNG'!$I$6:$I$505,$L156)))</f>
        <v/>
      </c>
      <c r="G156" s="10" t="str">
        <f aca="false">IF($L156="","",N(INDEX('NHẬP ĐƠN HÀNG'!$P$6:$P$505,$L156)))</f>
        <v/>
      </c>
      <c r="H156" s="10" t="str">
        <f aca="false">IF($L156="","",N(INDEX('NHẬP ĐƠN HÀNG'!$Q$6:$Q$505,$L156)))</f>
        <v/>
      </c>
      <c r="I156" s="10" t="str">
        <f aca="false">IF($L156="","",N(INDEX('NHẬP ĐƠN HÀNG'!$R$6:$R$505,$L156)))</f>
        <v/>
      </c>
      <c r="J156" s="10" t="str">
        <f aca="true">IF(OR($L156="",$B156=""),"",MAX(0,TODAY()-$B156))</f>
        <v/>
      </c>
      <c r="K156" s="16" t="str">
        <f aca="false">IF($L156="","",IF(INDEX('NHẬP ĐƠN HÀNG'!$W$6:$W$505,$L156)="","",INDEX('NHẬP ĐƠN HÀNG'!$W$6:$W$505,$L156)))</f>
        <v/>
      </c>
      <c r="L156" s="0" t="str">
        <f aca="false">IFERROR(MATCH(151,'NHẬP ĐƠN HÀNG'!$Y$6:$Y$505,0),"")</f>
        <v/>
      </c>
    </row>
    <row r="157" customFormat="false" ht="15" hidden="false" customHeight="false" outlineLevel="0" collapsed="false">
      <c r="A157" s="16" t="str">
        <f aca="false">IF($L157="","",152)</f>
        <v/>
      </c>
      <c r="B157" s="34" t="str">
        <f aca="false">IF($L157="","",IF(INDEX('NHẬP ĐƠN HÀNG'!$B$6:$B$505,$L157)="","",INDEX('NHẬP ĐƠN HÀNG'!$B$6:$B$505,$L157)))</f>
        <v/>
      </c>
      <c r="C157" s="16" t="str">
        <f aca="false">IF($L157="","",IF(INDEX('NHẬP ĐƠN HÀNG'!$C$6:$C$505,$L157)="","",INDEX('NHẬP ĐƠN HÀNG'!$C$6:$C$505,$L157)))</f>
        <v/>
      </c>
      <c r="D157" s="16" t="str">
        <f aca="false">IF($L157="","",IF(INDEX('NHẬP ĐƠN HÀNG'!$D$6:$D$505,$L157)="","",INDEX('NHẬP ĐƠN HÀNG'!$D$6:$D$505,$L157)))</f>
        <v/>
      </c>
      <c r="E157" s="16" t="str">
        <f aca="false">IF($L157="","",IF(INDEX('NHẬP ĐƠN HÀNG'!$H$6:$H$505,$L157)="","",INDEX('NHẬP ĐƠN HÀNG'!$H$6:$H$505,$L157)))</f>
        <v/>
      </c>
      <c r="F157" s="10" t="str">
        <f aca="false">IF($L157="","",N(INDEX('NHẬP ĐƠN HÀNG'!$I$6:$I$505,$L157)))</f>
        <v/>
      </c>
      <c r="G157" s="10" t="str">
        <f aca="false">IF($L157="","",N(INDEX('NHẬP ĐƠN HÀNG'!$P$6:$P$505,$L157)))</f>
        <v/>
      </c>
      <c r="H157" s="10" t="str">
        <f aca="false">IF($L157="","",N(INDEX('NHẬP ĐƠN HÀNG'!$Q$6:$Q$505,$L157)))</f>
        <v/>
      </c>
      <c r="I157" s="10" t="str">
        <f aca="false">IF($L157="","",N(INDEX('NHẬP ĐƠN HÀNG'!$R$6:$R$505,$L157)))</f>
        <v/>
      </c>
      <c r="J157" s="10" t="str">
        <f aca="true">IF(OR($L157="",$B157=""),"",MAX(0,TODAY()-$B157))</f>
        <v/>
      </c>
      <c r="K157" s="16" t="str">
        <f aca="false">IF($L157="","",IF(INDEX('NHẬP ĐƠN HÀNG'!$W$6:$W$505,$L157)="","",INDEX('NHẬP ĐƠN HÀNG'!$W$6:$W$505,$L157)))</f>
        <v/>
      </c>
      <c r="L157" s="0" t="str">
        <f aca="false">IFERROR(MATCH(152,'NHẬP ĐƠN HÀNG'!$Y$6:$Y$505,0),"")</f>
        <v/>
      </c>
    </row>
    <row r="158" customFormat="false" ht="15" hidden="false" customHeight="false" outlineLevel="0" collapsed="false">
      <c r="A158" s="16" t="str">
        <f aca="false">IF($L158="","",153)</f>
        <v/>
      </c>
      <c r="B158" s="34" t="str">
        <f aca="false">IF($L158="","",IF(INDEX('NHẬP ĐƠN HÀNG'!$B$6:$B$505,$L158)="","",INDEX('NHẬP ĐƠN HÀNG'!$B$6:$B$505,$L158)))</f>
        <v/>
      </c>
      <c r="C158" s="16" t="str">
        <f aca="false">IF($L158="","",IF(INDEX('NHẬP ĐƠN HÀNG'!$C$6:$C$505,$L158)="","",INDEX('NHẬP ĐƠN HÀNG'!$C$6:$C$505,$L158)))</f>
        <v/>
      </c>
      <c r="D158" s="16" t="str">
        <f aca="false">IF($L158="","",IF(INDEX('NHẬP ĐƠN HÀNG'!$D$6:$D$505,$L158)="","",INDEX('NHẬP ĐƠN HÀNG'!$D$6:$D$505,$L158)))</f>
        <v/>
      </c>
      <c r="E158" s="16" t="str">
        <f aca="false">IF($L158="","",IF(INDEX('NHẬP ĐƠN HÀNG'!$H$6:$H$505,$L158)="","",INDEX('NHẬP ĐƠN HÀNG'!$H$6:$H$505,$L158)))</f>
        <v/>
      </c>
      <c r="F158" s="10" t="str">
        <f aca="false">IF($L158="","",N(INDEX('NHẬP ĐƠN HÀNG'!$I$6:$I$505,$L158)))</f>
        <v/>
      </c>
      <c r="G158" s="10" t="str">
        <f aca="false">IF($L158="","",N(INDEX('NHẬP ĐƠN HÀNG'!$P$6:$P$505,$L158)))</f>
        <v/>
      </c>
      <c r="H158" s="10" t="str">
        <f aca="false">IF($L158="","",N(INDEX('NHẬP ĐƠN HÀNG'!$Q$6:$Q$505,$L158)))</f>
        <v/>
      </c>
      <c r="I158" s="10" t="str">
        <f aca="false">IF($L158="","",N(INDEX('NHẬP ĐƠN HÀNG'!$R$6:$R$505,$L158)))</f>
        <v/>
      </c>
      <c r="J158" s="10" t="str">
        <f aca="true">IF(OR($L158="",$B158=""),"",MAX(0,TODAY()-$B158))</f>
        <v/>
      </c>
      <c r="K158" s="16" t="str">
        <f aca="false">IF($L158="","",IF(INDEX('NHẬP ĐƠN HÀNG'!$W$6:$W$505,$L158)="","",INDEX('NHẬP ĐƠN HÀNG'!$W$6:$W$505,$L158)))</f>
        <v/>
      </c>
      <c r="L158" s="0" t="str">
        <f aca="false">IFERROR(MATCH(153,'NHẬP ĐƠN HÀNG'!$Y$6:$Y$505,0),"")</f>
        <v/>
      </c>
    </row>
    <row r="159" customFormat="false" ht="15" hidden="false" customHeight="false" outlineLevel="0" collapsed="false">
      <c r="A159" s="16" t="str">
        <f aca="false">IF($L159="","",154)</f>
        <v/>
      </c>
      <c r="B159" s="34" t="str">
        <f aca="false">IF($L159="","",IF(INDEX('NHẬP ĐƠN HÀNG'!$B$6:$B$505,$L159)="","",INDEX('NHẬP ĐƠN HÀNG'!$B$6:$B$505,$L159)))</f>
        <v/>
      </c>
      <c r="C159" s="16" t="str">
        <f aca="false">IF($L159="","",IF(INDEX('NHẬP ĐƠN HÀNG'!$C$6:$C$505,$L159)="","",INDEX('NHẬP ĐƠN HÀNG'!$C$6:$C$505,$L159)))</f>
        <v/>
      </c>
      <c r="D159" s="16" t="str">
        <f aca="false">IF($L159="","",IF(INDEX('NHẬP ĐƠN HÀNG'!$D$6:$D$505,$L159)="","",INDEX('NHẬP ĐƠN HÀNG'!$D$6:$D$505,$L159)))</f>
        <v/>
      </c>
      <c r="E159" s="16" t="str">
        <f aca="false">IF($L159="","",IF(INDEX('NHẬP ĐƠN HÀNG'!$H$6:$H$505,$L159)="","",INDEX('NHẬP ĐƠN HÀNG'!$H$6:$H$505,$L159)))</f>
        <v/>
      </c>
      <c r="F159" s="10" t="str">
        <f aca="false">IF($L159="","",N(INDEX('NHẬP ĐƠN HÀNG'!$I$6:$I$505,$L159)))</f>
        <v/>
      </c>
      <c r="G159" s="10" t="str">
        <f aca="false">IF($L159="","",N(INDEX('NHẬP ĐƠN HÀNG'!$P$6:$P$505,$L159)))</f>
        <v/>
      </c>
      <c r="H159" s="10" t="str">
        <f aca="false">IF($L159="","",N(INDEX('NHẬP ĐƠN HÀNG'!$Q$6:$Q$505,$L159)))</f>
        <v/>
      </c>
      <c r="I159" s="10" t="str">
        <f aca="false">IF($L159="","",N(INDEX('NHẬP ĐƠN HÀNG'!$R$6:$R$505,$L159)))</f>
        <v/>
      </c>
      <c r="J159" s="10" t="str">
        <f aca="true">IF(OR($L159="",$B159=""),"",MAX(0,TODAY()-$B159))</f>
        <v/>
      </c>
      <c r="K159" s="16" t="str">
        <f aca="false">IF($L159="","",IF(INDEX('NHẬP ĐƠN HÀNG'!$W$6:$W$505,$L159)="","",INDEX('NHẬP ĐƠN HÀNG'!$W$6:$W$505,$L159)))</f>
        <v/>
      </c>
      <c r="L159" s="0" t="str">
        <f aca="false">IFERROR(MATCH(154,'NHẬP ĐƠN HÀNG'!$Y$6:$Y$505,0),"")</f>
        <v/>
      </c>
    </row>
    <row r="160" customFormat="false" ht="15" hidden="false" customHeight="false" outlineLevel="0" collapsed="false">
      <c r="A160" s="16" t="str">
        <f aca="false">IF($L160="","",155)</f>
        <v/>
      </c>
      <c r="B160" s="34" t="str">
        <f aca="false">IF($L160="","",IF(INDEX('NHẬP ĐƠN HÀNG'!$B$6:$B$505,$L160)="","",INDEX('NHẬP ĐƠN HÀNG'!$B$6:$B$505,$L160)))</f>
        <v/>
      </c>
      <c r="C160" s="16" t="str">
        <f aca="false">IF($L160="","",IF(INDEX('NHẬP ĐƠN HÀNG'!$C$6:$C$505,$L160)="","",INDEX('NHẬP ĐƠN HÀNG'!$C$6:$C$505,$L160)))</f>
        <v/>
      </c>
      <c r="D160" s="16" t="str">
        <f aca="false">IF($L160="","",IF(INDEX('NHẬP ĐƠN HÀNG'!$D$6:$D$505,$L160)="","",INDEX('NHẬP ĐƠN HÀNG'!$D$6:$D$505,$L160)))</f>
        <v/>
      </c>
      <c r="E160" s="16" t="str">
        <f aca="false">IF($L160="","",IF(INDEX('NHẬP ĐƠN HÀNG'!$H$6:$H$505,$L160)="","",INDEX('NHẬP ĐƠN HÀNG'!$H$6:$H$505,$L160)))</f>
        <v/>
      </c>
      <c r="F160" s="10" t="str">
        <f aca="false">IF($L160="","",N(INDEX('NHẬP ĐƠN HÀNG'!$I$6:$I$505,$L160)))</f>
        <v/>
      </c>
      <c r="G160" s="10" t="str">
        <f aca="false">IF($L160="","",N(INDEX('NHẬP ĐƠN HÀNG'!$P$6:$P$505,$L160)))</f>
        <v/>
      </c>
      <c r="H160" s="10" t="str">
        <f aca="false">IF($L160="","",N(INDEX('NHẬP ĐƠN HÀNG'!$Q$6:$Q$505,$L160)))</f>
        <v/>
      </c>
      <c r="I160" s="10" t="str">
        <f aca="false">IF($L160="","",N(INDEX('NHẬP ĐƠN HÀNG'!$R$6:$R$505,$L160)))</f>
        <v/>
      </c>
      <c r="J160" s="10" t="str">
        <f aca="true">IF(OR($L160="",$B160=""),"",MAX(0,TODAY()-$B160))</f>
        <v/>
      </c>
      <c r="K160" s="16" t="str">
        <f aca="false">IF($L160="","",IF(INDEX('NHẬP ĐƠN HÀNG'!$W$6:$W$505,$L160)="","",INDEX('NHẬP ĐƠN HÀNG'!$W$6:$W$505,$L160)))</f>
        <v/>
      </c>
      <c r="L160" s="0" t="str">
        <f aca="false">IFERROR(MATCH(155,'NHẬP ĐƠN HÀNG'!$Y$6:$Y$505,0),"")</f>
        <v/>
      </c>
    </row>
    <row r="161" customFormat="false" ht="15" hidden="false" customHeight="false" outlineLevel="0" collapsed="false">
      <c r="A161" s="16" t="str">
        <f aca="false">IF($L161="","",156)</f>
        <v/>
      </c>
      <c r="B161" s="34" t="str">
        <f aca="false">IF($L161="","",IF(INDEX('NHẬP ĐƠN HÀNG'!$B$6:$B$505,$L161)="","",INDEX('NHẬP ĐƠN HÀNG'!$B$6:$B$505,$L161)))</f>
        <v/>
      </c>
      <c r="C161" s="16" t="str">
        <f aca="false">IF($L161="","",IF(INDEX('NHẬP ĐƠN HÀNG'!$C$6:$C$505,$L161)="","",INDEX('NHẬP ĐƠN HÀNG'!$C$6:$C$505,$L161)))</f>
        <v/>
      </c>
      <c r="D161" s="16" t="str">
        <f aca="false">IF($L161="","",IF(INDEX('NHẬP ĐƠN HÀNG'!$D$6:$D$505,$L161)="","",INDEX('NHẬP ĐƠN HÀNG'!$D$6:$D$505,$L161)))</f>
        <v/>
      </c>
      <c r="E161" s="16" t="str">
        <f aca="false">IF($L161="","",IF(INDEX('NHẬP ĐƠN HÀNG'!$H$6:$H$505,$L161)="","",INDEX('NHẬP ĐƠN HÀNG'!$H$6:$H$505,$L161)))</f>
        <v/>
      </c>
      <c r="F161" s="10" t="str">
        <f aca="false">IF($L161="","",N(INDEX('NHẬP ĐƠN HÀNG'!$I$6:$I$505,$L161)))</f>
        <v/>
      </c>
      <c r="G161" s="10" t="str">
        <f aca="false">IF($L161="","",N(INDEX('NHẬP ĐƠN HÀNG'!$P$6:$P$505,$L161)))</f>
        <v/>
      </c>
      <c r="H161" s="10" t="str">
        <f aca="false">IF($L161="","",N(INDEX('NHẬP ĐƠN HÀNG'!$Q$6:$Q$505,$L161)))</f>
        <v/>
      </c>
      <c r="I161" s="10" t="str">
        <f aca="false">IF($L161="","",N(INDEX('NHẬP ĐƠN HÀNG'!$R$6:$R$505,$L161)))</f>
        <v/>
      </c>
      <c r="J161" s="10" t="str">
        <f aca="true">IF(OR($L161="",$B161=""),"",MAX(0,TODAY()-$B161))</f>
        <v/>
      </c>
      <c r="K161" s="16" t="str">
        <f aca="false">IF($L161="","",IF(INDEX('NHẬP ĐƠN HÀNG'!$W$6:$W$505,$L161)="","",INDEX('NHẬP ĐƠN HÀNG'!$W$6:$W$505,$L161)))</f>
        <v/>
      </c>
      <c r="L161" s="0" t="str">
        <f aca="false">IFERROR(MATCH(156,'NHẬP ĐƠN HÀNG'!$Y$6:$Y$505,0),"")</f>
        <v/>
      </c>
    </row>
    <row r="162" customFormat="false" ht="15" hidden="false" customHeight="false" outlineLevel="0" collapsed="false">
      <c r="A162" s="16" t="str">
        <f aca="false">IF($L162="","",157)</f>
        <v/>
      </c>
      <c r="B162" s="34" t="str">
        <f aca="false">IF($L162="","",IF(INDEX('NHẬP ĐƠN HÀNG'!$B$6:$B$505,$L162)="","",INDEX('NHẬP ĐƠN HÀNG'!$B$6:$B$505,$L162)))</f>
        <v/>
      </c>
      <c r="C162" s="16" t="str">
        <f aca="false">IF($L162="","",IF(INDEX('NHẬP ĐƠN HÀNG'!$C$6:$C$505,$L162)="","",INDEX('NHẬP ĐƠN HÀNG'!$C$6:$C$505,$L162)))</f>
        <v/>
      </c>
      <c r="D162" s="16" t="str">
        <f aca="false">IF($L162="","",IF(INDEX('NHẬP ĐƠN HÀNG'!$D$6:$D$505,$L162)="","",INDEX('NHẬP ĐƠN HÀNG'!$D$6:$D$505,$L162)))</f>
        <v/>
      </c>
      <c r="E162" s="16" t="str">
        <f aca="false">IF($L162="","",IF(INDEX('NHẬP ĐƠN HÀNG'!$H$6:$H$505,$L162)="","",INDEX('NHẬP ĐƠN HÀNG'!$H$6:$H$505,$L162)))</f>
        <v/>
      </c>
      <c r="F162" s="10" t="str">
        <f aca="false">IF($L162="","",N(INDEX('NHẬP ĐƠN HÀNG'!$I$6:$I$505,$L162)))</f>
        <v/>
      </c>
      <c r="G162" s="10" t="str">
        <f aca="false">IF($L162="","",N(INDEX('NHẬP ĐƠN HÀNG'!$P$6:$P$505,$L162)))</f>
        <v/>
      </c>
      <c r="H162" s="10" t="str">
        <f aca="false">IF($L162="","",N(INDEX('NHẬP ĐƠN HÀNG'!$Q$6:$Q$505,$L162)))</f>
        <v/>
      </c>
      <c r="I162" s="10" t="str">
        <f aca="false">IF($L162="","",N(INDEX('NHẬP ĐƠN HÀNG'!$R$6:$R$505,$L162)))</f>
        <v/>
      </c>
      <c r="J162" s="10" t="str">
        <f aca="true">IF(OR($L162="",$B162=""),"",MAX(0,TODAY()-$B162))</f>
        <v/>
      </c>
      <c r="K162" s="16" t="str">
        <f aca="false">IF($L162="","",IF(INDEX('NHẬP ĐƠN HÀNG'!$W$6:$W$505,$L162)="","",INDEX('NHẬP ĐƠN HÀNG'!$W$6:$W$505,$L162)))</f>
        <v/>
      </c>
      <c r="L162" s="0" t="str">
        <f aca="false">IFERROR(MATCH(157,'NHẬP ĐƠN HÀNG'!$Y$6:$Y$505,0),"")</f>
        <v/>
      </c>
    </row>
    <row r="163" customFormat="false" ht="15" hidden="false" customHeight="false" outlineLevel="0" collapsed="false">
      <c r="A163" s="16" t="str">
        <f aca="false">IF($L163="","",158)</f>
        <v/>
      </c>
      <c r="B163" s="34" t="str">
        <f aca="false">IF($L163="","",IF(INDEX('NHẬP ĐƠN HÀNG'!$B$6:$B$505,$L163)="","",INDEX('NHẬP ĐƠN HÀNG'!$B$6:$B$505,$L163)))</f>
        <v/>
      </c>
      <c r="C163" s="16" t="str">
        <f aca="false">IF($L163="","",IF(INDEX('NHẬP ĐƠN HÀNG'!$C$6:$C$505,$L163)="","",INDEX('NHẬP ĐƠN HÀNG'!$C$6:$C$505,$L163)))</f>
        <v/>
      </c>
      <c r="D163" s="16" t="str">
        <f aca="false">IF($L163="","",IF(INDEX('NHẬP ĐƠN HÀNG'!$D$6:$D$505,$L163)="","",INDEX('NHẬP ĐƠN HÀNG'!$D$6:$D$505,$L163)))</f>
        <v/>
      </c>
      <c r="E163" s="16" t="str">
        <f aca="false">IF($L163="","",IF(INDEX('NHẬP ĐƠN HÀNG'!$H$6:$H$505,$L163)="","",INDEX('NHẬP ĐƠN HÀNG'!$H$6:$H$505,$L163)))</f>
        <v/>
      </c>
      <c r="F163" s="10" t="str">
        <f aca="false">IF($L163="","",N(INDEX('NHẬP ĐƠN HÀNG'!$I$6:$I$505,$L163)))</f>
        <v/>
      </c>
      <c r="G163" s="10" t="str">
        <f aca="false">IF($L163="","",N(INDEX('NHẬP ĐƠN HÀNG'!$P$6:$P$505,$L163)))</f>
        <v/>
      </c>
      <c r="H163" s="10" t="str">
        <f aca="false">IF($L163="","",N(INDEX('NHẬP ĐƠN HÀNG'!$Q$6:$Q$505,$L163)))</f>
        <v/>
      </c>
      <c r="I163" s="10" t="str">
        <f aca="false">IF($L163="","",N(INDEX('NHẬP ĐƠN HÀNG'!$R$6:$R$505,$L163)))</f>
        <v/>
      </c>
      <c r="J163" s="10" t="str">
        <f aca="true">IF(OR($L163="",$B163=""),"",MAX(0,TODAY()-$B163))</f>
        <v/>
      </c>
      <c r="K163" s="16" t="str">
        <f aca="false">IF($L163="","",IF(INDEX('NHẬP ĐƠN HÀNG'!$W$6:$W$505,$L163)="","",INDEX('NHẬP ĐƠN HÀNG'!$W$6:$W$505,$L163)))</f>
        <v/>
      </c>
      <c r="L163" s="0" t="str">
        <f aca="false">IFERROR(MATCH(158,'NHẬP ĐƠN HÀNG'!$Y$6:$Y$505,0),"")</f>
        <v/>
      </c>
    </row>
    <row r="164" customFormat="false" ht="15" hidden="false" customHeight="false" outlineLevel="0" collapsed="false">
      <c r="A164" s="16" t="str">
        <f aca="false">IF($L164="","",159)</f>
        <v/>
      </c>
      <c r="B164" s="34" t="str">
        <f aca="false">IF($L164="","",IF(INDEX('NHẬP ĐƠN HÀNG'!$B$6:$B$505,$L164)="","",INDEX('NHẬP ĐƠN HÀNG'!$B$6:$B$505,$L164)))</f>
        <v/>
      </c>
      <c r="C164" s="16" t="str">
        <f aca="false">IF($L164="","",IF(INDEX('NHẬP ĐƠN HÀNG'!$C$6:$C$505,$L164)="","",INDEX('NHẬP ĐƠN HÀNG'!$C$6:$C$505,$L164)))</f>
        <v/>
      </c>
      <c r="D164" s="16" t="str">
        <f aca="false">IF($L164="","",IF(INDEX('NHẬP ĐƠN HÀNG'!$D$6:$D$505,$L164)="","",INDEX('NHẬP ĐƠN HÀNG'!$D$6:$D$505,$L164)))</f>
        <v/>
      </c>
      <c r="E164" s="16" t="str">
        <f aca="false">IF($L164="","",IF(INDEX('NHẬP ĐƠN HÀNG'!$H$6:$H$505,$L164)="","",INDEX('NHẬP ĐƠN HÀNG'!$H$6:$H$505,$L164)))</f>
        <v/>
      </c>
      <c r="F164" s="10" t="str">
        <f aca="false">IF($L164="","",N(INDEX('NHẬP ĐƠN HÀNG'!$I$6:$I$505,$L164)))</f>
        <v/>
      </c>
      <c r="G164" s="10" t="str">
        <f aca="false">IF($L164="","",N(INDEX('NHẬP ĐƠN HÀNG'!$P$6:$P$505,$L164)))</f>
        <v/>
      </c>
      <c r="H164" s="10" t="str">
        <f aca="false">IF($L164="","",N(INDEX('NHẬP ĐƠN HÀNG'!$Q$6:$Q$505,$L164)))</f>
        <v/>
      </c>
      <c r="I164" s="10" t="str">
        <f aca="false">IF($L164="","",N(INDEX('NHẬP ĐƠN HÀNG'!$R$6:$R$505,$L164)))</f>
        <v/>
      </c>
      <c r="J164" s="10" t="str">
        <f aca="true">IF(OR($L164="",$B164=""),"",MAX(0,TODAY()-$B164))</f>
        <v/>
      </c>
      <c r="K164" s="16" t="str">
        <f aca="false">IF($L164="","",IF(INDEX('NHẬP ĐƠN HÀNG'!$W$6:$W$505,$L164)="","",INDEX('NHẬP ĐƠN HÀNG'!$W$6:$W$505,$L164)))</f>
        <v/>
      </c>
      <c r="L164" s="0" t="str">
        <f aca="false">IFERROR(MATCH(159,'NHẬP ĐƠN HÀNG'!$Y$6:$Y$505,0),"")</f>
        <v/>
      </c>
    </row>
    <row r="165" customFormat="false" ht="15" hidden="false" customHeight="false" outlineLevel="0" collapsed="false">
      <c r="A165" s="16" t="str">
        <f aca="false">IF($L165="","",160)</f>
        <v/>
      </c>
      <c r="B165" s="34" t="str">
        <f aca="false">IF($L165="","",IF(INDEX('NHẬP ĐƠN HÀNG'!$B$6:$B$505,$L165)="","",INDEX('NHẬP ĐƠN HÀNG'!$B$6:$B$505,$L165)))</f>
        <v/>
      </c>
      <c r="C165" s="16" t="str">
        <f aca="false">IF($L165="","",IF(INDEX('NHẬP ĐƠN HÀNG'!$C$6:$C$505,$L165)="","",INDEX('NHẬP ĐƠN HÀNG'!$C$6:$C$505,$L165)))</f>
        <v/>
      </c>
      <c r="D165" s="16" t="str">
        <f aca="false">IF($L165="","",IF(INDEX('NHẬP ĐƠN HÀNG'!$D$6:$D$505,$L165)="","",INDEX('NHẬP ĐƠN HÀNG'!$D$6:$D$505,$L165)))</f>
        <v/>
      </c>
      <c r="E165" s="16" t="str">
        <f aca="false">IF($L165="","",IF(INDEX('NHẬP ĐƠN HÀNG'!$H$6:$H$505,$L165)="","",INDEX('NHẬP ĐƠN HÀNG'!$H$6:$H$505,$L165)))</f>
        <v/>
      </c>
      <c r="F165" s="10" t="str">
        <f aca="false">IF($L165="","",N(INDEX('NHẬP ĐƠN HÀNG'!$I$6:$I$505,$L165)))</f>
        <v/>
      </c>
      <c r="G165" s="10" t="str">
        <f aca="false">IF($L165="","",N(INDEX('NHẬP ĐƠN HÀNG'!$P$6:$P$505,$L165)))</f>
        <v/>
      </c>
      <c r="H165" s="10" t="str">
        <f aca="false">IF($L165="","",N(INDEX('NHẬP ĐƠN HÀNG'!$Q$6:$Q$505,$L165)))</f>
        <v/>
      </c>
      <c r="I165" s="10" t="str">
        <f aca="false">IF($L165="","",N(INDEX('NHẬP ĐƠN HÀNG'!$R$6:$R$505,$L165)))</f>
        <v/>
      </c>
      <c r="J165" s="10" t="str">
        <f aca="true">IF(OR($L165="",$B165=""),"",MAX(0,TODAY()-$B165))</f>
        <v/>
      </c>
      <c r="K165" s="16" t="str">
        <f aca="false">IF($L165="","",IF(INDEX('NHẬP ĐƠN HÀNG'!$W$6:$W$505,$L165)="","",INDEX('NHẬP ĐƠN HÀNG'!$W$6:$W$505,$L165)))</f>
        <v/>
      </c>
      <c r="L165" s="0" t="str">
        <f aca="false">IFERROR(MATCH(160,'NHẬP ĐƠN HÀNG'!$Y$6:$Y$505,0),"")</f>
        <v/>
      </c>
    </row>
    <row r="166" customFormat="false" ht="15" hidden="false" customHeight="false" outlineLevel="0" collapsed="false">
      <c r="A166" s="16" t="str">
        <f aca="false">IF($L166="","",161)</f>
        <v/>
      </c>
      <c r="B166" s="34" t="str">
        <f aca="false">IF($L166="","",IF(INDEX('NHẬP ĐƠN HÀNG'!$B$6:$B$505,$L166)="","",INDEX('NHẬP ĐƠN HÀNG'!$B$6:$B$505,$L166)))</f>
        <v/>
      </c>
      <c r="C166" s="16" t="str">
        <f aca="false">IF($L166="","",IF(INDEX('NHẬP ĐƠN HÀNG'!$C$6:$C$505,$L166)="","",INDEX('NHẬP ĐƠN HÀNG'!$C$6:$C$505,$L166)))</f>
        <v/>
      </c>
      <c r="D166" s="16" t="str">
        <f aca="false">IF($L166="","",IF(INDEX('NHẬP ĐƠN HÀNG'!$D$6:$D$505,$L166)="","",INDEX('NHẬP ĐƠN HÀNG'!$D$6:$D$505,$L166)))</f>
        <v/>
      </c>
      <c r="E166" s="16" t="str">
        <f aca="false">IF($L166="","",IF(INDEX('NHẬP ĐƠN HÀNG'!$H$6:$H$505,$L166)="","",INDEX('NHẬP ĐƠN HÀNG'!$H$6:$H$505,$L166)))</f>
        <v/>
      </c>
      <c r="F166" s="10" t="str">
        <f aca="false">IF($L166="","",N(INDEX('NHẬP ĐƠN HÀNG'!$I$6:$I$505,$L166)))</f>
        <v/>
      </c>
      <c r="G166" s="10" t="str">
        <f aca="false">IF($L166="","",N(INDEX('NHẬP ĐƠN HÀNG'!$P$6:$P$505,$L166)))</f>
        <v/>
      </c>
      <c r="H166" s="10" t="str">
        <f aca="false">IF($L166="","",N(INDEX('NHẬP ĐƠN HÀNG'!$Q$6:$Q$505,$L166)))</f>
        <v/>
      </c>
      <c r="I166" s="10" t="str">
        <f aca="false">IF($L166="","",N(INDEX('NHẬP ĐƠN HÀNG'!$R$6:$R$505,$L166)))</f>
        <v/>
      </c>
      <c r="J166" s="10" t="str">
        <f aca="true">IF(OR($L166="",$B166=""),"",MAX(0,TODAY()-$B166))</f>
        <v/>
      </c>
      <c r="K166" s="16" t="str">
        <f aca="false">IF($L166="","",IF(INDEX('NHẬP ĐƠN HÀNG'!$W$6:$W$505,$L166)="","",INDEX('NHẬP ĐƠN HÀNG'!$W$6:$W$505,$L166)))</f>
        <v/>
      </c>
      <c r="L166" s="0" t="str">
        <f aca="false">IFERROR(MATCH(161,'NHẬP ĐƠN HÀNG'!$Y$6:$Y$505,0),"")</f>
        <v/>
      </c>
    </row>
    <row r="167" customFormat="false" ht="15" hidden="false" customHeight="false" outlineLevel="0" collapsed="false">
      <c r="A167" s="16" t="str">
        <f aca="false">IF($L167="","",162)</f>
        <v/>
      </c>
      <c r="B167" s="34" t="str">
        <f aca="false">IF($L167="","",IF(INDEX('NHẬP ĐƠN HÀNG'!$B$6:$B$505,$L167)="","",INDEX('NHẬP ĐƠN HÀNG'!$B$6:$B$505,$L167)))</f>
        <v/>
      </c>
      <c r="C167" s="16" t="str">
        <f aca="false">IF($L167="","",IF(INDEX('NHẬP ĐƠN HÀNG'!$C$6:$C$505,$L167)="","",INDEX('NHẬP ĐƠN HÀNG'!$C$6:$C$505,$L167)))</f>
        <v/>
      </c>
      <c r="D167" s="16" t="str">
        <f aca="false">IF($L167="","",IF(INDEX('NHẬP ĐƠN HÀNG'!$D$6:$D$505,$L167)="","",INDEX('NHẬP ĐƠN HÀNG'!$D$6:$D$505,$L167)))</f>
        <v/>
      </c>
      <c r="E167" s="16" t="str">
        <f aca="false">IF($L167="","",IF(INDEX('NHẬP ĐƠN HÀNG'!$H$6:$H$505,$L167)="","",INDEX('NHẬP ĐƠN HÀNG'!$H$6:$H$505,$L167)))</f>
        <v/>
      </c>
      <c r="F167" s="10" t="str">
        <f aca="false">IF($L167="","",N(INDEX('NHẬP ĐƠN HÀNG'!$I$6:$I$505,$L167)))</f>
        <v/>
      </c>
      <c r="G167" s="10" t="str">
        <f aca="false">IF($L167="","",N(INDEX('NHẬP ĐƠN HÀNG'!$P$6:$P$505,$L167)))</f>
        <v/>
      </c>
      <c r="H167" s="10" t="str">
        <f aca="false">IF($L167="","",N(INDEX('NHẬP ĐƠN HÀNG'!$Q$6:$Q$505,$L167)))</f>
        <v/>
      </c>
      <c r="I167" s="10" t="str">
        <f aca="false">IF($L167="","",N(INDEX('NHẬP ĐƠN HÀNG'!$R$6:$R$505,$L167)))</f>
        <v/>
      </c>
      <c r="J167" s="10" t="str">
        <f aca="true">IF(OR($L167="",$B167=""),"",MAX(0,TODAY()-$B167))</f>
        <v/>
      </c>
      <c r="K167" s="16" t="str">
        <f aca="false">IF($L167="","",IF(INDEX('NHẬP ĐƠN HÀNG'!$W$6:$W$505,$L167)="","",INDEX('NHẬP ĐƠN HÀNG'!$W$6:$W$505,$L167)))</f>
        <v/>
      </c>
      <c r="L167" s="0" t="str">
        <f aca="false">IFERROR(MATCH(162,'NHẬP ĐƠN HÀNG'!$Y$6:$Y$505,0),"")</f>
        <v/>
      </c>
    </row>
    <row r="168" customFormat="false" ht="15" hidden="false" customHeight="false" outlineLevel="0" collapsed="false">
      <c r="A168" s="16" t="str">
        <f aca="false">IF($L168="","",163)</f>
        <v/>
      </c>
      <c r="B168" s="34" t="str">
        <f aca="false">IF($L168="","",IF(INDEX('NHẬP ĐƠN HÀNG'!$B$6:$B$505,$L168)="","",INDEX('NHẬP ĐƠN HÀNG'!$B$6:$B$505,$L168)))</f>
        <v/>
      </c>
      <c r="C168" s="16" t="str">
        <f aca="false">IF($L168="","",IF(INDEX('NHẬP ĐƠN HÀNG'!$C$6:$C$505,$L168)="","",INDEX('NHẬP ĐƠN HÀNG'!$C$6:$C$505,$L168)))</f>
        <v/>
      </c>
      <c r="D168" s="16" t="str">
        <f aca="false">IF($L168="","",IF(INDEX('NHẬP ĐƠN HÀNG'!$D$6:$D$505,$L168)="","",INDEX('NHẬP ĐƠN HÀNG'!$D$6:$D$505,$L168)))</f>
        <v/>
      </c>
      <c r="E168" s="16" t="str">
        <f aca="false">IF($L168="","",IF(INDEX('NHẬP ĐƠN HÀNG'!$H$6:$H$505,$L168)="","",INDEX('NHẬP ĐƠN HÀNG'!$H$6:$H$505,$L168)))</f>
        <v/>
      </c>
      <c r="F168" s="10" t="str">
        <f aca="false">IF($L168="","",N(INDEX('NHẬP ĐƠN HÀNG'!$I$6:$I$505,$L168)))</f>
        <v/>
      </c>
      <c r="G168" s="10" t="str">
        <f aca="false">IF($L168="","",N(INDEX('NHẬP ĐƠN HÀNG'!$P$6:$P$505,$L168)))</f>
        <v/>
      </c>
      <c r="H168" s="10" t="str">
        <f aca="false">IF($L168="","",N(INDEX('NHẬP ĐƠN HÀNG'!$Q$6:$Q$505,$L168)))</f>
        <v/>
      </c>
      <c r="I168" s="10" t="str">
        <f aca="false">IF($L168="","",N(INDEX('NHẬP ĐƠN HÀNG'!$R$6:$R$505,$L168)))</f>
        <v/>
      </c>
      <c r="J168" s="10" t="str">
        <f aca="true">IF(OR($L168="",$B168=""),"",MAX(0,TODAY()-$B168))</f>
        <v/>
      </c>
      <c r="K168" s="16" t="str">
        <f aca="false">IF($L168="","",IF(INDEX('NHẬP ĐƠN HÀNG'!$W$6:$W$505,$L168)="","",INDEX('NHẬP ĐƠN HÀNG'!$W$6:$W$505,$L168)))</f>
        <v/>
      </c>
      <c r="L168" s="0" t="str">
        <f aca="false">IFERROR(MATCH(163,'NHẬP ĐƠN HÀNG'!$Y$6:$Y$505,0),"")</f>
        <v/>
      </c>
    </row>
    <row r="169" customFormat="false" ht="15" hidden="false" customHeight="false" outlineLevel="0" collapsed="false">
      <c r="A169" s="16" t="str">
        <f aca="false">IF($L169="","",164)</f>
        <v/>
      </c>
      <c r="B169" s="34" t="str">
        <f aca="false">IF($L169="","",IF(INDEX('NHẬP ĐƠN HÀNG'!$B$6:$B$505,$L169)="","",INDEX('NHẬP ĐƠN HÀNG'!$B$6:$B$505,$L169)))</f>
        <v/>
      </c>
      <c r="C169" s="16" t="str">
        <f aca="false">IF($L169="","",IF(INDEX('NHẬP ĐƠN HÀNG'!$C$6:$C$505,$L169)="","",INDEX('NHẬP ĐƠN HÀNG'!$C$6:$C$505,$L169)))</f>
        <v/>
      </c>
      <c r="D169" s="16" t="str">
        <f aca="false">IF($L169="","",IF(INDEX('NHẬP ĐƠN HÀNG'!$D$6:$D$505,$L169)="","",INDEX('NHẬP ĐƠN HÀNG'!$D$6:$D$505,$L169)))</f>
        <v/>
      </c>
      <c r="E169" s="16" t="str">
        <f aca="false">IF($L169="","",IF(INDEX('NHẬP ĐƠN HÀNG'!$H$6:$H$505,$L169)="","",INDEX('NHẬP ĐƠN HÀNG'!$H$6:$H$505,$L169)))</f>
        <v/>
      </c>
      <c r="F169" s="10" t="str">
        <f aca="false">IF($L169="","",N(INDEX('NHẬP ĐƠN HÀNG'!$I$6:$I$505,$L169)))</f>
        <v/>
      </c>
      <c r="G169" s="10" t="str">
        <f aca="false">IF($L169="","",N(INDEX('NHẬP ĐƠN HÀNG'!$P$6:$P$505,$L169)))</f>
        <v/>
      </c>
      <c r="H169" s="10" t="str">
        <f aca="false">IF($L169="","",N(INDEX('NHẬP ĐƠN HÀNG'!$Q$6:$Q$505,$L169)))</f>
        <v/>
      </c>
      <c r="I169" s="10" t="str">
        <f aca="false">IF($L169="","",N(INDEX('NHẬP ĐƠN HÀNG'!$R$6:$R$505,$L169)))</f>
        <v/>
      </c>
      <c r="J169" s="10" t="str">
        <f aca="true">IF(OR($L169="",$B169=""),"",MAX(0,TODAY()-$B169))</f>
        <v/>
      </c>
      <c r="K169" s="16" t="str">
        <f aca="false">IF($L169="","",IF(INDEX('NHẬP ĐƠN HÀNG'!$W$6:$W$505,$L169)="","",INDEX('NHẬP ĐƠN HÀNG'!$W$6:$W$505,$L169)))</f>
        <v/>
      </c>
      <c r="L169" s="0" t="str">
        <f aca="false">IFERROR(MATCH(164,'NHẬP ĐƠN HÀNG'!$Y$6:$Y$505,0),"")</f>
        <v/>
      </c>
    </row>
    <row r="170" customFormat="false" ht="15" hidden="false" customHeight="false" outlineLevel="0" collapsed="false">
      <c r="A170" s="16" t="str">
        <f aca="false">IF($L170="","",165)</f>
        <v/>
      </c>
      <c r="B170" s="34" t="str">
        <f aca="false">IF($L170="","",IF(INDEX('NHẬP ĐƠN HÀNG'!$B$6:$B$505,$L170)="","",INDEX('NHẬP ĐƠN HÀNG'!$B$6:$B$505,$L170)))</f>
        <v/>
      </c>
      <c r="C170" s="16" t="str">
        <f aca="false">IF($L170="","",IF(INDEX('NHẬP ĐƠN HÀNG'!$C$6:$C$505,$L170)="","",INDEX('NHẬP ĐƠN HÀNG'!$C$6:$C$505,$L170)))</f>
        <v/>
      </c>
      <c r="D170" s="16" t="str">
        <f aca="false">IF($L170="","",IF(INDEX('NHẬP ĐƠN HÀNG'!$D$6:$D$505,$L170)="","",INDEX('NHẬP ĐƠN HÀNG'!$D$6:$D$505,$L170)))</f>
        <v/>
      </c>
      <c r="E170" s="16" t="str">
        <f aca="false">IF($L170="","",IF(INDEX('NHẬP ĐƠN HÀNG'!$H$6:$H$505,$L170)="","",INDEX('NHẬP ĐƠN HÀNG'!$H$6:$H$505,$L170)))</f>
        <v/>
      </c>
      <c r="F170" s="10" t="str">
        <f aca="false">IF($L170="","",N(INDEX('NHẬP ĐƠN HÀNG'!$I$6:$I$505,$L170)))</f>
        <v/>
      </c>
      <c r="G170" s="10" t="str">
        <f aca="false">IF($L170="","",N(INDEX('NHẬP ĐƠN HÀNG'!$P$6:$P$505,$L170)))</f>
        <v/>
      </c>
      <c r="H170" s="10" t="str">
        <f aca="false">IF($L170="","",N(INDEX('NHẬP ĐƠN HÀNG'!$Q$6:$Q$505,$L170)))</f>
        <v/>
      </c>
      <c r="I170" s="10" t="str">
        <f aca="false">IF($L170="","",N(INDEX('NHẬP ĐƠN HÀNG'!$R$6:$R$505,$L170)))</f>
        <v/>
      </c>
      <c r="J170" s="10" t="str">
        <f aca="true">IF(OR($L170="",$B170=""),"",MAX(0,TODAY()-$B170))</f>
        <v/>
      </c>
      <c r="K170" s="16" t="str">
        <f aca="false">IF($L170="","",IF(INDEX('NHẬP ĐƠN HÀNG'!$W$6:$W$505,$L170)="","",INDEX('NHẬP ĐƠN HÀNG'!$W$6:$W$505,$L170)))</f>
        <v/>
      </c>
      <c r="L170" s="0" t="str">
        <f aca="false">IFERROR(MATCH(165,'NHẬP ĐƠN HÀNG'!$Y$6:$Y$505,0),"")</f>
        <v/>
      </c>
    </row>
    <row r="171" customFormat="false" ht="15" hidden="false" customHeight="false" outlineLevel="0" collapsed="false">
      <c r="A171" s="16" t="str">
        <f aca="false">IF($L171="","",166)</f>
        <v/>
      </c>
      <c r="B171" s="34" t="str">
        <f aca="false">IF($L171="","",IF(INDEX('NHẬP ĐƠN HÀNG'!$B$6:$B$505,$L171)="","",INDEX('NHẬP ĐƠN HÀNG'!$B$6:$B$505,$L171)))</f>
        <v/>
      </c>
      <c r="C171" s="16" t="str">
        <f aca="false">IF($L171="","",IF(INDEX('NHẬP ĐƠN HÀNG'!$C$6:$C$505,$L171)="","",INDEX('NHẬP ĐƠN HÀNG'!$C$6:$C$505,$L171)))</f>
        <v/>
      </c>
      <c r="D171" s="16" t="str">
        <f aca="false">IF($L171="","",IF(INDEX('NHẬP ĐƠN HÀNG'!$D$6:$D$505,$L171)="","",INDEX('NHẬP ĐƠN HÀNG'!$D$6:$D$505,$L171)))</f>
        <v/>
      </c>
      <c r="E171" s="16" t="str">
        <f aca="false">IF($L171="","",IF(INDEX('NHẬP ĐƠN HÀNG'!$H$6:$H$505,$L171)="","",INDEX('NHẬP ĐƠN HÀNG'!$H$6:$H$505,$L171)))</f>
        <v/>
      </c>
      <c r="F171" s="10" t="str">
        <f aca="false">IF($L171="","",N(INDEX('NHẬP ĐƠN HÀNG'!$I$6:$I$505,$L171)))</f>
        <v/>
      </c>
      <c r="G171" s="10" t="str">
        <f aca="false">IF($L171="","",N(INDEX('NHẬP ĐƠN HÀNG'!$P$6:$P$505,$L171)))</f>
        <v/>
      </c>
      <c r="H171" s="10" t="str">
        <f aca="false">IF($L171="","",N(INDEX('NHẬP ĐƠN HÀNG'!$Q$6:$Q$505,$L171)))</f>
        <v/>
      </c>
      <c r="I171" s="10" t="str">
        <f aca="false">IF($L171="","",N(INDEX('NHẬP ĐƠN HÀNG'!$R$6:$R$505,$L171)))</f>
        <v/>
      </c>
      <c r="J171" s="10" t="str">
        <f aca="true">IF(OR($L171="",$B171=""),"",MAX(0,TODAY()-$B171))</f>
        <v/>
      </c>
      <c r="K171" s="16" t="str">
        <f aca="false">IF($L171="","",IF(INDEX('NHẬP ĐƠN HÀNG'!$W$6:$W$505,$L171)="","",INDEX('NHẬP ĐƠN HÀNG'!$W$6:$W$505,$L171)))</f>
        <v/>
      </c>
      <c r="L171" s="0" t="str">
        <f aca="false">IFERROR(MATCH(166,'NHẬP ĐƠN HÀNG'!$Y$6:$Y$505,0),"")</f>
        <v/>
      </c>
    </row>
    <row r="172" customFormat="false" ht="15" hidden="false" customHeight="false" outlineLevel="0" collapsed="false">
      <c r="A172" s="16" t="str">
        <f aca="false">IF($L172="","",167)</f>
        <v/>
      </c>
      <c r="B172" s="34" t="str">
        <f aca="false">IF($L172="","",IF(INDEX('NHẬP ĐƠN HÀNG'!$B$6:$B$505,$L172)="","",INDEX('NHẬP ĐƠN HÀNG'!$B$6:$B$505,$L172)))</f>
        <v/>
      </c>
      <c r="C172" s="16" t="str">
        <f aca="false">IF($L172="","",IF(INDEX('NHẬP ĐƠN HÀNG'!$C$6:$C$505,$L172)="","",INDEX('NHẬP ĐƠN HÀNG'!$C$6:$C$505,$L172)))</f>
        <v/>
      </c>
      <c r="D172" s="16" t="str">
        <f aca="false">IF($L172="","",IF(INDEX('NHẬP ĐƠN HÀNG'!$D$6:$D$505,$L172)="","",INDEX('NHẬP ĐƠN HÀNG'!$D$6:$D$505,$L172)))</f>
        <v/>
      </c>
      <c r="E172" s="16" t="str">
        <f aca="false">IF($L172="","",IF(INDEX('NHẬP ĐƠN HÀNG'!$H$6:$H$505,$L172)="","",INDEX('NHẬP ĐƠN HÀNG'!$H$6:$H$505,$L172)))</f>
        <v/>
      </c>
      <c r="F172" s="10" t="str">
        <f aca="false">IF($L172="","",N(INDEX('NHẬP ĐƠN HÀNG'!$I$6:$I$505,$L172)))</f>
        <v/>
      </c>
      <c r="G172" s="10" t="str">
        <f aca="false">IF($L172="","",N(INDEX('NHẬP ĐƠN HÀNG'!$P$6:$P$505,$L172)))</f>
        <v/>
      </c>
      <c r="H172" s="10" t="str">
        <f aca="false">IF($L172="","",N(INDEX('NHẬP ĐƠN HÀNG'!$Q$6:$Q$505,$L172)))</f>
        <v/>
      </c>
      <c r="I172" s="10" t="str">
        <f aca="false">IF($L172="","",N(INDEX('NHẬP ĐƠN HÀNG'!$R$6:$R$505,$L172)))</f>
        <v/>
      </c>
      <c r="J172" s="10" t="str">
        <f aca="true">IF(OR($L172="",$B172=""),"",MAX(0,TODAY()-$B172))</f>
        <v/>
      </c>
      <c r="K172" s="16" t="str">
        <f aca="false">IF($L172="","",IF(INDEX('NHẬP ĐƠN HÀNG'!$W$6:$W$505,$L172)="","",INDEX('NHẬP ĐƠN HÀNG'!$W$6:$W$505,$L172)))</f>
        <v/>
      </c>
      <c r="L172" s="0" t="str">
        <f aca="false">IFERROR(MATCH(167,'NHẬP ĐƠN HÀNG'!$Y$6:$Y$505,0),"")</f>
        <v/>
      </c>
    </row>
    <row r="173" customFormat="false" ht="15" hidden="false" customHeight="false" outlineLevel="0" collapsed="false">
      <c r="A173" s="16" t="str">
        <f aca="false">IF($L173="","",168)</f>
        <v/>
      </c>
      <c r="B173" s="34" t="str">
        <f aca="false">IF($L173="","",IF(INDEX('NHẬP ĐƠN HÀNG'!$B$6:$B$505,$L173)="","",INDEX('NHẬP ĐƠN HÀNG'!$B$6:$B$505,$L173)))</f>
        <v/>
      </c>
      <c r="C173" s="16" t="str">
        <f aca="false">IF($L173="","",IF(INDEX('NHẬP ĐƠN HÀNG'!$C$6:$C$505,$L173)="","",INDEX('NHẬP ĐƠN HÀNG'!$C$6:$C$505,$L173)))</f>
        <v/>
      </c>
      <c r="D173" s="16" t="str">
        <f aca="false">IF($L173="","",IF(INDEX('NHẬP ĐƠN HÀNG'!$D$6:$D$505,$L173)="","",INDEX('NHẬP ĐƠN HÀNG'!$D$6:$D$505,$L173)))</f>
        <v/>
      </c>
      <c r="E173" s="16" t="str">
        <f aca="false">IF($L173="","",IF(INDEX('NHẬP ĐƠN HÀNG'!$H$6:$H$505,$L173)="","",INDEX('NHẬP ĐƠN HÀNG'!$H$6:$H$505,$L173)))</f>
        <v/>
      </c>
      <c r="F173" s="10" t="str">
        <f aca="false">IF($L173="","",N(INDEX('NHẬP ĐƠN HÀNG'!$I$6:$I$505,$L173)))</f>
        <v/>
      </c>
      <c r="G173" s="10" t="str">
        <f aca="false">IF($L173="","",N(INDEX('NHẬP ĐƠN HÀNG'!$P$6:$P$505,$L173)))</f>
        <v/>
      </c>
      <c r="H173" s="10" t="str">
        <f aca="false">IF($L173="","",N(INDEX('NHẬP ĐƠN HÀNG'!$Q$6:$Q$505,$L173)))</f>
        <v/>
      </c>
      <c r="I173" s="10" t="str">
        <f aca="false">IF($L173="","",N(INDEX('NHẬP ĐƠN HÀNG'!$R$6:$R$505,$L173)))</f>
        <v/>
      </c>
      <c r="J173" s="10" t="str">
        <f aca="true">IF(OR($L173="",$B173=""),"",MAX(0,TODAY()-$B173))</f>
        <v/>
      </c>
      <c r="K173" s="16" t="str">
        <f aca="false">IF($L173="","",IF(INDEX('NHẬP ĐƠN HÀNG'!$W$6:$W$505,$L173)="","",INDEX('NHẬP ĐƠN HÀNG'!$W$6:$W$505,$L173)))</f>
        <v/>
      </c>
      <c r="L173" s="0" t="str">
        <f aca="false">IFERROR(MATCH(168,'NHẬP ĐƠN HÀNG'!$Y$6:$Y$505,0),"")</f>
        <v/>
      </c>
    </row>
    <row r="174" customFormat="false" ht="15" hidden="false" customHeight="false" outlineLevel="0" collapsed="false">
      <c r="A174" s="16" t="str">
        <f aca="false">IF($L174="","",169)</f>
        <v/>
      </c>
      <c r="B174" s="34" t="str">
        <f aca="false">IF($L174="","",IF(INDEX('NHẬP ĐƠN HÀNG'!$B$6:$B$505,$L174)="","",INDEX('NHẬP ĐƠN HÀNG'!$B$6:$B$505,$L174)))</f>
        <v/>
      </c>
      <c r="C174" s="16" t="str">
        <f aca="false">IF($L174="","",IF(INDEX('NHẬP ĐƠN HÀNG'!$C$6:$C$505,$L174)="","",INDEX('NHẬP ĐƠN HÀNG'!$C$6:$C$505,$L174)))</f>
        <v/>
      </c>
      <c r="D174" s="16" t="str">
        <f aca="false">IF($L174="","",IF(INDEX('NHẬP ĐƠN HÀNG'!$D$6:$D$505,$L174)="","",INDEX('NHẬP ĐƠN HÀNG'!$D$6:$D$505,$L174)))</f>
        <v/>
      </c>
      <c r="E174" s="16" t="str">
        <f aca="false">IF($L174="","",IF(INDEX('NHẬP ĐƠN HÀNG'!$H$6:$H$505,$L174)="","",INDEX('NHẬP ĐƠN HÀNG'!$H$6:$H$505,$L174)))</f>
        <v/>
      </c>
      <c r="F174" s="10" t="str">
        <f aca="false">IF($L174="","",N(INDEX('NHẬP ĐƠN HÀNG'!$I$6:$I$505,$L174)))</f>
        <v/>
      </c>
      <c r="G174" s="10" t="str">
        <f aca="false">IF($L174="","",N(INDEX('NHẬP ĐƠN HÀNG'!$P$6:$P$505,$L174)))</f>
        <v/>
      </c>
      <c r="H174" s="10" t="str">
        <f aca="false">IF($L174="","",N(INDEX('NHẬP ĐƠN HÀNG'!$Q$6:$Q$505,$L174)))</f>
        <v/>
      </c>
      <c r="I174" s="10" t="str">
        <f aca="false">IF($L174="","",N(INDEX('NHẬP ĐƠN HÀNG'!$R$6:$R$505,$L174)))</f>
        <v/>
      </c>
      <c r="J174" s="10" t="str">
        <f aca="true">IF(OR($L174="",$B174=""),"",MAX(0,TODAY()-$B174))</f>
        <v/>
      </c>
      <c r="K174" s="16" t="str">
        <f aca="false">IF($L174="","",IF(INDEX('NHẬP ĐƠN HÀNG'!$W$6:$W$505,$L174)="","",INDEX('NHẬP ĐƠN HÀNG'!$W$6:$W$505,$L174)))</f>
        <v/>
      </c>
      <c r="L174" s="0" t="str">
        <f aca="false">IFERROR(MATCH(169,'NHẬP ĐƠN HÀNG'!$Y$6:$Y$505,0),"")</f>
        <v/>
      </c>
    </row>
    <row r="175" customFormat="false" ht="15" hidden="false" customHeight="false" outlineLevel="0" collapsed="false">
      <c r="A175" s="16" t="str">
        <f aca="false">IF($L175="","",170)</f>
        <v/>
      </c>
      <c r="B175" s="34" t="str">
        <f aca="false">IF($L175="","",IF(INDEX('NHẬP ĐƠN HÀNG'!$B$6:$B$505,$L175)="","",INDEX('NHẬP ĐƠN HÀNG'!$B$6:$B$505,$L175)))</f>
        <v/>
      </c>
      <c r="C175" s="16" t="str">
        <f aca="false">IF($L175="","",IF(INDEX('NHẬP ĐƠN HÀNG'!$C$6:$C$505,$L175)="","",INDEX('NHẬP ĐƠN HÀNG'!$C$6:$C$505,$L175)))</f>
        <v/>
      </c>
      <c r="D175" s="16" t="str">
        <f aca="false">IF($L175="","",IF(INDEX('NHẬP ĐƠN HÀNG'!$D$6:$D$505,$L175)="","",INDEX('NHẬP ĐƠN HÀNG'!$D$6:$D$505,$L175)))</f>
        <v/>
      </c>
      <c r="E175" s="16" t="str">
        <f aca="false">IF($L175="","",IF(INDEX('NHẬP ĐƠN HÀNG'!$H$6:$H$505,$L175)="","",INDEX('NHẬP ĐƠN HÀNG'!$H$6:$H$505,$L175)))</f>
        <v/>
      </c>
      <c r="F175" s="10" t="str">
        <f aca="false">IF($L175="","",N(INDEX('NHẬP ĐƠN HÀNG'!$I$6:$I$505,$L175)))</f>
        <v/>
      </c>
      <c r="G175" s="10" t="str">
        <f aca="false">IF($L175="","",N(INDEX('NHẬP ĐƠN HÀNG'!$P$6:$P$505,$L175)))</f>
        <v/>
      </c>
      <c r="H175" s="10" t="str">
        <f aca="false">IF($L175="","",N(INDEX('NHẬP ĐƠN HÀNG'!$Q$6:$Q$505,$L175)))</f>
        <v/>
      </c>
      <c r="I175" s="10" t="str">
        <f aca="false">IF($L175="","",N(INDEX('NHẬP ĐƠN HÀNG'!$R$6:$R$505,$L175)))</f>
        <v/>
      </c>
      <c r="J175" s="10" t="str">
        <f aca="true">IF(OR($L175="",$B175=""),"",MAX(0,TODAY()-$B175))</f>
        <v/>
      </c>
      <c r="K175" s="16" t="str">
        <f aca="false">IF($L175="","",IF(INDEX('NHẬP ĐƠN HÀNG'!$W$6:$W$505,$L175)="","",INDEX('NHẬP ĐƠN HÀNG'!$W$6:$W$505,$L175)))</f>
        <v/>
      </c>
      <c r="L175" s="0" t="str">
        <f aca="false">IFERROR(MATCH(170,'NHẬP ĐƠN HÀNG'!$Y$6:$Y$505,0),"")</f>
        <v/>
      </c>
    </row>
    <row r="176" customFormat="false" ht="15" hidden="false" customHeight="false" outlineLevel="0" collapsed="false">
      <c r="A176" s="16" t="str">
        <f aca="false">IF($L176="","",171)</f>
        <v/>
      </c>
      <c r="B176" s="34" t="str">
        <f aca="false">IF($L176="","",IF(INDEX('NHẬP ĐƠN HÀNG'!$B$6:$B$505,$L176)="","",INDEX('NHẬP ĐƠN HÀNG'!$B$6:$B$505,$L176)))</f>
        <v/>
      </c>
      <c r="C176" s="16" t="str">
        <f aca="false">IF($L176="","",IF(INDEX('NHẬP ĐƠN HÀNG'!$C$6:$C$505,$L176)="","",INDEX('NHẬP ĐƠN HÀNG'!$C$6:$C$505,$L176)))</f>
        <v/>
      </c>
      <c r="D176" s="16" t="str">
        <f aca="false">IF($L176="","",IF(INDEX('NHẬP ĐƠN HÀNG'!$D$6:$D$505,$L176)="","",INDEX('NHẬP ĐƠN HÀNG'!$D$6:$D$505,$L176)))</f>
        <v/>
      </c>
      <c r="E176" s="16" t="str">
        <f aca="false">IF($L176="","",IF(INDEX('NHẬP ĐƠN HÀNG'!$H$6:$H$505,$L176)="","",INDEX('NHẬP ĐƠN HÀNG'!$H$6:$H$505,$L176)))</f>
        <v/>
      </c>
      <c r="F176" s="10" t="str">
        <f aca="false">IF($L176="","",N(INDEX('NHẬP ĐƠN HÀNG'!$I$6:$I$505,$L176)))</f>
        <v/>
      </c>
      <c r="G176" s="10" t="str">
        <f aca="false">IF($L176="","",N(INDEX('NHẬP ĐƠN HÀNG'!$P$6:$P$505,$L176)))</f>
        <v/>
      </c>
      <c r="H176" s="10" t="str">
        <f aca="false">IF($L176="","",N(INDEX('NHẬP ĐƠN HÀNG'!$Q$6:$Q$505,$L176)))</f>
        <v/>
      </c>
      <c r="I176" s="10" t="str">
        <f aca="false">IF($L176="","",N(INDEX('NHẬP ĐƠN HÀNG'!$R$6:$R$505,$L176)))</f>
        <v/>
      </c>
      <c r="J176" s="10" t="str">
        <f aca="true">IF(OR($L176="",$B176=""),"",MAX(0,TODAY()-$B176))</f>
        <v/>
      </c>
      <c r="K176" s="16" t="str">
        <f aca="false">IF($L176="","",IF(INDEX('NHẬP ĐƠN HÀNG'!$W$6:$W$505,$L176)="","",INDEX('NHẬP ĐƠN HÀNG'!$W$6:$W$505,$L176)))</f>
        <v/>
      </c>
      <c r="L176" s="0" t="str">
        <f aca="false">IFERROR(MATCH(171,'NHẬP ĐƠN HÀNG'!$Y$6:$Y$505,0),"")</f>
        <v/>
      </c>
    </row>
    <row r="177" customFormat="false" ht="15" hidden="false" customHeight="false" outlineLevel="0" collapsed="false">
      <c r="A177" s="16" t="str">
        <f aca="false">IF($L177="","",172)</f>
        <v/>
      </c>
      <c r="B177" s="34" t="str">
        <f aca="false">IF($L177="","",IF(INDEX('NHẬP ĐƠN HÀNG'!$B$6:$B$505,$L177)="","",INDEX('NHẬP ĐƠN HÀNG'!$B$6:$B$505,$L177)))</f>
        <v/>
      </c>
      <c r="C177" s="16" t="str">
        <f aca="false">IF($L177="","",IF(INDEX('NHẬP ĐƠN HÀNG'!$C$6:$C$505,$L177)="","",INDEX('NHẬP ĐƠN HÀNG'!$C$6:$C$505,$L177)))</f>
        <v/>
      </c>
      <c r="D177" s="16" t="str">
        <f aca="false">IF($L177="","",IF(INDEX('NHẬP ĐƠN HÀNG'!$D$6:$D$505,$L177)="","",INDEX('NHẬP ĐƠN HÀNG'!$D$6:$D$505,$L177)))</f>
        <v/>
      </c>
      <c r="E177" s="16" t="str">
        <f aca="false">IF($L177="","",IF(INDEX('NHẬP ĐƠN HÀNG'!$H$6:$H$505,$L177)="","",INDEX('NHẬP ĐƠN HÀNG'!$H$6:$H$505,$L177)))</f>
        <v/>
      </c>
      <c r="F177" s="10" t="str">
        <f aca="false">IF($L177="","",N(INDEX('NHẬP ĐƠN HÀNG'!$I$6:$I$505,$L177)))</f>
        <v/>
      </c>
      <c r="G177" s="10" t="str">
        <f aca="false">IF($L177="","",N(INDEX('NHẬP ĐƠN HÀNG'!$P$6:$P$505,$L177)))</f>
        <v/>
      </c>
      <c r="H177" s="10" t="str">
        <f aca="false">IF($L177="","",N(INDEX('NHẬP ĐƠN HÀNG'!$Q$6:$Q$505,$L177)))</f>
        <v/>
      </c>
      <c r="I177" s="10" t="str">
        <f aca="false">IF($L177="","",N(INDEX('NHẬP ĐƠN HÀNG'!$R$6:$R$505,$L177)))</f>
        <v/>
      </c>
      <c r="J177" s="10" t="str">
        <f aca="true">IF(OR($L177="",$B177=""),"",MAX(0,TODAY()-$B177))</f>
        <v/>
      </c>
      <c r="K177" s="16" t="str">
        <f aca="false">IF($L177="","",IF(INDEX('NHẬP ĐƠN HÀNG'!$W$6:$W$505,$L177)="","",INDEX('NHẬP ĐƠN HÀNG'!$W$6:$W$505,$L177)))</f>
        <v/>
      </c>
      <c r="L177" s="0" t="str">
        <f aca="false">IFERROR(MATCH(172,'NHẬP ĐƠN HÀNG'!$Y$6:$Y$505,0),"")</f>
        <v/>
      </c>
    </row>
    <row r="178" customFormat="false" ht="15" hidden="false" customHeight="false" outlineLevel="0" collapsed="false">
      <c r="A178" s="16" t="str">
        <f aca="false">IF($L178="","",173)</f>
        <v/>
      </c>
      <c r="B178" s="34" t="str">
        <f aca="false">IF($L178="","",IF(INDEX('NHẬP ĐƠN HÀNG'!$B$6:$B$505,$L178)="","",INDEX('NHẬP ĐƠN HÀNG'!$B$6:$B$505,$L178)))</f>
        <v/>
      </c>
      <c r="C178" s="16" t="str">
        <f aca="false">IF($L178="","",IF(INDEX('NHẬP ĐƠN HÀNG'!$C$6:$C$505,$L178)="","",INDEX('NHẬP ĐƠN HÀNG'!$C$6:$C$505,$L178)))</f>
        <v/>
      </c>
      <c r="D178" s="16" t="str">
        <f aca="false">IF($L178="","",IF(INDEX('NHẬP ĐƠN HÀNG'!$D$6:$D$505,$L178)="","",INDEX('NHẬP ĐƠN HÀNG'!$D$6:$D$505,$L178)))</f>
        <v/>
      </c>
      <c r="E178" s="16" t="str">
        <f aca="false">IF($L178="","",IF(INDEX('NHẬP ĐƠN HÀNG'!$H$6:$H$505,$L178)="","",INDEX('NHẬP ĐƠN HÀNG'!$H$6:$H$505,$L178)))</f>
        <v/>
      </c>
      <c r="F178" s="10" t="str">
        <f aca="false">IF($L178="","",N(INDEX('NHẬP ĐƠN HÀNG'!$I$6:$I$505,$L178)))</f>
        <v/>
      </c>
      <c r="G178" s="10" t="str">
        <f aca="false">IF($L178="","",N(INDEX('NHẬP ĐƠN HÀNG'!$P$6:$P$505,$L178)))</f>
        <v/>
      </c>
      <c r="H178" s="10" t="str">
        <f aca="false">IF($L178="","",N(INDEX('NHẬP ĐƠN HÀNG'!$Q$6:$Q$505,$L178)))</f>
        <v/>
      </c>
      <c r="I178" s="10" t="str">
        <f aca="false">IF($L178="","",N(INDEX('NHẬP ĐƠN HÀNG'!$R$6:$R$505,$L178)))</f>
        <v/>
      </c>
      <c r="J178" s="10" t="str">
        <f aca="true">IF(OR($L178="",$B178=""),"",MAX(0,TODAY()-$B178))</f>
        <v/>
      </c>
      <c r="K178" s="16" t="str">
        <f aca="false">IF($L178="","",IF(INDEX('NHẬP ĐƠN HÀNG'!$W$6:$W$505,$L178)="","",INDEX('NHẬP ĐƠN HÀNG'!$W$6:$W$505,$L178)))</f>
        <v/>
      </c>
      <c r="L178" s="0" t="str">
        <f aca="false">IFERROR(MATCH(173,'NHẬP ĐƠN HÀNG'!$Y$6:$Y$505,0),"")</f>
        <v/>
      </c>
    </row>
    <row r="179" customFormat="false" ht="15" hidden="false" customHeight="false" outlineLevel="0" collapsed="false">
      <c r="A179" s="16" t="str">
        <f aca="false">IF($L179="","",174)</f>
        <v/>
      </c>
      <c r="B179" s="34" t="str">
        <f aca="false">IF($L179="","",IF(INDEX('NHẬP ĐƠN HÀNG'!$B$6:$B$505,$L179)="","",INDEX('NHẬP ĐƠN HÀNG'!$B$6:$B$505,$L179)))</f>
        <v/>
      </c>
      <c r="C179" s="16" t="str">
        <f aca="false">IF($L179="","",IF(INDEX('NHẬP ĐƠN HÀNG'!$C$6:$C$505,$L179)="","",INDEX('NHẬP ĐƠN HÀNG'!$C$6:$C$505,$L179)))</f>
        <v/>
      </c>
      <c r="D179" s="16" t="str">
        <f aca="false">IF($L179="","",IF(INDEX('NHẬP ĐƠN HÀNG'!$D$6:$D$505,$L179)="","",INDEX('NHẬP ĐƠN HÀNG'!$D$6:$D$505,$L179)))</f>
        <v/>
      </c>
      <c r="E179" s="16" t="str">
        <f aca="false">IF($L179="","",IF(INDEX('NHẬP ĐƠN HÀNG'!$H$6:$H$505,$L179)="","",INDEX('NHẬP ĐƠN HÀNG'!$H$6:$H$505,$L179)))</f>
        <v/>
      </c>
      <c r="F179" s="10" t="str">
        <f aca="false">IF($L179="","",N(INDEX('NHẬP ĐƠN HÀNG'!$I$6:$I$505,$L179)))</f>
        <v/>
      </c>
      <c r="G179" s="10" t="str">
        <f aca="false">IF($L179="","",N(INDEX('NHẬP ĐƠN HÀNG'!$P$6:$P$505,$L179)))</f>
        <v/>
      </c>
      <c r="H179" s="10" t="str">
        <f aca="false">IF($L179="","",N(INDEX('NHẬP ĐƠN HÀNG'!$Q$6:$Q$505,$L179)))</f>
        <v/>
      </c>
      <c r="I179" s="10" t="str">
        <f aca="false">IF($L179="","",N(INDEX('NHẬP ĐƠN HÀNG'!$R$6:$R$505,$L179)))</f>
        <v/>
      </c>
      <c r="J179" s="10" t="str">
        <f aca="true">IF(OR($L179="",$B179=""),"",MAX(0,TODAY()-$B179))</f>
        <v/>
      </c>
      <c r="K179" s="16" t="str">
        <f aca="false">IF($L179="","",IF(INDEX('NHẬP ĐƠN HÀNG'!$W$6:$W$505,$L179)="","",INDEX('NHẬP ĐƠN HÀNG'!$W$6:$W$505,$L179)))</f>
        <v/>
      </c>
      <c r="L179" s="0" t="str">
        <f aca="false">IFERROR(MATCH(174,'NHẬP ĐƠN HÀNG'!$Y$6:$Y$505,0),"")</f>
        <v/>
      </c>
    </row>
    <row r="180" customFormat="false" ht="15" hidden="false" customHeight="false" outlineLevel="0" collapsed="false">
      <c r="A180" s="16" t="str">
        <f aca="false">IF($L180="","",175)</f>
        <v/>
      </c>
      <c r="B180" s="34" t="str">
        <f aca="false">IF($L180="","",IF(INDEX('NHẬP ĐƠN HÀNG'!$B$6:$B$505,$L180)="","",INDEX('NHẬP ĐƠN HÀNG'!$B$6:$B$505,$L180)))</f>
        <v/>
      </c>
      <c r="C180" s="16" t="str">
        <f aca="false">IF($L180="","",IF(INDEX('NHẬP ĐƠN HÀNG'!$C$6:$C$505,$L180)="","",INDEX('NHẬP ĐƠN HÀNG'!$C$6:$C$505,$L180)))</f>
        <v/>
      </c>
      <c r="D180" s="16" t="str">
        <f aca="false">IF($L180="","",IF(INDEX('NHẬP ĐƠN HÀNG'!$D$6:$D$505,$L180)="","",INDEX('NHẬP ĐƠN HÀNG'!$D$6:$D$505,$L180)))</f>
        <v/>
      </c>
      <c r="E180" s="16" t="str">
        <f aca="false">IF($L180="","",IF(INDEX('NHẬP ĐƠN HÀNG'!$H$6:$H$505,$L180)="","",INDEX('NHẬP ĐƠN HÀNG'!$H$6:$H$505,$L180)))</f>
        <v/>
      </c>
      <c r="F180" s="10" t="str">
        <f aca="false">IF($L180="","",N(INDEX('NHẬP ĐƠN HÀNG'!$I$6:$I$505,$L180)))</f>
        <v/>
      </c>
      <c r="G180" s="10" t="str">
        <f aca="false">IF($L180="","",N(INDEX('NHẬP ĐƠN HÀNG'!$P$6:$P$505,$L180)))</f>
        <v/>
      </c>
      <c r="H180" s="10" t="str">
        <f aca="false">IF($L180="","",N(INDEX('NHẬP ĐƠN HÀNG'!$Q$6:$Q$505,$L180)))</f>
        <v/>
      </c>
      <c r="I180" s="10" t="str">
        <f aca="false">IF($L180="","",N(INDEX('NHẬP ĐƠN HÀNG'!$R$6:$R$505,$L180)))</f>
        <v/>
      </c>
      <c r="J180" s="10" t="str">
        <f aca="true">IF(OR($L180="",$B180=""),"",MAX(0,TODAY()-$B180))</f>
        <v/>
      </c>
      <c r="K180" s="16" t="str">
        <f aca="false">IF($L180="","",IF(INDEX('NHẬP ĐƠN HÀNG'!$W$6:$W$505,$L180)="","",INDEX('NHẬP ĐƠN HÀNG'!$W$6:$W$505,$L180)))</f>
        <v/>
      </c>
      <c r="L180" s="0" t="str">
        <f aca="false">IFERROR(MATCH(175,'NHẬP ĐƠN HÀNG'!$Y$6:$Y$505,0),"")</f>
        <v/>
      </c>
    </row>
    <row r="181" customFormat="false" ht="15" hidden="false" customHeight="false" outlineLevel="0" collapsed="false">
      <c r="A181" s="16" t="str">
        <f aca="false">IF($L181="","",176)</f>
        <v/>
      </c>
      <c r="B181" s="34" t="str">
        <f aca="false">IF($L181="","",IF(INDEX('NHẬP ĐƠN HÀNG'!$B$6:$B$505,$L181)="","",INDEX('NHẬP ĐƠN HÀNG'!$B$6:$B$505,$L181)))</f>
        <v/>
      </c>
      <c r="C181" s="16" t="str">
        <f aca="false">IF($L181="","",IF(INDEX('NHẬP ĐƠN HÀNG'!$C$6:$C$505,$L181)="","",INDEX('NHẬP ĐƠN HÀNG'!$C$6:$C$505,$L181)))</f>
        <v/>
      </c>
      <c r="D181" s="16" t="str">
        <f aca="false">IF($L181="","",IF(INDEX('NHẬP ĐƠN HÀNG'!$D$6:$D$505,$L181)="","",INDEX('NHẬP ĐƠN HÀNG'!$D$6:$D$505,$L181)))</f>
        <v/>
      </c>
      <c r="E181" s="16" t="str">
        <f aca="false">IF($L181="","",IF(INDEX('NHẬP ĐƠN HÀNG'!$H$6:$H$505,$L181)="","",INDEX('NHẬP ĐƠN HÀNG'!$H$6:$H$505,$L181)))</f>
        <v/>
      </c>
      <c r="F181" s="10" t="str">
        <f aca="false">IF($L181="","",N(INDEX('NHẬP ĐƠN HÀNG'!$I$6:$I$505,$L181)))</f>
        <v/>
      </c>
      <c r="G181" s="10" t="str">
        <f aca="false">IF($L181="","",N(INDEX('NHẬP ĐƠN HÀNG'!$P$6:$P$505,$L181)))</f>
        <v/>
      </c>
      <c r="H181" s="10" t="str">
        <f aca="false">IF($L181="","",N(INDEX('NHẬP ĐƠN HÀNG'!$Q$6:$Q$505,$L181)))</f>
        <v/>
      </c>
      <c r="I181" s="10" t="str">
        <f aca="false">IF($L181="","",N(INDEX('NHẬP ĐƠN HÀNG'!$R$6:$R$505,$L181)))</f>
        <v/>
      </c>
      <c r="J181" s="10" t="str">
        <f aca="true">IF(OR($L181="",$B181=""),"",MAX(0,TODAY()-$B181))</f>
        <v/>
      </c>
      <c r="K181" s="16" t="str">
        <f aca="false">IF($L181="","",IF(INDEX('NHẬP ĐƠN HÀNG'!$W$6:$W$505,$L181)="","",INDEX('NHẬP ĐƠN HÀNG'!$W$6:$W$505,$L181)))</f>
        <v/>
      </c>
      <c r="L181" s="0" t="str">
        <f aca="false">IFERROR(MATCH(176,'NHẬP ĐƠN HÀNG'!$Y$6:$Y$505,0),"")</f>
        <v/>
      </c>
    </row>
    <row r="182" customFormat="false" ht="15" hidden="false" customHeight="false" outlineLevel="0" collapsed="false">
      <c r="A182" s="16" t="str">
        <f aca="false">IF($L182="","",177)</f>
        <v/>
      </c>
      <c r="B182" s="34" t="str">
        <f aca="false">IF($L182="","",IF(INDEX('NHẬP ĐƠN HÀNG'!$B$6:$B$505,$L182)="","",INDEX('NHẬP ĐƠN HÀNG'!$B$6:$B$505,$L182)))</f>
        <v/>
      </c>
      <c r="C182" s="16" t="str">
        <f aca="false">IF($L182="","",IF(INDEX('NHẬP ĐƠN HÀNG'!$C$6:$C$505,$L182)="","",INDEX('NHẬP ĐƠN HÀNG'!$C$6:$C$505,$L182)))</f>
        <v/>
      </c>
      <c r="D182" s="16" t="str">
        <f aca="false">IF($L182="","",IF(INDEX('NHẬP ĐƠN HÀNG'!$D$6:$D$505,$L182)="","",INDEX('NHẬP ĐƠN HÀNG'!$D$6:$D$505,$L182)))</f>
        <v/>
      </c>
      <c r="E182" s="16" t="str">
        <f aca="false">IF($L182="","",IF(INDEX('NHẬP ĐƠN HÀNG'!$H$6:$H$505,$L182)="","",INDEX('NHẬP ĐƠN HÀNG'!$H$6:$H$505,$L182)))</f>
        <v/>
      </c>
      <c r="F182" s="10" t="str">
        <f aca="false">IF($L182="","",N(INDEX('NHẬP ĐƠN HÀNG'!$I$6:$I$505,$L182)))</f>
        <v/>
      </c>
      <c r="G182" s="10" t="str">
        <f aca="false">IF($L182="","",N(INDEX('NHẬP ĐƠN HÀNG'!$P$6:$P$505,$L182)))</f>
        <v/>
      </c>
      <c r="H182" s="10" t="str">
        <f aca="false">IF($L182="","",N(INDEX('NHẬP ĐƠN HÀNG'!$Q$6:$Q$505,$L182)))</f>
        <v/>
      </c>
      <c r="I182" s="10" t="str">
        <f aca="false">IF($L182="","",N(INDEX('NHẬP ĐƠN HÀNG'!$R$6:$R$505,$L182)))</f>
        <v/>
      </c>
      <c r="J182" s="10" t="str">
        <f aca="true">IF(OR($L182="",$B182=""),"",MAX(0,TODAY()-$B182))</f>
        <v/>
      </c>
      <c r="K182" s="16" t="str">
        <f aca="false">IF($L182="","",IF(INDEX('NHẬP ĐƠN HÀNG'!$W$6:$W$505,$L182)="","",INDEX('NHẬP ĐƠN HÀNG'!$W$6:$W$505,$L182)))</f>
        <v/>
      </c>
      <c r="L182" s="0" t="str">
        <f aca="false">IFERROR(MATCH(177,'NHẬP ĐƠN HÀNG'!$Y$6:$Y$505,0),"")</f>
        <v/>
      </c>
    </row>
    <row r="183" customFormat="false" ht="15" hidden="false" customHeight="false" outlineLevel="0" collapsed="false">
      <c r="A183" s="16" t="str">
        <f aca="false">IF($L183="","",178)</f>
        <v/>
      </c>
      <c r="B183" s="34" t="str">
        <f aca="false">IF($L183="","",IF(INDEX('NHẬP ĐƠN HÀNG'!$B$6:$B$505,$L183)="","",INDEX('NHẬP ĐƠN HÀNG'!$B$6:$B$505,$L183)))</f>
        <v/>
      </c>
      <c r="C183" s="16" t="str">
        <f aca="false">IF($L183="","",IF(INDEX('NHẬP ĐƠN HÀNG'!$C$6:$C$505,$L183)="","",INDEX('NHẬP ĐƠN HÀNG'!$C$6:$C$505,$L183)))</f>
        <v/>
      </c>
      <c r="D183" s="16" t="str">
        <f aca="false">IF($L183="","",IF(INDEX('NHẬP ĐƠN HÀNG'!$D$6:$D$505,$L183)="","",INDEX('NHẬP ĐƠN HÀNG'!$D$6:$D$505,$L183)))</f>
        <v/>
      </c>
      <c r="E183" s="16" t="str">
        <f aca="false">IF($L183="","",IF(INDEX('NHẬP ĐƠN HÀNG'!$H$6:$H$505,$L183)="","",INDEX('NHẬP ĐƠN HÀNG'!$H$6:$H$505,$L183)))</f>
        <v/>
      </c>
      <c r="F183" s="10" t="str">
        <f aca="false">IF($L183="","",N(INDEX('NHẬP ĐƠN HÀNG'!$I$6:$I$505,$L183)))</f>
        <v/>
      </c>
      <c r="G183" s="10" t="str">
        <f aca="false">IF($L183="","",N(INDEX('NHẬP ĐƠN HÀNG'!$P$6:$P$505,$L183)))</f>
        <v/>
      </c>
      <c r="H183" s="10" t="str">
        <f aca="false">IF($L183="","",N(INDEX('NHẬP ĐƠN HÀNG'!$Q$6:$Q$505,$L183)))</f>
        <v/>
      </c>
      <c r="I183" s="10" t="str">
        <f aca="false">IF($L183="","",N(INDEX('NHẬP ĐƠN HÀNG'!$R$6:$R$505,$L183)))</f>
        <v/>
      </c>
      <c r="J183" s="10" t="str">
        <f aca="true">IF(OR($L183="",$B183=""),"",MAX(0,TODAY()-$B183))</f>
        <v/>
      </c>
      <c r="K183" s="16" t="str">
        <f aca="false">IF($L183="","",IF(INDEX('NHẬP ĐƠN HÀNG'!$W$6:$W$505,$L183)="","",INDEX('NHẬP ĐƠN HÀNG'!$W$6:$W$505,$L183)))</f>
        <v/>
      </c>
      <c r="L183" s="0" t="str">
        <f aca="false">IFERROR(MATCH(178,'NHẬP ĐƠN HÀNG'!$Y$6:$Y$505,0),"")</f>
        <v/>
      </c>
    </row>
    <row r="184" customFormat="false" ht="15" hidden="false" customHeight="false" outlineLevel="0" collapsed="false">
      <c r="A184" s="16" t="str">
        <f aca="false">IF($L184="","",179)</f>
        <v/>
      </c>
      <c r="B184" s="34" t="str">
        <f aca="false">IF($L184="","",IF(INDEX('NHẬP ĐƠN HÀNG'!$B$6:$B$505,$L184)="","",INDEX('NHẬP ĐƠN HÀNG'!$B$6:$B$505,$L184)))</f>
        <v/>
      </c>
      <c r="C184" s="16" t="str">
        <f aca="false">IF($L184="","",IF(INDEX('NHẬP ĐƠN HÀNG'!$C$6:$C$505,$L184)="","",INDEX('NHẬP ĐƠN HÀNG'!$C$6:$C$505,$L184)))</f>
        <v/>
      </c>
      <c r="D184" s="16" t="str">
        <f aca="false">IF($L184="","",IF(INDEX('NHẬP ĐƠN HÀNG'!$D$6:$D$505,$L184)="","",INDEX('NHẬP ĐƠN HÀNG'!$D$6:$D$505,$L184)))</f>
        <v/>
      </c>
      <c r="E184" s="16" t="str">
        <f aca="false">IF($L184="","",IF(INDEX('NHẬP ĐƠN HÀNG'!$H$6:$H$505,$L184)="","",INDEX('NHẬP ĐƠN HÀNG'!$H$6:$H$505,$L184)))</f>
        <v/>
      </c>
      <c r="F184" s="10" t="str">
        <f aca="false">IF($L184="","",N(INDEX('NHẬP ĐƠN HÀNG'!$I$6:$I$505,$L184)))</f>
        <v/>
      </c>
      <c r="G184" s="10" t="str">
        <f aca="false">IF($L184="","",N(INDEX('NHẬP ĐƠN HÀNG'!$P$6:$P$505,$L184)))</f>
        <v/>
      </c>
      <c r="H184" s="10" t="str">
        <f aca="false">IF($L184="","",N(INDEX('NHẬP ĐƠN HÀNG'!$Q$6:$Q$505,$L184)))</f>
        <v/>
      </c>
      <c r="I184" s="10" t="str">
        <f aca="false">IF($L184="","",N(INDEX('NHẬP ĐƠN HÀNG'!$R$6:$R$505,$L184)))</f>
        <v/>
      </c>
      <c r="J184" s="10" t="str">
        <f aca="true">IF(OR($L184="",$B184=""),"",MAX(0,TODAY()-$B184))</f>
        <v/>
      </c>
      <c r="K184" s="16" t="str">
        <f aca="false">IF($L184="","",IF(INDEX('NHẬP ĐƠN HÀNG'!$W$6:$W$505,$L184)="","",INDEX('NHẬP ĐƠN HÀNG'!$W$6:$W$505,$L184)))</f>
        <v/>
      </c>
      <c r="L184" s="0" t="str">
        <f aca="false">IFERROR(MATCH(179,'NHẬP ĐƠN HÀNG'!$Y$6:$Y$505,0),"")</f>
        <v/>
      </c>
    </row>
    <row r="185" customFormat="false" ht="15" hidden="false" customHeight="false" outlineLevel="0" collapsed="false">
      <c r="A185" s="16" t="str">
        <f aca="false">IF($L185="","",180)</f>
        <v/>
      </c>
      <c r="B185" s="34" t="str">
        <f aca="false">IF($L185="","",IF(INDEX('NHẬP ĐƠN HÀNG'!$B$6:$B$505,$L185)="","",INDEX('NHẬP ĐƠN HÀNG'!$B$6:$B$505,$L185)))</f>
        <v/>
      </c>
      <c r="C185" s="16" t="str">
        <f aca="false">IF($L185="","",IF(INDEX('NHẬP ĐƠN HÀNG'!$C$6:$C$505,$L185)="","",INDEX('NHẬP ĐƠN HÀNG'!$C$6:$C$505,$L185)))</f>
        <v/>
      </c>
      <c r="D185" s="16" t="str">
        <f aca="false">IF($L185="","",IF(INDEX('NHẬP ĐƠN HÀNG'!$D$6:$D$505,$L185)="","",INDEX('NHẬP ĐƠN HÀNG'!$D$6:$D$505,$L185)))</f>
        <v/>
      </c>
      <c r="E185" s="16" t="str">
        <f aca="false">IF($L185="","",IF(INDEX('NHẬP ĐƠN HÀNG'!$H$6:$H$505,$L185)="","",INDEX('NHẬP ĐƠN HÀNG'!$H$6:$H$505,$L185)))</f>
        <v/>
      </c>
      <c r="F185" s="10" t="str">
        <f aca="false">IF($L185="","",N(INDEX('NHẬP ĐƠN HÀNG'!$I$6:$I$505,$L185)))</f>
        <v/>
      </c>
      <c r="G185" s="10" t="str">
        <f aca="false">IF($L185="","",N(INDEX('NHẬP ĐƠN HÀNG'!$P$6:$P$505,$L185)))</f>
        <v/>
      </c>
      <c r="H185" s="10" t="str">
        <f aca="false">IF($L185="","",N(INDEX('NHẬP ĐƠN HÀNG'!$Q$6:$Q$505,$L185)))</f>
        <v/>
      </c>
      <c r="I185" s="10" t="str">
        <f aca="false">IF($L185="","",N(INDEX('NHẬP ĐƠN HÀNG'!$R$6:$R$505,$L185)))</f>
        <v/>
      </c>
      <c r="J185" s="10" t="str">
        <f aca="true">IF(OR($L185="",$B185=""),"",MAX(0,TODAY()-$B185))</f>
        <v/>
      </c>
      <c r="K185" s="16" t="str">
        <f aca="false">IF($L185="","",IF(INDEX('NHẬP ĐƠN HÀNG'!$W$6:$W$505,$L185)="","",INDEX('NHẬP ĐƠN HÀNG'!$W$6:$W$505,$L185)))</f>
        <v/>
      </c>
      <c r="L185" s="0" t="str">
        <f aca="false">IFERROR(MATCH(180,'NHẬP ĐƠN HÀNG'!$Y$6:$Y$505,0),"")</f>
        <v/>
      </c>
    </row>
    <row r="186" customFormat="false" ht="15" hidden="false" customHeight="false" outlineLevel="0" collapsed="false">
      <c r="A186" s="16" t="str">
        <f aca="false">IF($L186="","",181)</f>
        <v/>
      </c>
      <c r="B186" s="34" t="str">
        <f aca="false">IF($L186="","",IF(INDEX('NHẬP ĐƠN HÀNG'!$B$6:$B$505,$L186)="","",INDEX('NHẬP ĐƠN HÀNG'!$B$6:$B$505,$L186)))</f>
        <v/>
      </c>
      <c r="C186" s="16" t="str">
        <f aca="false">IF($L186="","",IF(INDEX('NHẬP ĐƠN HÀNG'!$C$6:$C$505,$L186)="","",INDEX('NHẬP ĐƠN HÀNG'!$C$6:$C$505,$L186)))</f>
        <v/>
      </c>
      <c r="D186" s="16" t="str">
        <f aca="false">IF($L186="","",IF(INDEX('NHẬP ĐƠN HÀNG'!$D$6:$D$505,$L186)="","",INDEX('NHẬP ĐƠN HÀNG'!$D$6:$D$505,$L186)))</f>
        <v/>
      </c>
      <c r="E186" s="16" t="str">
        <f aca="false">IF($L186="","",IF(INDEX('NHẬP ĐƠN HÀNG'!$H$6:$H$505,$L186)="","",INDEX('NHẬP ĐƠN HÀNG'!$H$6:$H$505,$L186)))</f>
        <v/>
      </c>
      <c r="F186" s="10" t="str">
        <f aca="false">IF($L186="","",N(INDEX('NHẬP ĐƠN HÀNG'!$I$6:$I$505,$L186)))</f>
        <v/>
      </c>
      <c r="G186" s="10" t="str">
        <f aca="false">IF($L186="","",N(INDEX('NHẬP ĐƠN HÀNG'!$P$6:$P$505,$L186)))</f>
        <v/>
      </c>
      <c r="H186" s="10" t="str">
        <f aca="false">IF($L186="","",N(INDEX('NHẬP ĐƠN HÀNG'!$Q$6:$Q$505,$L186)))</f>
        <v/>
      </c>
      <c r="I186" s="10" t="str">
        <f aca="false">IF($L186="","",N(INDEX('NHẬP ĐƠN HÀNG'!$R$6:$R$505,$L186)))</f>
        <v/>
      </c>
      <c r="J186" s="10" t="str">
        <f aca="true">IF(OR($L186="",$B186=""),"",MAX(0,TODAY()-$B186))</f>
        <v/>
      </c>
      <c r="K186" s="16" t="str">
        <f aca="false">IF($L186="","",IF(INDEX('NHẬP ĐƠN HÀNG'!$W$6:$W$505,$L186)="","",INDEX('NHẬP ĐƠN HÀNG'!$W$6:$W$505,$L186)))</f>
        <v/>
      </c>
      <c r="L186" s="0" t="str">
        <f aca="false">IFERROR(MATCH(181,'NHẬP ĐƠN HÀNG'!$Y$6:$Y$505,0),"")</f>
        <v/>
      </c>
    </row>
    <row r="187" customFormat="false" ht="15" hidden="false" customHeight="false" outlineLevel="0" collapsed="false">
      <c r="A187" s="16" t="str">
        <f aca="false">IF($L187="","",182)</f>
        <v/>
      </c>
      <c r="B187" s="34" t="str">
        <f aca="false">IF($L187="","",IF(INDEX('NHẬP ĐƠN HÀNG'!$B$6:$B$505,$L187)="","",INDEX('NHẬP ĐƠN HÀNG'!$B$6:$B$505,$L187)))</f>
        <v/>
      </c>
      <c r="C187" s="16" t="str">
        <f aca="false">IF($L187="","",IF(INDEX('NHẬP ĐƠN HÀNG'!$C$6:$C$505,$L187)="","",INDEX('NHẬP ĐƠN HÀNG'!$C$6:$C$505,$L187)))</f>
        <v/>
      </c>
      <c r="D187" s="16" t="str">
        <f aca="false">IF($L187="","",IF(INDEX('NHẬP ĐƠN HÀNG'!$D$6:$D$505,$L187)="","",INDEX('NHẬP ĐƠN HÀNG'!$D$6:$D$505,$L187)))</f>
        <v/>
      </c>
      <c r="E187" s="16" t="str">
        <f aca="false">IF($L187="","",IF(INDEX('NHẬP ĐƠN HÀNG'!$H$6:$H$505,$L187)="","",INDEX('NHẬP ĐƠN HÀNG'!$H$6:$H$505,$L187)))</f>
        <v/>
      </c>
      <c r="F187" s="10" t="str">
        <f aca="false">IF($L187="","",N(INDEX('NHẬP ĐƠN HÀNG'!$I$6:$I$505,$L187)))</f>
        <v/>
      </c>
      <c r="G187" s="10" t="str">
        <f aca="false">IF($L187="","",N(INDEX('NHẬP ĐƠN HÀNG'!$P$6:$P$505,$L187)))</f>
        <v/>
      </c>
      <c r="H187" s="10" t="str">
        <f aca="false">IF($L187="","",N(INDEX('NHẬP ĐƠN HÀNG'!$Q$6:$Q$505,$L187)))</f>
        <v/>
      </c>
      <c r="I187" s="10" t="str">
        <f aca="false">IF($L187="","",N(INDEX('NHẬP ĐƠN HÀNG'!$R$6:$R$505,$L187)))</f>
        <v/>
      </c>
      <c r="J187" s="10" t="str">
        <f aca="true">IF(OR($L187="",$B187=""),"",MAX(0,TODAY()-$B187))</f>
        <v/>
      </c>
      <c r="K187" s="16" t="str">
        <f aca="false">IF($L187="","",IF(INDEX('NHẬP ĐƠN HÀNG'!$W$6:$W$505,$L187)="","",INDEX('NHẬP ĐƠN HÀNG'!$W$6:$W$505,$L187)))</f>
        <v/>
      </c>
      <c r="L187" s="0" t="str">
        <f aca="false">IFERROR(MATCH(182,'NHẬP ĐƠN HÀNG'!$Y$6:$Y$505,0),"")</f>
        <v/>
      </c>
    </row>
    <row r="188" customFormat="false" ht="15" hidden="false" customHeight="false" outlineLevel="0" collapsed="false">
      <c r="A188" s="16" t="str">
        <f aca="false">IF($L188="","",183)</f>
        <v/>
      </c>
      <c r="B188" s="34" t="str">
        <f aca="false">IF($L188="","",IF(INDEX('NHẬP ĐƠN HÀNG'!$B$6:$B$505,$L188)="","",INDEX('NHẬP ĐƠN HÀNG'!$B$6:$B$505,$L188)))</f>
        <v/>
      </c>
      <c r="C188" s="16" t="str">
        <f aca="false">IF($L188="","",IF(INDEX('NHẬP ĐƠN HÀNG'!$C$6:$C$505,$L188)="","",INDEX('NHẬP ĐƠN HÀNG'!$C$6:$C$505,$L188)))</f>
        <v/>
      </c>
      <c r="D188" s="16" t="str">
        <f aca="false">IF($L188="","",IF(INDEX('NHẬP ĐƠN HÀNG'!$D$6:$D$505,$L188)="","",INDEX('NHẬP ĐƠN HÀNG'!$D$6:$D$505,$L188)))</f>
        <v/>
      </c>
      <c r="E188" s="16" t="str">
        <f aca="false">IF($L188="","",IF(INDEX('NHẬP ĐƠN HÀNG'!$H$6:$H$505,$L188)="","",INDEX('NHẬP ĐƠN HÀNG'!$H$6:$H$505,$L188)))</f>
        <v/>
      </c>
      <c r="F188" s="10" t="str">
        <f aca="false">IF($L188="","",N(INDEX('NHẬP ĐƠN HÀNG'!$I$6:$I$505,$L188)))</f>
        <v/>
      </c>
      <c r="G188" s="10" t="str">
        <f aca="false">IF($L188="","",N(INDEX('NHẬP ĐƠN HÀNG'!$P$6:$P$505,$L188)))</f>
        <v/>
      </c>
      <c r="H188" s="10" t="str">
        <f aca="false">IF($L188="","",N(INDEX('NHẬP ĐƠN HÀNG'!$Q$6:$Q$505,$L188)))</f>
        <v/>
      </c>
      <c r="I188" s="10" t="str">
        <f aca="false">IF($L188="","",N(INDEX('NHẬP ĐƠN HÀNG'!$R$6:$R$505,$L188)))</f>
        <v/>
      </c>
      <c r="J188" s="10" t="str">
        <f aca="true">IF(OR($L188="",$B188=""),"",MAX(0,TODAY()-$B188))</f>
        <v/>
      </c>
      <c r="K188" s="16" t="str">
        <f aca="false">IF($L188="","",IF(INDEX('NHẬP ĐƠN HÀNG'!$W$6:$W$505,$L188)="","",INDEX('NHẬP ĐƠN HÀNG'!$W$6:$W$505,$L188)))</f>
        <v/>
      </c>
      <c r="L188" s="0" t="str">
        <f aca="false">IFERROR(MATCH(183,'NHẬP ĐƠN HÀNG'!$Y$6:$Y$505,0),"")</f>
        <v/>
      </c>
    </row>
    <row r="189" customFormat="false" ht="15" hidden="false" customHeight="false" outlineLevel="0" collapsed="false">
      <c r="A189" s="16" t="str">
        <f aca="false">IF($L189="","",184)</f>
        <v/>
      </c>
      <c r="B189" s="34" t="str">
        <f aca="false">IF($L189="","",IF(INDEX('NHẬP ĐƠN HÀNG'!$B$6:$B$505,$L189)="","",INDEX('NHẬP ĐƠN HÀNG'!$B$6:$B$505,$L189)))</f>
        <v/>
      </c>
      <c r="C189" s="16" t="str">
        <f aca="false">IF($L189="","",IF(INDEX('NHẬP ĐƠN HÀNG'!$C$6:$C$505,$L189)="","",INDEX('NHẬP ĐƠN HÀNG'!$C$6:$C$505,$L189)))</f>
        <v/>
      </c>
      <c r="D189" s="16" t="str">
        <f aca="false">IF($L189="","",IF(INDEX('NHẬP ĐƠN HÀNG'!$D$6:$D$505,$L189)="","",INDEX('NHẬP ĐƠN HÀNG'!$D$6:$D$505,$L189)))</f>
        <v/>
      </c>
      <c r="E189" s="16" t="str">
        <f aca="false">IF($L189="","",IF(INDEX('NHẬP ĐƠN HÀNG'!$H$6:$H$505,$L189)="","",INDEX('NHẬP ĐƠN HÀNG'!$H$6:$H$505,$L189)))</f>
        <v/>
      </c>
      <c r="F189" s="10" t="str">
        <f aca="false">IF($L189="","",N(INDEX('NHẬP ĐƠN HÀNG'!$I$6:$I$505,$L189)))</f>
        <v/>
      </c>
      <c r="G189" s="10" t="str">
        <f aca="false">IF($L189="","",N(INDEX('NHẬP ĐƠN HÀNG'!$P$6:$P$505,$L189)))</f>
        <v/>
      </c>
      <c r="H189" s="10" t="str">
        <f aca="false">IF($L189="","",N(INDEX('NHẬP ĐƠN HÀNG'!$Q$6:$Q$505,$L189)))</f>
        <v/>
      </c>
      <c r="I189" s="10" t="str">
        <f aca="false">IF($L189="","",N(INDEX('NHẬP ĐƠN HÀNG'!$R$6:$R$505,$L189)))</f>
        <v/>
      </c>
      <c r="J189" s="10" t="str">
        <f aca="true">IF(OR($L189="",$B189=""),"",MAX(0,TODAY()-$B189))</f>
        <v/>
      </c>
      <c r="K189" s="16" t="str">
        <f aca="false">IF($L189="","",IF(INDEX('NHẬP ĐƠN HÀNG'!$W$6:$W$505,$L189)="","",INDEX('NHẬP ĐƠN HÀNG'!$W$6:$W$505,$L189)))</f>
        <v/>
      </c>
      <c r="L189" s="0" t="str">
        <f aca="false">IFERROR(MATCH(184,'NHẬP ĐƠN HÀNG'!$Y$6:$Y$505,0),"")</f>
        <v/>
      </c>
    </row>
    <row r="190" customFormat="false" ht="15" hidden="false" customHeight="false" outlineLevel="0" collapsed="false">
      <c r="A190" s="16" t="str">
        <f aca="false">IF($L190="","",185)</f>
        <v/>
      </c>
      <c r="B190" s="34" t="str">
        <f aca="false">IF($L190="","",IF(INDEX('NHẬP ĐƠN HÀNG'!$B$6:$B$505,$L190)="","",INDEX('NHẬP ĐƠN HÀNG'!$B$6:$B$505,$L190)))</f>
        <v/>
      </c>
      <c r="C190" s="16" t="str">
        <f aca="false">IF($L190="","",IF(INDEX('NHẬP ĐƠN HÀNG'!$C$6:$C$505,$L190)="","",INDEX('NHẬP ĐƠN HÀNG'!$C$6:$C$505,$L190)))</f>
        <v/>
      </c>
      <c r="D190" s="16" t="str">
        <f aca="false">IF($L190="","",IF(INDEX('NHẬP ĐƠN HÀNG'!$D$6:$D$505,$L190)="","",INDEX('NHẬP ĐƠN HÀNG'!$D$6:$D$505,$L190)))</f>
        <v/>
      </c>
      <c r="E190" s="16" t="str">
        <f aca="false">IF($L190="","",IF(INDEX('NHẬP ĐƠN HÀNG'!$H$6:$H$505,$L190)="","",INDEX('NHẬP ĐƠN HÀNG'!$H$6:$H$505,$L190)))</f>
        <v/>
      </c>
      <c r="F190" s="10" t="str">
        <f aca="false">IF($L190="","",N(INDEX('NHẬP ĐƠN HÀNG'!$I$6:$I$505,$L190)))</f>
        <v/>
      </c>
      <c r="G190" s="10" t="str">
        <f aca="false">IF($L190="","",N(INDEX('NHẬP ĐƠN HÀNG'!$P$6:$P$505,$L190)))</f>
        <v/>
      </c>
      <c r="H190" s="10" t="str">
        <f aca="false">IF($L190="","",N(INDEX('NHẬP ĐƠN HÀNG'!$Q$6:$Q$505,$L190)))</f>
        <v/>
      </c>
      <c r="I190" s="10" t="str">
        <f aca="false">IF($L190="","",N(INDEX('NHẬP ĐƠN HÀNG'!$R$6:$R$505,$L190)))</f>
        <v/>
      </c>
      <c r="J190" s="10" t="str">
        <f aca="true">IF(OR($L190="",$B190=""),"",MAX(0,TODAY()-$B190))</f>
        <v/>
      </c>
      <c r="K190" s="16" t="str">
        <f aca="false">IF($L190="","",IF(INDEX('NHẬP ĐƠN HÀNG'!$W$6:$W$505,$L190)="","",INDEX('NHẬP ĐƠN HÀNG'!$W$6:$W$505,$L190)))</f>
        <v/>
      </c>
      <c r="L190" s="0" t="str">
        <f aca="false">IFERROR(MATCH(185,'NHẬP ĐƠN HÀNG'!$Y$6:$Y$505,0),"")</f>
        <v/>
      </c>
    </row>
    <row r="191" customFormat="false" ht="15" hidden="false" customHeight="false" outlineLevel="0" collapsed="false">
      <c r="A191" s="16" t="str">
        <f aca="false">IF($L191="","",186)</f>
        <v/>
      </c>
      <c r="B191" s="34" t="str">
        <f aca="false">IF($L191="","",IF(INDEX('NHẬP ĐƠN HÀNG'!$B$6:$B$505,$L191)="","",INDEX('NHẬP ĐƠN HÀNG'!$B$6:$B$505,$L191)))</f>
        <v/>
      </c>
      <c r="C191" s="16" t="str">
        <f aca="false">IF($L191="","",IF(INDEX('NHẬP ĐƠN HÀNG'!$C$6:$C$505,$L191)="","",INDEX('NHẬP ĐƠN HÀNG'!$C$6:$C$505,$L191)))</f>
        <v/>
      </c>
      <c r="D191" s="16" t="str">
        <f aca="false">IF($L191="","",IF(INDEX('NHẬP ĐƠN HÀNG'!$D$6:$D$505,$L191)="","",INDEX('NHẬP ĐƠN HÀNG'!$D$6:$D$505,$L191)))</f>
        <v/>
      </c>
      <c r="E191" s="16" t="str">
        <f aca="false">IF($L191="","",IF(INDEX('NHẬP ĐƠN HÀNG'!$H$6:$H$505,$L191)="","",INDEX('NHẬP ĐƠN HÀNG'!$H$6:$H$505,$L191)))</f>
        <v/>
      </c>
      <c r="F191" s="10" t="str">
        <f aca="false">IF($L191="","",N(INDEX('NHẬP ĐƠN HÀNG'!$I$6:$I$505,$L191)))</f>
        <v/>
      </c>
      <c r="G191" s="10" t="str">
        <f aca="false">IF($L191="","",N(INDEX('NHẬP ĐƠN HÀNG'!$P$6:$P$505,$L191)))</f>
        <v/>
      </c>
      <c r="H191" s="10" t="str">
        <f aca="false">IF($L191="","",N(INDEX('NHẬP ĐƠN HÀNG'!$Q$6:$Q$505,$L191)))</f>
        <v/>
      </c>
      <c r="I191" s="10" t="str">
        <f aca="false">IF($L191="","",N(INDEX('NHẬP ĐƠN HÀNG'!$R$6:$R$505,$L191)))</f>
        <v/>
      </c>
      <c r="J191" s="10" t="str">
        <f aca="true">IF(OR($L191="",$B191=""),"",MAX(0,TODAY()-$B191))</f>
        <v/>
      </c>
      <c r="K191" s="16" t="str">
        <f aca="false">IF($L191="","",IF(INDEX('NHẬP ĐƠN HÀNG'!$W$6:$W$505,$L191)="","",INDEX('NHẬP ĐƠN HÀNG'!$W$6:$W$505,$L191)))</f>
        <v/>
      </c>
      <c r="L191" s="0" t="str">
        <f aca="false">IFERROR(MATCH(186,'NHẬP ĐƠN HÀNG'!$Y$6:$Y$505,0),"")</f>
        <v/>
      </c>
    </row>
    <row r="192" customFormat="false" ht="15" hidden="false" customHeight="false" outlineLevel="0" collapsed="false">
      <c r="A192" s="16" t="str">
        <f aca="false">IF($L192="","",187)</f>
        <v/>
      </c>
      <c r="B192" s="34" t="str">
        <f aca="false">IF($L192="","",IF(INDEX('NHẬP ĐƠN HÀNG'!$B$6:$B$505,$L192)="","",INDEX('NHẬP ĐƠN HÀNG'!$B$6:$B$505,$L192)))</f>
        <v/>
      </c>
      <c r="C192" s="16" t="str">
        <f aca="false">IF($L192="","",IF(INDEX('NHẬP ĐƠN HÀNG'!$C$6:$C$505,$L192)="","",INDEX('NHẬP ĐƠN HÀNG'!$C$6:$C$505,$L192)))</f>
        <v/>
      </c>
      <c r="D192" s="16" t="str">
        <f aca="false">IF($L192="","",IF(INDEX('NHẬP ĐƠN HÀNG'!$D$6:$D$505,$L192)="","",INDEX('NHẬP ĐƠN HÀNG'!$D$6:$D$505,$L192)))</f>
        <v/>
      </c>
      <c r="E192" s="16" t="str">
        <f aca="false">IF($L192="","",IF(INDEX('NHẬP ĐƠN HÀNG'!$H$6:$H$505,$L192)="","",INDEX('NHẬP ĐƠN HÀNG'!$H$6:$H$505,$L192)))</f>
        <v/>
      </c>
      <c r="F192" s="10" t="str">
        <f aca="false">IF($L192="","",N(INDEX('NHẬP ĐƠN HÀNG'!$I$6:$I$505,$L192)))</f>
        <v/>
      </c>
      <c r="G192" s="10" t="str">
        <f aca="false">IF($L192="","",N(INDEX('NHẬP ĐƠN HÀNG'!$P$6:$P$505,$L192)))</f>
        <v/>
      </c>
      <c r="H192" s="10" t="str">
        <f aca="false">IF($L192="","",N(INDEX('NHẬP ĐƠN HÀNG'!$Q$6:$Q$505,$L192)))</f>
        <v/>
      </c>
      <c r="I192" s="10" t="str">
        <f aca="false">IF($L192="","",N(INDEX('NHẬP ĐƠN HÀNG'!$R$6:$R$505,$L192)))</f>
        <v/>
      </c>
      <c r="J192" s="10" t="str">
        <f aca="true">IF(OR($L192="",$B192=""),"",MAX(0,TODAY()-$B192))</f>
        <v/>
      </c>
      <c r="K192" s="16" t="str">
        <f aca="false">IF($L192="","",IF(INDEX('NHẬP ĐƠN HÀNG'!$W$6:$W$505,$L192)="","",INDEX('NHẬP ĐƠN HÀNG'!$W$6:$W$505,$L192)))</f>
        <v/>
      </c>
      <c r="L192" s="0" t="str">
        <f aca="false">IFERROR(MATCH(187,'NHẬP ĐƠN HÀNG'!$Y$6:$Y$505,0),"")</f>
        <v/>
      </c>
    </row>
    <row r="193" customFormat="false" ht="15" hidden="false" customHeight="false" outlineLevel="0" collapsed="false">
      <c r="A193" s="16" t="str">
        <f aca="false">IF($L193="","",188)</f>
        <v/>
      </c>
      <c r="B193" s="34" t="str">
        <f aca="false">IF($L193="","",IF(INDEX('NHẬP ĐƠN HÀNG'!$B$6:$B$505,$L193)="","",INDEX('NHẬP ĐƠN HÀNG'!$B$6:$B$505,$L193)))</f>
        <v/>
      </c>
      <c r="C193" s="16" t="str">
        <f aca="false">IF($L193="","",IF(INDEX('NHẬP ĐƠN HÀNG'!$C$6:$C$505,$L193)="","",INDEX('NHẬP ĐƠN HÀNG'!$C$6:$C$505,$L193)))</f>
        <v/>
      </c>
      <c r="D193" s="16" t="str">
        <f aca="false">IF($L193="","",IF(INDEX('NHẬP ĐƠN HÀNG'!$D$6:$D$505,$L193)="","",INDEX('NHẬP ĐƠN HÀNG'!$D$6:$D$505,$L193)))</f>
        <v/>
      </c>
      <c r="E193" s="16" t="str">
        <f aca="false">IF($L193="","",IF(INDEX('NHẬP ĐƠN HÀNG'!$H$6:$H$505,$L193)="","",INDEX('NHẬP ĐƠN HÀNG'!$H$6:$H$505,$L193)))</f>
        <v/>
      </c>
      <c r="F193" s="10" t="str">
        <f aca="false">IF($L193="","",N(INDEX('NHẬP ĐƠN HÀNG'!$I$6:$I$505,$L193)))</f>
        <v/>
      </c>
      <c r="G193" s="10" t="str">
        <f aca="false">IF($L193="","",N(INDEX('NHẬP ĐƠN HÀNG'!$P$6:$P$505,$L193)))</f>
        <v/>
      </c>
      <c r="H193" s="10" t="str">
        <f aca="false">IF($L193="","",N(INDEX('NHẬP ĐƠN HÀNG'!$Q$6:$Q$505,$L193)))</f>
        <v/>
      </c>
      <c r="I193" s="10" t="str">
        <f aca="false">IF($L193="","",N(INDEX('NHẬP ĐƠN HÀNG'!$R$6:$R$505,$L193)))</f>
        <v/>
      </c>
      <c r="J193" s="10" t="str">
        <f aca="true">IF(OR($L193="",$B193=""),"",MAX(0,TODAY()-$B193))</f>
        <v/>
      </c>
      <c r="K193" s="16" t="str">
        <f aca="false">IF($L193="","",IF(INDEX('NHẬP ĐƠN HÀNG'!$W$6:$W$505,$L193)="","",INDEX('NHẬP ĐƠN HÀNG'!$W$6:$W$505,$L193)))</f>
        <v/>
      </c>
      <c r="L193" s="0" t="str">
        <f aca="false">IFERROR(MATCH(188,'NHẬP ĐƠN HÀNG'!$Y$6:$Y$505,0),"")</f>
        <v/>
      </c>
    </row>
    <row r="194" customFormat="false" ht="15" hidden="false" customHeight="false" outlineLevel="0" collapsed="false">
      <c r="A194" s="16" t="str">
        <f aca="false">IF($L194="","",189)</f>
        <v/>
      </c>
      <c r="B194" s="34" t="str">
        <f aca="false">IF($L194="","",IF(INDEX('NHẬP ĐƠN HÀNG'!$B$6:$B$505,$L194)="","",INDEX('NHẬP ĐƠN HÀNG'!$B$6:$B$505,$L194)))</f>
        <v/>
      </c>
      <c r="C194" s="16" t="str">
        <f aca="false">IF($L194="","",IF(INDEX('NHẬP ĐƠN HÀNG'!$C$6:$C$505,$L194)="","",INDEX('NHẬP ĐƠN HÀNG'!$C$6:$C$505,$L194)))</f>
        <v/>
      </c>
      <c r="D194" s="16" t="str">
        <f aca="false">IF($L194="","",IF(INDEX('NHẬP ĐƠN HÀNG'!$D$6:$D$505,$L194)="","",INDEX('NHẬP ĐƠN HÀNG'!$D$6:$D$505,$L194)))</f>
        <v/>
      </c>
      <c r="E194" s="16" t="str">
        <f aca="false">IF($L194="","",IF(INDEX('NHẬP ĐƠN HÀNG'!$H$6:$H$505,$L194)="","",INDEX('NHẬP ĐƠN HÀNG'!$H$6:$H$505,$L194)))</f>
        <v/>
      </c>
      <c r="F194" s="10" t="str">
        <f aca="false">IF($L194="","",N(INDEX('NHẬP ĐƠN HÀNG'!$I$6:$I$505,$L194)))</f>
        <v/>
      </c>
      <c r="G194" s="10" t="str">
        <f aca="false">IF($L194="","",N(INDEX('NHẬP ĐƠN HÀNG'!$P$6:$P$505,$L194)))</f>
        <v/>
      </c>
      <c r="H194" s="10" t="str">
        <f aca="false">IF($L194="","",N(INDEX('NHẬP ĐƠN HÀNG'!$Q$6:$Q$505,$L194)))</f>
        <v/>
      </c>
      <c r="I194" s="10" t="str">
        <f aca="false">IF($L194="","",N(INDEX('NHẬP ĐƠN HÀNG'!$R$6:$R$505,$L194)))</f>
        <v/>
      </c>
      <c r="J194" s="10" t="str">
        <f aca="true">IF(OR($L194="",$B194=""),"",MAX(0,TODAY()-$B194))</f>
        <v/>
      </c>
      <c r="K194" s="16" t="str">
        <f aca="false">IF($L194="","",IF(INDEX('NHẬP ĐƠN HÀNG'!$W$6:$W$505,$L194)="","",INDEX('NHẬP ĐƠN HÀNG'!$W$6:$W$505,$L194)))</f>
        <v/>
      </c>
      <c r="L194" s="0" t="str">
        <f aca="false">IFERROR(MATCH(189,'NHẬP ĐƠN HÀNG'!$Y$6:$Y$505,0),"")</f>
        <v/>
      </c>
    </row>
    <row r="195" customFormat="false" ht="15" hidden="false" customHeight="false" outlineLevel="0" collapsed="false">
      <c r="A195" s="16" t="str">
        <f aca="false">IF($L195="","",190)</f>
        <v/>
      </c>
      <c r="B195" s="34" t="str">
        <f aca="false">IF($L195="","",IF(INDEX('NHẬP ĐƠN HÀNG'!$B$6:$B$505,$L195)="","",INDEX('NHẬP ĐƠN HÀNG'!$B$6:$B$505,$L195)))</f>
        <v/>
      </c>
      <c r="C195" s="16" t="str">
        <f aca="false">IF($L195="","",IF(INDEX('NHẬP ĐƠN HÀNG'!$C$6:$C$505,$L195)="","",INDEX('NHẬP ĐƠN HÀNG'!$C$6:$C$505,$L195)))</f>
        <v/>
      </c>
      <c r="D195" s="16" t="str">
        <f aca="false">IF($L195="","",IF(INDEX('NHẬP ĐƠN HÀNG'!$D$6:$D$505,$L195)="","",INDEX('NHẬP ĐƠN HÀNG'!$D$6:$D$505,$L195)))</f>
        <v/>
      </c>
      <c r="E195" s="16" t="str">
        <f aca="false">IF($L195="","",IF(INDEX('NHẬP ĐƠN HÀNG'!$H$6:$H$505,$L195)="","",INDEX('NHẬP ĐƠN HÀNG'!$H$6:$H$505,$L195)))</f>
        <v/>
      </c>
      <c r="F195" s="10" t="str">
        <f aca="false">IF($L195="","",N(INDEX('NHẬP ĐƠN HÀNG'!$I$6:$I$505,$L195)))</f>
        <v/>
      </c>
      <c r="G195" s="10" t="str">
        <f aca="false">IF($L195="","",N(INDEX('NHẬP ĐƠN HÀNG'!$P$6:$P$505,$L195)))</f>
        <v/>
      </c>
      <c r="H195" s="10" t="str">
        <f aca="false">IF($L195="","",N(INDEX('NHẬP ĐƠN HÀNG'!$Q$6:$Q$505,$L195)))</f>
        <v/>
      </c>
      <c r="I195" s="10" t="str">
        <f aca="false">IF($L195="","",N(INDEX('NHẬP ĐƠN HÀNG'!$R$6:$R$505,$L195)))</f>
        <v/>
      </c>
      <c r="J195" s="10" t="str">
        <f aca="true">IF(OR($L195="",$B195=""),"",MAX(0,TODAY()-$B195))</f>
        <v/>
      </c>
      <c r="K195" s="16" t="str">
        <f aca="false">IF($L195="","",IF(INDEX('NHẬP ĐƠN HÀNG'!$W$6:$W$505,$L195)="","",INDEX('NHẬP ĐƠN HÀNG'!$W$6:$W$505,$L195)))</f>
        <v/>
      </c>
      <c r="L195" s="0" t="str">
        <f aca="false">IFERROR(MATCH(190,'NHẬP ĐƠN HÀNG'!$Y$6:$Y$505,0),"")</f>
        <v/>
      </c>
    </row>
    <row r="196" customFormat="false" ht="15" hidden="false" customHeight="false" outlineLevel="0" collapsed="false">
      <c r="A196" s="16" t="str">
        <f aca="false">IF($L196="","",191)</f>
        <v/>
      </c>
      <c r="B196" s="34" t="str">
        <f aca="false">IF($L196="","",IF(INDEX('NHẬP ĐƠN HÀNG'!$B$6:$B$505,$L196)="","",INDEX('NHẬP ĐƠN HÀNG'!$B$6:$B$505,$L196)))</f>
        <v/>
      </c>
      <c r="C196" s="16" t="str">
        <f aca="false">IF($L196="","",IF(INDEX('NHẬP ĐƠN HÀNG'!$C$6:$C$505,$L196)="","",INDEX('NHẬP ĐƠN HÀNG'!$C$6:$C$505,$L196)))</f>
        <v/>
      </c>
      <c r="D196" s="16" t="str">
        <f aca="false">IF($L196="","",IF(INDEX('NHẬP ĐƠN HÀNG'!$D$6:$D$505,$L196)="","",INDEX('NHẬP ĐƠN HÀNG'!$D$6:$D$505,$L196)))</f>
        <v/>
      </c>
      <c r="E196" s="16" t="str">
        <f aca="false">IF($L196="","",IF(INDEX('NHẬP ĐƠN HÀNG'!$H$6:$H$505,$L196)="","",INDEX('NHẬP ĐƠN HÀNG'!$H$6:$H$505,$L196)))</f>
        <v/>
      </c>
      <c r="F196" s="10" t="str">
        <f aca="false">IF($L196="","",N(INDEX('NHẬP ĐƠN HÀNG'!$I$6:$I$505,$L196)))</f>
        <v/>
      </c>
      <c r="G196" s="10" t="str">
        <f aca="false">IF($L196="","",N(INDEX('NHẬP ĐƠN HÀNG'!$P$6:$P$505,$L196)))</f>
        <v/>
      </c>
      <c r="H196" s="10" t="str">
        <f aca="false">IF($L196="","",N(INDEX('NHẬP ĐƠN HÀNG'!$Q$6:$Q$505,$L196)))</f>
        <v/>
      </c>
      <c r="I196" s="10" t="str">
        <f aca="false">IF($L196="","",N(INDEX('NHẬP ĐƠN HÀNG'!$R$6:$R$505,$L196)))</f>
        <v/>
      </c>
      <c r="J196" s="10" t="str">
        <f aca="true">IF(OR($L196="",$B196=""),"",MAX(0,TODAY()-$B196))</f>
        <v/>
      </c>
      <c r="K196" s="16" t="str">
        <f aca="false">IF($L196="","",IF(INDEX('NHẬP ĐƠN HÀNG'!$W$6:$W$505,$L196)="","",INDEX('NHẬP ĐƠN HÀNG'!$W$6:$W$505,$L196)))</f>
        <v/>
      </c>
      <c r="L196" s="0" t="str">
        <f aca="false">IFERROR(MATCH(191,'NHẬP ĐƠN HÀNG'!$Y$6:$Y$505,0),"")</f>
        <v/>
      </c>
    </row>
    <row r="197" customFormat="false" ht="15" hidden="false" customHeight="false" outlineLevel="0" collapsed="false">
      <c r="A197" s="16" t="str">
        <f aca="false">IF($L197="","",192)</f>
        <v/>
      </c>
      <c r="B197" s="34" t="str">
        <f aca="false">IF($L197="","",IF(INDEX('NHẬP ĐƠN HÀNG'!$B$6:$B$505,$L197)="","",INDEX('NHẬP ĐƠN HÀNG'!$B$6:$B$505,$L197)))</f>
        <v/>
      </c>
      <c r="C197" s="16" t="str">
        <f aca="false">IF($L197="","",IF(INDEX('NHẬP ĐƠN HÀNG'!$C$6:$C$505,$L197)="","",INDEX('NHẬP ĐƠN HÀNG'!$C$6:$C$505,$L197)))</f>
        <v/>
      </c>
      <c r="D197" s="16" t="str">
        <f aca="false">IF($L197="","",IF(INDEX('NHẬP ĐƠN HÀNG'!$D$6:$D$505,$L197)="","",INDEX('NHẬP ĐƠN HÀNG'!$D$6:$D$505,$L197)))</f>
        <v/>
      </c>
      <c r="E197" s="16" t="str">
        <f aca="false">IF($L197="","",IF(INDEX('NHẬP ĐƠN HÀNG'!$H$6:$H$505,$L197)="","",INDEX('NHẬP ĐƠN HÀNG'!$H$6:$H$505,$L197)))</f>
        <v/>
      </c>
      <c r="F197" s="10" t="str">
        <f aca="false">IF($L197="","",N(INDEX('NHẬP ĐƠN HÀNG'!$I$6:$I$505,$L197)))</f>
        <v/>
      </c>
      <c r="G197" s="10" t="str">
        <f aca="false">IF($L197="","",N(INDEX('NHẬP ĐƠN HÀNG'!$P$6:$P$505,$L197)))</f>
        <v/>
      </c>
      <c r="H197" s="10" t="str">
        <f aca="false">IF($L197="","",N(INDEX('NHẬP ĐƠN HÀNG'!$Q$6:$Q$505,$L197)))</f>
        <v/>
      </c>
      <c r="I197" s="10" t="str">
        <f aca="false">IF($L197="","",N(INDEX('NHẬP ĐƠN HÀNG'!$R$6:$R$505,$L197)))</f>
        <v/>
      </c>
      <c r="J197" s="10" t="str">
        <f aca="true">IF(OR($L197="",$B197=""),"",MAX(0,TODAY()-$B197))</f>
        <v/>
      </c>
      <c r="K197" s="16" t="str">
        <f aca="false">IF($L197="","",IF(INDEX('NHẬP ĐƠN HÀNG'!$W$6:$W$505,$L197)="","",INDEX('NHẬP ĐƠN HÀNG'!$W$6:$W$505,$L197)))</f>
        <v/>
      </c>
      <c r="L197" s="0" t="str">
        <f aca="false">IFERROR(MATCH(192,'NHẬP ĐƠN HÀNG'!$Y$6:$Y$505,0),"")</f>
        <v/>
      </c>
    </row>
    <row r="198" customFormat="false" ht="15" hidden="false" customHeight="false" outlineLevel="0" collapsed="false">
      <c r="A198" s="16" t="str">
        <f aca="false">IF($L198="","",193)</f>
        <v/>
      </c>
      <c r="B198" s="34" t="str">
        <f aca="false">IF($L198="","",IF(INDEX('NHẬP ĐƠN HÀNG'!$B$6:$B$505,$L198)="","",INDEX('NHẬP ĐƠN HÀNG'!$B$6:$B$505,$L198)))</f>
        <v/>
      </c>
      <c r="C198" s="16" t="str">
        <f aca="false">IF($L198="","",IF(INDEX('NHẬP ĐƠN HÀNG'!$C$6:$C$505,$L198)="","",INDEX('NHẬP ĐƠN HÀNG'!$C$6:$C$505,$L198)))</f>
        <v/>
      </c>
      <c r="D198" s="16" t="str">
        <f aca="false">IF($L198="","",IF(INDEX('NHẬP ĐƠN HÀNG'!$D$6:$D$505,$L198)="","",INDEX('NHẬP ĐƠN HÀNG'!$D$6:$D$505,$L198)))</f>
        <v/>
      </c>
      <c r="E198" s="16" t="str">
        <f aca="false">IF($L198="","",IF(INDEX('NHẬP ĐƠN HÀNG'!$H$6:$H$505,$L198)="","",INDEX('NHẬP ĐƠN HÀNG'!$H$6:$H$505,$L198)))</f>
        <v/>
      </c>
      <c r="F198" s="10" t="str">
        <f aca="false">IF($L198="","",N(INDEX('NHẬP ĐƠN HÀNG'!$I$6:$I$505,$L198)))</f>
        <v/>
      </c>
      <c r="G198" s="10" t="str">
        <f aca="false">IF($L198="","",N(INDEX('NHẬP ĐƠN HÀNG'!$P$6:$P$505,$L198)))</f>
        <v/>
      </c>
      <c r="H198" s="10" t="str">
        <f aca="false">IF($L198="","",N(INDEX('NHẬP ĐƠN HÀNG'!$Q$6:$Q$505,$L198)))</f>
        <v/>
      </c>
      <c r="I198" s="10" t="str">
        <f aca="false">IF($L198="","",N(INDEX('NHẬP ĐƠN HÀNG'!$R$6:$R$505,$L198)))</f>
        <v/>
      </c>
      <c r="J198" s="10" t="str">
        <f aca="true">IF(OR($L198="",$B198=""),"",MAX(0,TODAY()-$B198))</f>
        <v/>
      </c>
      <c r="K198" s="16" t="str">
        <f aca="false">IF($L198="","",IF(INDEX('NHẬP ĐƠN HÀNG'!$W$6:$W$505,$L198)="","",INDEX('NHẬP ĐƠN HÀNG'!$W$6:$W$505,$L198)))</f>
        <v/>
      </c>
      <c r="L198" s="0" t="str">
        <f aca="false">IFERROR(MATCH(193,'NHẬP ĐƠN HÀNG'!$Y$6:$Y$505,0),"")</f>
        <v/>
      </c>
    </row>
    <row r="199" customFormat="false" ht="15" hidden="false" customHeight="false" outlineLevel="0" collapsed="false">
      <c r="A199" s="16" t="str">
        <f aca="false">IF($L199="","",194)</f>
        <v/>
      </c>
      <c r="B199" s="34" t="str">
        <f aca="false">IF($L199="","",IF(INDEX('NHẬP ĐƠN HÀNG'!$B$6:$B$505,$L199)="","",INDEX('NHẬP ĐƠN HÀNG'!$B$6:$B$505,$L199)))</f>
        <v/>
      </c>
      <c r="C199" s="16" t="str">
        <f aca="false">IF($L199="","",IF(INDEX('NHẬP ĐƠN HÀNG'!$C$6:$C$505,$L199)="","",INDEX('NHẬP ĐƠN HÀNG'!$C$6:$C$505,$L199)))</f>
        <v/>
      </c>
      <c r="D199" s="16" t="str">
        <f aca="false">IF($L199="","",IF(INDEX('NHẬP ĐƠN HÀNG'!$D$6:$D$505,$L199)="","",INDEX('NHẬP ĐƠN HÀNG'!$D$6:$D$505,$L199)))</f>
        <v/>
      </c>
      <c r="E199" s="16" t="str">
        <f aca="false">IF($L199="","",IF(INDEX('NHẬP ĐƠN HÀNG'!$H$6:$H$505,$L199)="","",INDEX('NHẬP ĐƠN HÀNG'!$H$6:$H$505,$L199)))</f>
        <v/>
      </c>
      <c r="F199" s="10" t="str">
        <f aca="false">IF($L199="","",N(INDEX('NHẬP ĐƠN HÀNG'!$I$6:$I$505,$L199)))</f>
        <v/>
      </c>
      <c r="G199" s="10" t="str">
        <f aca="false">IF($L199="","",N(INDEX('NHẬP ĐƠN HÀNG'!$P$6:$P$505,$L199)))</f>
        <v/>
      </c>
      <c r="H199" s="10" t="str">
        <f aca="false">IF($L199="","",N(INDEX('NHẬP ĐƠN HÀNG'!$Q$6:$Q$505,$L199)))</f>
        <v/>
      </c>
      <c r="I199" s="10" t="str">
        <f aca="false">IF($L199="","",N(INDEX('NHẬP ĐƠN HÀNG'!$R$6:$R$505,$L199)))</f>
        <v/>
      </c>
      <c r="J199" s="10" t="str">
        <f aca="true">IF(OR($L199="",$B199=""),"",MAX(0,TODAY()-$B199))</f>
        <v/>
      </c>
      <c r="K199" s="16" t="str">
        <f aca="false">IF($L199="","",IF(INDEX('NHẬP ĐƠN HÀNG'!$W$6:$W$505,$L199)="","",INDEX('NHẬP ĐƠN HÀNG'!$W$6:$W$505,$L199)))</f>
        <v/>
      </c>
      <c r="L199" s="0" t="str">
        <f aca="false">IFERROR(MATCH(194,'NHẬP ĐƠN HÀNG'!$Y$6:$Y$505,0),"")</f>
        <v/>
      </c>
    </row>
    <row r="200" customFormat="false" ht="15" hidden="false" customHeight="false" outlineLevel="0" collapsed="false">
      <c r="A200" s="16" t="str">
        <f aca="false">IF($L200="","",195)</f>
        <v/>
      </c>
      <c r="B200" s="34" t="str">
        <f aca="false">IF($L200="","",IF(INDEX('NHẬP ĐƠN HÀNG'!$B$6:$B$505,$L200)="","",INDEX('NHẬP ĐƠN HÀNG'!$B$6:$B$505,$L200)))</f>
        <v/>
      </c>
      <c r="C200" s="16" t="str">
        <f aca="false">IF($L200="","",IF(INDEX('NHẬP ĐƠN HÀNG'!$C$6:$C$505,$L200)="","",INDEX('NHẬP ĐƠN HÀNG'!$C$6:$C$505,$L200)))</f>
        <v/>
      </c>
      <c r="D200" s="16" t="str">
        <f aca="false">IF($L200="","",IF(INDEX('NHẬP ĐƠN HÀNG'!$D$6:$D$505,$L200)="","",INDEX('NHẬP ĐƠN HÀNG'!$D$6:$D$505,$L200)))</f>
        <v/>
      </c>
      <c r="E200" s="16" t="str">
        <f aca="false">IF($L200="","",IF(INDEX('NHẬP ĐƠN HÀNG'!$H$6:$H$505,$L200)="","",INDEX('NHẬP ĐƠN HÀNG'!$H$6:$H$505,$L200)))</f>
        <v/>
      </c>
      <c r="F200" s="10" t="str">
        <f aca="false">IF($L200="","",N(INDEX('NHẬP ĐƠN HÀNG'!$I$6:$I$505,$L200)))</f>
        <v/>
      </c>
      <c r="G200" s="10" t="str">
        <f aca="false">IF($L200="","",N(INDEX('NHẬP ĐƠN HÀNG'!$P$6:$P$505,$L200)))</f>
        <v/>
      </c>
      <c r="H200" s="10" t="str">
        <f aca="false">IF($L200="","",N(INDEX('NHẬP ĐƠN HÀNG'!$Q$6:$Q$505,$L200)))</f>
        <v/>
      </c>
      <c r="I200" s="10" t="str">
        <f aca="false">IF($L200="","",N(INDEX('NHẬP ĐƠN HÀNG'!$R$6:$R$505,$L200)))</f>
        <v/>
      </c>
      <c r="J200" s="10" t="str">
        <f aca="true">IF(OR($L200="",$B200=""),"",MAX(0,TODAY()-$B200))</f>
        <v/>
      </c>
      <c r="K200" s="16" t="str">
        <f aca="false">IF($L200="","",IF(INDEX('NHẬP ĐƠN HÀNG'!$W$6:$W$505,$L200)="","",INDEX('NHẬP ĐƠN HÀNG'!$W$6:$W$505,$L200)))</f>
        <v/>
      </c>
      <c r="L200" s="0" t="str">
        <f aca="false">IFERROR(MATCH(195,'NHẬP ĐƠN HÀNG'!$Y$6:$Y$505,0),"")</f>
        <v/>
      </c>
    </row>
    <row r="201" customFormat="false" ht="15" hidden="false" customHeight="false" outlineLevel="0" collapsed="false">
      <c r="A201" s="16" t="str">
        <f aca="false">IF($L201="","",196)</f>
        <v/>
      </c>
      <c r="B201" s="34" t="str">
        <f aca="false">IF($L201="","",IF(INDEX('NHẬP ĐƠN HÀNG'!$B$6:$B$505,$L201)="","",INDEX('NHẬP ĐƠN HÀNG'!$B$6:$B$505,$L201)))</f>
        <v/>
      </c>
      <c r="C201" s="16" t="str">
        <f aca="false">IF($L201="","",IF(INDEX('NHẬP ĐƠN HÀNG'!$C$6:$C$505,$L201)="","",INDEX('NHẬP ĐƠN HÀNG'!$C$6:$C$505,$L201)))</f>
        <v/>
      </c>
      <c r="D201" s="16" t="str">
        <f aca="false">IF($L201="","",IF(INDEX('NHẬP ĐƠN HÀNG'!$D$6:$D$505,$L201)="","",INDEX('NHẬP ĐƠN HÀNG'!$D$6:$D$505,$L201)))</f>
        <v/>
      </c>
      <c r="E201" s="16" t="str">
        <f aca="false">IF($L201="","",IF(INDEX('NHẬP ĐƠN HÀNG'!$H$6:$H$505,$L201)="","",INDEX('NHẬP ĐƠN HÀNG'!$H$6:$H$505,$L201)))</f>
        <v/>
      </c>
      <c r="F201" s="10" t="str">
        <f aca="false">IF($L201="","",N(INDEX('NHẬP ĐƠN HÀNG'!$I$6:$I$505,$L201)))</f>
        <v/>
      </c>
      <c r="G201" s="10" t="str">
        <f aca="false">IF($L201="","",N(INDEX('NHẬP ĐƠN HÀNG'!$P$6:$P$505,$L201)))</f>
        <v/>
      </c>
      <c r="H201" s="10" t="str">
        <f aca="false">IF($L201="","",N(INDEX('NHẬP ĐƠN HÀNG'!$Q$6:$Q$505,$L201)))</f>
        <v/>
      </c>
      <c r="I201" s="10" t="str">
        <f aca="false">IF($L201="","",N(INDEX('NHẬP ĐƠN HÀNG'!$R$6:$R$505,$L201)))</f>
        <v/>
      </c>
      <c r="J201" s="10" t="str">
        <f aca="true">IF(OR($L201="",$B201=""),"",MAX(0,TODAY()-$B201))</f>
        <v/>
      </c>
      <c r="K201" s="16" t="str">
        <f aca="false">IF($L201="","",IF(INDEX('NHẬP ĐƠN HÀNG'!$W$6:$W$505,$L201)="","",INDEX('NHẬP ĐƠN HÀNG'!$W$6:$W$505,$L201)))</f>
        <v/>
      </c>
      <c r="L201" s="0" t="str">
        <f aca="false">IFERROR(MATCH(196,'NHẬP ĐƠN HÀNG'!$Y$6:$Y$505,0),"")</f>
        <v/>
      </c>
    </row>
    <row r="202" customFormat="false" ht="15" hidden="false" customHeight="false" outlineLevel="0" collapsed="false">
      <c r="A202" s="16" t="str">
        <f aca="false">IF($L202="","",197)</f>
        <v/>
      </c>
      <c r="B202" s="34" t="str">
        <f aca="false">IF($L202="","",IF(INDEX('NHẬP ĐƠN HÀNG'!$B$6:$B$505,$L202)="","",INDEX('NHẬP ĐƠN HÀNG'!$B$6:$B$505,$L202)))</f>
        <v/>
      </c>
      <c r="C202" s="16" t="str">
        <f aca="false">IF($L202="","",IF(INDEX('NHẬP ĐƠN HÀNG'!$C$6:$C$505,$L202)="","",INDEX('NHẬP ĐƠN HÀNG'!$C$6:$C$505,$L202)))</f>
        <v/>
      </c>
      <c r="D202" s="16" t="str">
        <f aca="false">IF($L202="","",IF(INDEX('NHẬP ĐƠN HÀNG'!$D$6:$D$505,$L202)="","",INDEX('NHẬP ĐƠN HÀNG'!$D$6:$D$505,$L202)))</f>
        <v/>
      </c>
      <c r="E202" s="16" t="str">
        <f aca="false">IF($L202="","",IF(INDEX('NHẬP ĐƠN HÀNG'!$H$6:$H$505,$L202)="","",INDEX('NHẬP ĐƠN HÀNG'!$H$6:$H$505,$L202)))</f>
        <v/>
      </c>
      <c r="F202" s="10" t="str">
        <f aca="false">IF($L202="","",N(INDEX('NHẬP ĐƠN HÀNG'!$I$6:$I$505,$L202)))</f>
        <v/>
      </c>
      <c r="G202" s="10" t="str">
        <f aca="false">IF($L202="","",N(INDEX('NHẬP ĐƠN HÀNG'!$P$6:$P$505,$L202)))</f>
        <v/>
      </c>
      <c r="H202" s="10" t="str">
        <f aca="false">IF($L202="","",N(INDEX('NHẬP ĐƠN HÀNG'!$Q$6:$Q$505,$L202)))</f>
        <v/>
      </c>
      <c r="I202" s="10" t="str">
        <f aca="false">IF($L202="","",N(INDEX('NHẬP ĐƠN HÀNG'!$R$6:$R$505,$L202)))</f>
        <v/>
      </c>
      <c r="J202" s="10" t="str">
        <f aca="true">IF(OR($L202="",$B202=""),"",MAX(0,TODAY()-$B202))</f>
        <v/>
      </c>
      <c r="K202" s="16" t="str">
        <f aca="false">IF($L202="","",IF(INDEX('NHẬP ĐƠN HÀNG'!$W$6:$W$505,$L202)="","",INDEX('NHẬP ĐƠN HÀNG'!$W$6:$W$505,$L202)))</f>
        <v/>
      </c>
      <c r="L202" s="0" t="str">
        <f aca="false">IFERROR(MATCH(197,'NHẬP ĐƠN HÀNG'!$Y$6:$Y$505,0),"")</f>
        <v/>
      </c>
    </row>
    <row r="203" customFormat="false" ht="15" hidden="false" customHeight="false" outlineLevel="0" collapsed="false">
      <c r="A203" s="16" t="str">
        <f aca="false">IF($L203="","",198)</f>
        <v/>
      </c>
      <c r="B203" s="34" t="str">
        <f aca="false">IF($L203="","",IF(INDEX('NHẬP ĐƠN HÀNG'!$B$6:$B$505,$L203)="","",INDEX('NHẬP ĐƠN HÀNG'!$B$6:$B$505,$L203)))</f>
        <v/>
      </c>
      <c r="C203" s="16" t="str">
        <f aca="false">IF($L203="","",IF(INDEX('NHẬP ĐƠN HÀNG'!$C$6:$C$505,$L203)="","",INDEX('NHẬP ĐƠN HÀNG'!$C$6:$C$505,$L203)))</f>
        <v/>
      </c>
      <c r="D203" s="16" t="str">
        <f aca="false">IF($L203="","",IF(INDEX('NHẬP ĐƠN HÀNG'!$D$6:$D$505,$L203)="","",INDEX('NHẬP ĐƠN HÀNG'!$D$6:$D$505,$L203)))</f>
        <v/>
      </c>
      <c r="E203" s="16" t="str">
        <f aca="false">IF($L203="","",IF(INDEX('NHẬP ĐƠN HÀNG'!$H$6:$H$505,$L203)="","",INDEX('NHẬP ĐƠN HÀNG'!$H$6:$H$505,$L203)))</f>
        <v/>
      </c>
      <c r="F203" s="10" t="str">
        <f aca="false">IF($L203="","",N(INDEX('NHẬP ĐƠN HÀNG'!$I$6:$I$505,$L203)))</f>
        <v/>
      </c>
      <c r="G203" s="10" t="str">
        <f aca="false">IF($L203="","",N(INDEX('NHẬP ĐƠN HÀNG'!$P$6:$P$505,$L203)))</f>
        <v/>
      </c>
      <c r="H203" s="10" t="str">
        <f aca="false">IF($L203="","",N(INDEX('NHẬP ĐƠN HÀNG'!$Q$6:$Q$505,$L203)))</f>
        <v/>
      </c>
      <c r="I203" s="10" t="str">
        <f aca="false">IF($L203="","",N(INDEX('NHẬP ĐƠN HÀNG'!$R$6:$R$505,$L203)))</f>
        <v/>
      </c>
      <c r="J203" s="10" t="str">
        <f aca="true">IF(OR($L203="",$B203=""),"",MAX(0,TODAY()-$B203))</f>
        <v/>
      </c>
      <c r="K203" s="16" t="str">
        <f aca="false">IF($L203="","",IF(INDEX('NHẬP ĐƠN HÀNG'!$W$6:$W$505,$L203)="","",INDEX('NHẬP ĐƠN HÀNG'!$W$6:$W$505,$L203)))</f>
        <v/>
      </c>
      <c r="L203" s="0" t="str">
        <f aca="false">IFERROR(MATCH(198,'NHẬP ĐƠN HÀNG'!$Y$6:$Y$505,0),"")</f>
        <v/>
      </c>
    </row>
    <row r="204" customFormat="false" ht="15" hidden="false" customHeight="false" outlineLevel="0" collapsed="false">
      <c r="A204" s="16" t="str">
        <f aca="false">IF($L204="","",199)</f>
        <v/>
      </c>
      <c r="B204" s="34" t="str">
        <f aca="false">IF($L204="","",IF(INDEX('NHẬP ĐƠN HÀNG'!$B$6:$B$505,$L204)="","",INDEX('NHẬP ĐƠN HÀNG'!$B$6:$B$505,$L204)))</f>
        <v/>
      </c>
      <c r="C204" s="16" t="str">
        <f aca="false">IF($L204="","",IF(INDEX('NHẬP ĐƠN HÀNG'!$C$6:$C$505,$L204)="","",INDEX('NHẬP ĐƠN HÀNG'!$C$6:$C$505,$L204)))</f>
        <v/>
      </c>
      <c r="D204" s="16" t="str">
        <f aca="false">IF($L204="","",IF(INDEX('NHẬP ĐƠN HÀNG'!$D$6:$D$505,$L204)="","",INDEX('NHẬP ĐƠN HÀNG'!$D$6:$D$505,$L204)))</f>
        <v/>
      </c>
      <c r="E204" s="16" t="str">
        <f aca="false">IF($L204="","",IF(INDEX('NHẬP ĐƠN HÀNG'!$H$6:$H$505,$L204)="","",INDEX('NHẬP ĐƠN HÀNG'!$H$6:$H$505,$L204)))</f>
        <v/>
      </c>
      <c r="F204" s="10" t="str">
        <f aca="false">IF($L204="","",N(INDEX('NHẬP ĐƠN HÀNG'!$I$6:$I$505,$L204)))</f>
        <v/>
      </c>
      <c r="G204" s="10" t="str">
        <f aca="false">IF($L204="","",N(INDEX('NHẬP ĐƠN HÀNG'!$P$6:$P$505,$L204)))</f>
        <v/>
      </c>
      <c r="H204" s="10" t="str">
        <f aca="false">IF($L204="","",N(INDEX('NHẬP ĐƠN HÀNG'!$Q$6:$Q$505,$L204)))</f>
        <v/>
      </c>
      <c r="I204" s="10" t="str">
        <f aca="false">IF($L204="","",N(INDEX('NHẬP ĐƠN HÀNG'!$R$6:$R$505,$L204)))</f>
        <v/>
      </c>
      <c r="J204" s="10" t="str">
        <f aca="true">IF(OR($L204="",$B204=""),"",MAX(0,TODAY()-$B204))</f>
        <v/>
      </c>
      <c r="K204" s="16" t="str">
        <f aca="false">IF($L204="","",IF(INDEX('NHẬP ĐƠN HÀNG'!$W$6:$W$505,$L204)="","",INDEX('NHẬP ĐƠN HÀNG'!$W$6:$W$505,$L204)))</f>
        <v/>
      </c>
      <c r="L204" s="0" t="str">
        <f aca="false">IFERROR(MATCH(199,'NHẬP ĐƠN HÀNG'!$Y$6:$Y$505,0),"")</f>
        <v/>
      </c>
    </row>
    <row r="205" customFormat="false" ht="15" hidden="false" customHeight="false" outlineLevel="0" collapsed="false">
      <c r="A205" s="16" t="str">
        <f aca="false">IF($L205="","",200)</f>
        <v/>
      </c>
      <c r="B205" s="34" t="str">
        <f aca="false">IF($L205="","",IF(INDEX('NHẬP ĐƠN HÀNG'!$B$6:$B$505,$L205)="","",INDEX('NHẬP ĐƠN HÀNG'!$B$6:$B$505,$L205)))</f>
        <v/>
      </c>
      <c r="C205" s="16" t="str">
        <f aca="false">IF($L205="","",IF(INDEX('NHẬP ĐƠN HÀNG'!$C$6:$C$505,$L205)="","",INDEX('NHẬP ĐƠN HÀNG'!$C$6:$C$505,$L205)))</f>
        <v/>
      </c>
      <c r="D205" s="16" t="str">
        <f aca="false">IF($L205="","",IF(INDEX('NHẬP ĐƠN HÀNG'!$D$6:$D$505,$L205)="","",INDEX('NHẬP ĐƠN HÀNG'!$D$6:$D$505,$L205)))</f>
        <v/>
      </c>
      <c r="E205" s="16" t="str">
        <f aca="false">IF($L205="","",IF(INDEX('NHẬP ĐƠN HÀNG'!$H$6:$H$505,$L205)="","",INDEX('NHẬP ĐƠN HÀNG'!$H$6:$H$505,$L205)))</f>
        <v/>
      </c>
      <c r="F205" s="10" t="str">
        <f aca="false">IF($L205="","",N(INDEX('NHẬP ĐƠN HÀNG'!$I$6:$I$505,$L205)))</f>
        <v/>
      </c>
      <c r="G205" s="10" t="str">
        <f aca="false">IF($L205="","",N(INDEX('NHẬP ĐƠN HÀNG'!$P$6:$P$505,$L205)))</f>
        <v/>
      </c>
      <c r="H205" s="10" t="str">
        <f aca="false">IF($L205="","",N(INDEX('NHẬP ĐƠN HÀNG'!$Q$6:$Q$505,$L205)))</f>
        <v/>
      </c>
      <c r="I205" s="10" t="str">
        <f aca="false">IF($L205="","",N(INDEX('NHẬP ĐƠN HÀNG'!$R$6:$R$505,$L205)))</f>
        <v/>
      </c>
      <c r="J205" s="10" t="str">
        <f aca="true">IF(OR($L205="",$B205=""),"",MAX(0,TODAY()-$B205))</f>
        <v/>
      </c>
      <c r="K205" s="16" t="str">
        <f aca="false">IF($L205="","",IF(INDEX('NHẬP ĐƠN HÀNG'!$W$6:$W$505,$L205)="","",INDEX('NHẬP ĐƠN HÀNG'!$W$6:$W$505,$L205)))</f>
        <v/>
      </c>
      <c r="L205" s="0" t="str">
        <f aca="false">IFERROR(MATCH(200,'NHẬP ĐƠN HÀNG'!$Y$6:$Y$505,0),"")</f>
        <v/>
      </c>
    </row>
  </sheetData>
  <autoFilter ref="A5:K205"/>
  <mergeCells count="2">
    <mergeCell ref="A1:K1"/>
    <mergeCell ref="A2:K2"/>
  </mergeCells>
  <conditionalFormatting sqref="J6:J205">
    <cfRule type="cellIs" priority="2" operator="greaterThan" aboveAverage="0" equalAverage="0" bottom="0" percent="0" rank="0" text="" dxfId="12">
      <formula>30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N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32"/>
    <col collapsed="false" customWidth="true" hidden="false" outlineLevel="0" max="5" min="5" style="0" width="16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7"/>
    <col collapsed="false" customWidth="true" hidden="false" outlineLevel="0" max="12" min="12" style="0" width="16"/>
    <col collapsed="false" customWidth="true" hidden="false" outlineLevel="0" max="13" min="13" style="0" width="15"/>
    <col collapsed="false" customWidth="true" hidden="true" outlineLevel="0" max="14" min="14" style="0" width="13"/>
  </cols>
  <sheetData>
    <row r="1" customFormat="false" ht="30" hidden="false" customHeight="true" outlineLevel="0" collapsed="false">
      <c r="A1" s="1" t="s">
        <v>170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A2" s="2" t="s">
        <v>171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37" t="s">
        <v>172</v>
      </c>
      <c r="B3" s="38" t="n">
        <f aca="false">SUMIF('NHẬP ĐƠN HÀNG'!$N$6:$N$505,"&gt;0",'NHẬP ĐƠN HÀNG'!$L$6:$L$505)</f>
        <v>1140000</v>
      </c>
      <c r="C3" s="37" t="s">
        <v>173</v>
      </c>
      <c r="D3" s="39" t="n">
        <f aca="false">SUM('NHẬP ĐƠN HÀNG'!$O$6:$O$505)</f>
        <v>91200</v>
      </c>
      <c r="E3" s="37" t="s">
        <v>174</v>
      </c>
      <c r="F3" s="38" t="n">
        <f aca="false">SUMIF('NHẬP ĐƠN HÀNG'!$N$6:$N$505,"&gt;0",'NHẬP ĐƠN HÀNG'!$P$6:$P$505)</f>
        <v>1231200</v>
      </c>
    </row>
    <row r="5" customFormat="false" ht="33.75" hidden="false" customHeight="true" outlineLevel="0" collapsed="false">
      <c r="A5" s="7" t="s">
        <v>92</v>
      </c>
      <c r="B5" s="7" t="s">
        <v>93</v>
      </c>
      <c r="C5" s="7" t="s">
        <v>94</v>
      </c>
      <c r="D5" s="7" t="s">
        <v>159</v>
      </c>
      <c r="E5" s="7" t="s">
        <v>160</v>
      </c>
      <c r="F5" s="7" t="s">
        <v>55</v>
      </c>
      <c r="G5" s="7" t="s">
        <v>99</v>
      </c>
      <c r="H5" s="7" t="s">
        <v>175</v>
      </c>
      <c r="I5" s="7" t="s">
        <v>102</v>
      </c>
      <c r="J5" s="7" t="s">
        <v>103</v>
      </c>
      <c r="K5" s="7" t="s">
        <v>176</v>
      </c>
      <c r="L5" s="7" t="s">
        <v>104</v>
      </c>
      <c r="M5" s="7" t="s">
        <v>90</v>
      </c>
    </row>
    <row r="6" customFormat="false" ht="15" hidden="false" customHeight="false" outlineLevel="0" collapsed="false">
      <c r="A6" s="16" t="n">
        <f aca="false">IF($N6="","",1)</f>
        <v>1</v>
      </c>
      <c r="B6" s="34" t="str">
        <f aca="false">IF($N6="","",IF(INDEX('NHẬP ĐƠN HÀNG'!$B$6:$B$505,$N6)="","",INDEX('NHẬP ĐƠN HÀNG'!$B$6:$B$505,$N6)))</f>
        <v/>
      </c>
      <c r="C6" s="16" t="str">
        <f aca="false">IF($N6="","",IF(INDEX('NHẬP ĐƠN HÀNG'!$C$6:$C$505,$N6)="","",INDEX('NHẬP ĐƠN HÀNG'!$C$6:$C$505,$N6)))</f>
        <v>BGB - GẤU TỐT NGHIỆP AMES EL</v>
      </c>
      <c r="D6" s="16" t="str">
        <f aca="false">IF($N6="","",IF(INDEX('NHẬP ĐƠN HÀNG'!$E$6:$E$505,$N6)="","",INDEX('NHẬP ĐƠN HÀNG'!$E$6:$E$505,$N6)))</f>
        <v>CÔNG TY CỔ PHẦN ĐÀO TẠO AMES - CHI NHÁNH THANH HÓA</v>
      </c>
      <c r="E6" s="16" t="str">
        <f aca="false">IF($N6="","",IF(INDEX('NHẬP ĐƠN HÀNG'!$F$6:$F$505,$N6)="","",INDEX('NHẬP ĐƠN HÀNG'!$F$6:$F$505,$N6)))</f>
        <v>0402018889-005</v>
      </c>
      <c r="F6" s="16" t="str">
        <f aca="false">IF($N6="","",IF(INDEX('NHẬP ĐƠN HÀNG'!$H$6:$H$505,$N6)="","",INDEX('NHẬP ĐƠN HÀNG'!$H$6:$H$505,$N6)))</f>
        <v>GẤU TỐT NGHIỆP</v>
      </c>
      <c r="G6" s="10" t="n">
        <f aca="false">IF($N6="","",N(INDEX('NHẬP ĐƠN HÀNG'!$I$6:$I$505,$N6)))</f>
        <v>20</v>
      </c>
      <c r="H6" s="10" t="n">
        <f aca="false">IF($N6="","",N(INDEX('NHẬP ĐƠN HÀNG'!$L$6:$L$505,$N6)))</f>
        <v>1140000</v>
      </c>
      <c r="I6" s="11" t="n">
        <f aca="false">IF($N6="","",N(INDEX('NHẬP ĐƠN HÀNG'!$N$6:$N$505,$N6)))</f>
        <v>0.08</v>
      </c>
      <c r="J6" s="10" t="n">
        <f aca="false">IF($N6="","",N(INDEX('NHẬP ĐƠN HÀNG'!$O$6:$O$505,$N6)))</f>
        <v>91200</v>
      </c>
      <c r="K6" s="10" t="n">
        <f aca="false">IF($N6="","",N(INDEX('NHẬP ĐƠN HÀNG'!$P$6:$P$505,$N6)))</f>
        <v>1231200</v>
      </c>
      <c r="L6" s="10" t="n">
        <f aca="false">IF($N6="","",N(INDEX('NHẬP ĐƠN HÀNG'!$Q$6:$Q$505,$N6)))</f>
        <v>0</v>
      </c>
      <c r="M6" s="10" t="n">
        <f aca="false">IF($N6="","",N(INDEX('NHẬP ĐƠN HÀNG'!$R$6:$R$505,$N6)))</f>
        <v>1231200</v>
      </c>
      <c r="N6" s="36" t="n">
        <f aca="false">IFERROR(MATCH(1,'NHẬP ĐƠN HÀNG'!$Z$6:$Z$505,0),"")</f>
        <v>1</v>
      </c>
    </row>
    <row r="7" customFormat="false" ht="15" hidden="false" customHeight="false" outlineLevel="0" collapsed="false">
      <c r="A7" s="16" t="str">
        <f aca="false">IF($N7="","",2)</f>
        <v/>
      </c>
      <c r="B7" s="34" t="str">
        <f aca="false">IF($N7="","",IF(INDEX('NHẬP ĐƠN HÀNG'!$B$6:$B$505,$N7)="","",INDEX('NHẬP ĐƠN HÀNG'!$B$6:$B$505,$N7)))</f>
        <v/>
      </c>
      <c r="C7" s="16" t="str">
        <f aca="false">IF($N7="","",IF(INDEX('NHẬP ĐƠN HÀNG'!$C$6:$C$505,$N7)="","",INDEX('NHẬP ĐƠN HÀNG'!$C$6:$C$505,$N7)))</f>
        <v/>
      </c>
      <c r="D7" s="16" t="str">
        <f aca="false">IF($N7="","",IF(INDEX('NHẬP ĐƠN HÀNG'!$E$6:$E$505,$N7)="","",INDEX('NHẬP ĐƠN HÀNG'!$E$6:$E$505,$N7)))</f>
        <v/>
      </c>
      <c r="E7" s="16" t="str">
        <f aca="false">IF($N7="","",IF(INDEX('NHẬP ĐƠN HÀNG'!$F$6:$F$505,$N7)="","",INDEX('NHẬP ĐƠN HÀNG'!$F$6:$F$505,$N7)))</f>
        <v/>
      </c>
      <c r="F7" s="16" t="str">
        <f aca="false">IF($N7="","",IF(INDEX('NHẬP ĐƠN HÀNG'!$H$6:$H$505,$N7)="","",INDEX('NHẬP ĐƠN HÀNG'!$H$6:$H$505,$N7)))</f>
        <v/>
      </c>
      <c r="G7" s="10" t="str">
        <f aca="false">IF($N7="","",N(INDEX('NHẬP ĐƠN HÀNG'!$I$6:$I$505,$N7)))</f>
        <v/>
      </c>
      <c r="H7" s="10" t="str">
        <f aca="false">IF($N7="","",N(INDEX('NHẬP ĐƠN HÀNG'!$L$6:$L$505,$N7)))</f>
        <v/>
      </c>
      <c r="I7" s="11" t="str">
        <f aca="false">IF($N7="","",N(INDEX('NHẬP ĐƠN HÀNG'!$N$6:$N$505,$N7)))</f>
        <v/>
      </c>
      <c r="J7" s="10" t="str">
        <f aca="false">IF($N7="","",N(INDEX('NHẬP ĐƠN HÀNG'!$O$6:$O$505,$N7)))</f>
        <v/>
      </c>
      <c r="K7" s="10" t="str">
        <f aca="false">IF($N7="","",N(INDEX('NHẬP ĐƠN HÀNG'!$P$6:$P$505,$N7)))</f>
        <v/>
      </c>
      <c r="L7" s="10" t="str">
        <f aca="false">IF($N7="","",N(INDEX('NHẬP ĐƠN HÀNG'!$Q$6:$Q$505,$N7)))</f>
        <v/>
      </c>
      <c r="M7" s="10" t="str">
        <f aca="false">IF($N7="","",N(INDEX('NHẬP ĐƠN HÀNG'!$R$6:$R$505,$N7)))</f>
        <v/>
      </c>
      <c r="N7" s="0" t="str">
        <f aca="false">IFERROR(MATCH(2,'NHẬP ĐƠN HÀNG'!$Z$6:$Z$505,0),"")</f>
        <v/>
      </c>
    </row>
    <row r="8" customFormat="false" ht="15" hidden="false" customHeight="false" outlineLevel="0" collapsed="false">
      <c r="A8" s="16" t="str">
        <f aca="false">IF($N8="","",3)</f>
        <v/>
      </c>
      <c r="B8" s="34" t="str">
        <f aca="false">IF($N8="","",IF(INDEX('NHẬP ĐƠN HÀNG'!$B$6:$B$505,$N8)="","",INDEX('NHẬP ĐƠN HÀNG'!$B$6:$B$505,$N8)))</f>
        <v/>
      </c>
      <c r="C8" s="16" t="str">
        <f aca="false">IF($N8="","",IF(INDEX('NHẬP ĐƠN HÀNG'!$C$6:$C$505,$N8)="","",INDEX('NHẬP ĐƠN HÀNG'!$C$6:$C$505,$N8)))</f>
        <v/>
      </c>
      <c r="D8" s="16" t="str">
        <f aca="false">IF($N8="","",IF(INDEX('NHẬP ĐƠN HÀNG'!$E$6:$E$505,$N8)="","",INDEX('NHẬP ĐƠN HÀNG'!$E$6:$E$505,$N8)))</f>
        <v/>
      </c>
      <c r="E8" s="16" t="str">
        <f aca="false">IF($N8="","",IF(INDEX('NHẬP ĐƠN HÀNG'!$F$6:$F$505,$N8)="","",INDEX('NHẬP ĐƠN HÀNG'!$F$6:$F$505,$N8)))</f>
        <v/>
      </c>
      <c r="F8" s="16" t="str">
        <f aca="false">IF($N8="","",IF(INDEX('NHẬP ĐƠN HÀNG'!$H$6:$H$505,$N8)="","",INDEX('NHẬP ĐƠN HÀNG'!$H$6:$H$505,$N8)))</f>
        <v/>
      </c>
      <c r="G8" s="10" t="str">
        <f aca="false">IF($N8="","",N(INDEX('NHẬP ĐƠN HÀNG'!$I$6:$I$505,$N8)))</f>
        <v/>
      </c>
      <c r="H8" s="10" t="str">
        <f aca="false">IF($N8="","",N(INDEX('NHẬP ĐƠN HÀNG'!$L$6:$L$505,$N8)))</f>
        <v/>
      </c>
      <c r="I8" s="11" t="str">
        <f aca="false">IF($N8="","",N(INDEX('NHẬP ĐƠN HÀNG'!$N$6:$N$505,$N8)))</f>
        <v/>
      </c>
      <c r="J8" s="10" t="str">
        <f aca="false">IF($N8="","",N(INDEX('NHẬP ĐƠN HÀNG'!$O$6:$O$505,$N8)))</f>
        <v/>
      </c>
      <c r="K8" s="10" t="str">
        <f aca="false">IF($N8="","",N(INDEX('NHẬP ĐƠN HÀNG'!$P$6:$P$505,$N8)))</f>
        <v/>
      </c>
      <c r="L8" s="10" t="str">
        <f aca="false">IF($N8="","",N(INDEX('NHẬP ĐƠN HÀNG'!$Q$6:$Q$505,$N8)))</f>
        <v/>
      </c>
      <c r="M8" s="10" t="str">
        <f aca="false">IF($N8="","",N(INDEX('NHẬP ĐƠN HÀNG'!$R$6:$R$505,$N8)))</f>
        <v/>
      </c>
      <c r="N8" s="0" t="str">
        <f aca="false">IFERROR(MATCH(3,'NHẬP ĐƠN HÀNG'!$Z$6:$Z$505,0),"")</f>
        <v/>
      </c>
    </row>
    <row r="9" customFormat="false" ht="15" hidden="false" customHeight="false" outlineLevel="0" collapsed="false">
      <c r="A9" s="16" t="str">
        <f aca="false">IF($N9="","",4)</f>
        <v/>
      </c>
      <c r="B9" s="34" t="str">
        <f aca="false">IF($N9="","",IF(INDEX('NHẬP ĐƠN HÀNG'!$B$6:$B$505,$N9)="","",INDEX('NHẬP ĐƠN HÀNG'!$B$6:$B$505,$N9)))</f>
        <v/>
      </c>
      <c r="C9" s="16" t="str">
        <f aca="false">IF($N9="","",IF(INDEX('NHẬP ĐƠN HÀNG'!$C$6:$C$505,$N9)="","",INDEX('NHẬP ĐƠN HÀNG'!$C$6:$C$505,$N9)))</f>
        <v/>
      </c>
      <c r="D9" s="16" t="str">
        <f aca="false">IF($N9="","",IF(INDEX('NHẬP ĐƠN HÀNG'!$E$6:$E$505,$N9)="","",INDEX('NHẬP ĐƠN HÀNG'!$E$6:$E$505,$N9)))</f>
        <v/>
      </c>
      <c r="E9" s="16" t="str">
        <f aca="false">IF($N9="","",IF(INDEX('NHẬP ĐƠN HÀNG'!$F$6:$F$505,$N9)="","",INDEX('NHẬP ĐƠN HÀNG'!$F$6:$F$505,$N9)))</f>
        <v/>
      </c>
      <c r="F9" s="16" t="str">
        <f aca="false">IF($N9="","",IF(INDEX('NHẬP ĐƠN HÀNG'!$H$6:$H$505,$N9)="","",INDEX('NHẬP ĐƠN HÀNG'!$H$6:$H$505,$N9)))</f>
        <v/>
      </c>
      <c r="G9" s="10" t="str">
        <f aca="false">IF($N9="","",N(INDEX('NHẬP ĐƠN HÀNG'!$I$6:$I$505,$N9)))</f>
        <v/>
      </c>
      <c r="H9" s="10" t="str">
        <f aca="false">IF($N9="","",N(INDEX('NHẬP ĐƠN HÀNG'!$L$6:$L$505,$N9)))</f>
        <v/>
      </c>
      <c r="I9" s="11" t="str">
        <f aca="false">IF($N9="","",N(INDEX('NHẬP ĐƠN HÀNG'!$N$6:$N$505,$N9)))</f>
        <v/>
      </c>
      <c r="J9" s="10" t="str">
        <f aca="false">IF($N9="","",N(INDEX('NHẬP ĐƠN HÀNG'!$O$6:$O$505,$N9)))</f>
        <v/>
      </c>
      <c r="K9" s="10" t="str">
        <f aca="false">IF($N9="","",N(INDEX('NHẬP ĐƠN HÀNG'!$P$6:$P$505,$N9)))</f>
        <v/>
      </c>
      <c r="L9" s="10" t="str">
        <f aca="false">IF($N9="","",N(INDEX('NHẬP ĐƠN HÀNG'!$Q$6:$Q$505,$N9)))</f>
        <v/>
      </c>
      <c r="M9" s="10" t="str">
        <f aca="false">IF($N9="","",N(INDEX('NHẬP ĐƠN HÀNG'!$R$6:$R$505,$N9)))</f>
        <v/>
      </c>
      <c r="N9" s="0" t="str">
        <f aca="false">IFERROR(MATCH(4,'NHẬP ĐƠN HÀNG'!$Z$6:$Z$505,0),"")</f>
        <v/>
      </c>
    </row>
    <row r="10" customFormat="false" ht="15" hidden="false" customHeight="false" outlineLevel="0" collapsed="false">
      <c r="A10" s="16" t="str">
        <f aca="false">IF($N10="","",5)</f>
        <v/>
      </c>
      <c r="B10" s="34" t="str">
        <f aca="false">IF($N10="","",IF(INDEX('NHẬP ĐƠN HÀNG'!$B$6:$B$505,$N10)="","",INDEX('NHẬP ĐƠN HÀNG'!$B$6:$B$505,$N10)))</f>
        <v/>
      </c>
      <c r="C10" s="16" t="str">
        <f aca="false">IF($N10="","",IF(INDEX('NHẬP ĐƠN HÀNG'!$C$6:$C$505,$N10)="","",INDEX('NHẬP ĐƠN HÀNG'!$C$6:$C$505,$N10)))</f>
        <v/>
      </c>
      <c r="D10" s="16" t="str">
        <f aca="false">IF($N10="","",IF(INDEX('NHẬP ĐƠN HÀNG'!$E$6:$E$505,$N10)="","",INDEX('NHẬP ĐƠN HÀNG'!$E$6:$E$505,$N10)))</f>
        <v/>
      </c>
      <c r="E10" s="16" t="str">
        <f aca="false">IF($N10="","",IF(INDEX('NHẬP ĐƠN HÀNG'!$F$6:$F$505,$N10)="","",INDEX('NHẬP ĐƠN HÀNG'!$F$6:$F$505,$N10)))</f>
        <v/>
      </c>
      <c r="F10" s="16" t="str">
        <f aca="false">IF($N10="","",IF(INDEX('NHẬP ĐƠN HÀNG'!$H$6:$H$505,$N10)="","",INDEX('NHẬP ĐƠN HÀNG'!$H$6:$H$505,$N10)))</f>
        <v/>
      </c>
      <c r="G10" s="10" t="str">
        <f aca="false">IF($N10="","",N(INDEX('NHẬP ĐƠN HÀNG'!$I$6:$I$505,$N10)))</f>
        <v/>
      </c>
      <c r="H10" s="10" t="str">
        <f aca="false">IF($N10="","",N(INDEX('NHẬP ĐƠN HÀNG'!$L$6:$L$505,$N10)))</f>
        <v/>
      </c>
      <c r="I10" s="11" t="str">
        <f aca="false">IF($N10="","",N(INDEX('NHẬP ĐƠN HÀNG'!$N$6:$N$505,$N10)))</f>
        <v/>
      </c>
      <c r="J10" s="10" t="str">
        <f aca="false">IF($N10="","",N(INDEX('NHẬP ĐƠN HÀNG'!$O$6:$O$505,$N10)))</f>
        <v/>
      </c>
      <c r="K10" s="10" t="str">
        <f aca="false">IF($N10="","",N(INDEX('NHẬP ĐƠN HÀNG'!$P$6:$P$505,$N10)))</f>
        <v/>
      </c>
      <c r="L10" s="10" t="str">
        <f aca="false">IF($N10="","",N(INDEX('NHẬP ĐƠN HÀNG'!$Q$6:$Q$505,$N10)))</f>
        <v/>
      </c>
      <c r="M10" s="10" t="str">
        <f aca="false">IF($N10="","",N(INDEX('NHẬP ĐƠN HÀNG'!$R$6:$R$505,$N10)))</f>
        <v/>
      </c>
      <c r="N10" s="0" t="str">
        <f aca="false">IFERROR(MATCH(5,'NHẬP ĐƠN HÀNG'!$Z$6:$Z$505,0),"")</f>
        <v/>
      </c>
    </row>
    <row r="11" customFormat="false" ht="15" hidden="false" customHeight="false" outlineLevel="0" collapsed="false">
      <c r="A11" s="16" t="str">
        <f aca="false">IF($N11="","",6)</f>
        <v/>
      </c>
      <c r="B11" s="34" t="str">
        <f aca="false">IF($N11="","",IF(INDEX('NHẬP ĐƠN HÀNG'!$B$6:$B$505,$N11)="","",INDEX('NHẬP ĐƠN HÀNG'!$B$6:$B$505,$N11)))</f>
        <v/>
      </c>
      <c r="C11" s="16" t="str">
        <f aca="false">IF($N11="","",IF(INDEX('NHẬP ĐƠN HÀNG'!$C$6:$C$505,$N11)="","",INDEX('NHẬP ĐƠN HÀNG'!$C$6:$C$505,$N11)))</f>
        <v/>
      </c>
      <c r="D11" s="16" t="str">
        <f aca="false">IF($N11="","",IF(INDEX('NHẬP ĐƠN HÀNG'!$E$6:$E$505,$N11)="","",INDEX('NHẬP ĐƠN HÀNG'!$E$6:$E$505,$N11)))</f>
        <v/>
      </c>
      <c r="E11" s="16" t="str">
        <f aca="false">IF($N11="","",IF(INDEX('NHẬP ĐƠN HÀNG'!$F$6:$F$505,$N11)="","",INDEX('NHẬP ĐƠN HÀNG'!$F$6:$F$505,$N11)))</f>
        <v/>
      </c>
      <c r="F11" s="16" t="str">
        <f aca="false">IF($N11="","",IF(INDEX('NHẬP ĐƠN HÀNG'!$H$6:$H$505,$N11)="","",INDEX('NHẬP ĐƠN HÀNG'!$H$6:$H$505,$N11)))</f>
        <v/>
      </c>
      <c r="G11" s="10" t="str">
        <f aca="false">IF($N11="","",N(INDEX('NHẬP ĐƠN HÀNG'!$I$6:$I$505,$N11)))</f>
        <v/>
      </c>
      <c r="H11" s="10" t="str">
        <f aca="false">IF($N11="","",N(INDEX('NHẬP ĐƠN HÀNG'!$L$6:$L$505,$N11)))</f>
        <v/>
      </c>
      <c r="I11" s="11" t="str">
        <f aca="false">IF($N11="","",N(INDEX('NHẬP ĐƠN HÀNG'!$N$6:$N$505,$N11)))</f>
        <v/>
      </c>
      <c r="J11" s="10" t="str">
        <f aca="false">IF($N11="","",N(INDEX('NHẬP ĐƠN HÀNG'!$O$6:$O$505,$N11)))</f>
        <v/>
      </c>
      <c r="K11" s="10" t="str">
        <f aca="false">IF($N11="","",N(INDEX('NHẬP ĐƠN HÀNG'!$P$6:$P$505,$N11)))</f>
        <v/>
      </c>
      <c r="L11" s="10" t="str">
        <f aca="false">IF($N11="","",N(INDEX('NHẬP ĐƠN HÀNG'!$Q$6:$Q$505,$N11)))</f>
        <v/>
      </c>
      <c r="M11" s="10" t="str">
        <f aca="false">IF($N11="","",N(INDEX('NHẬP ĐƠN HÀNG'!$R$6:$R$505,$N11)))</f>
        <v/>
      </c>
      <c r="N11" s="0" t="str">
        <f aca="false">IFERROR(MATCH(6,'NHẬP ĐƠN HÀNG'!$Z$6:$Z$505,0),"")</f>
        <v/>
      </c>
    </row>
    <row r="12" customFormat="false" ht="15" hidden="false" customHeight="false" outlineLevel="0" collapsed="false">
      <c r="A12" s="16" t="str">
        <f aca="false">IF($N12="","",7)</f>
        <v/>
      </c>
      <c r="B12" s="34" t="str">
        <f aca="false">IF($N12="","",IF(INDEX('NHẬP ĐƠN HÀNG'!$B$6:$B$505,$N12)="","",INDEX('NHẬP ĐƠN HÀNG'!$B$6:$B$505,$N12)))</f>
        <v/>
      </c>
      <c r="C12" s="16" t="str">
        <f aca="false">IF($N12="","",IF(INDEX('NHẬP ĐƠN HÀNG'!$C$6:$C$505,$N12)="","",INDEX('NHẬP ĐƠN HÀNG'!$C$6:$C$505,$N12)))</f>
        <v/>
      </c>
      <c r="D12" s="16" t="str">
        <f aca="false">IF($N12="","",IF(INDEX('NHẬP ĐƠN HÀNG'!$E$6:$E$505,$N12)="","",INDEX('NHẬP ĐƠN HÀNG'!$E$6:$E$505,$N12)))</f>
        <v/>
      </c>
      <c r="E12" s="16" t="str">
        <f aca="false">IF($N12="","",IF(INDEX('NHẬP ĐƠN HÀNG'!$F$6:$F$505,$N12)="","",INDEX('NHẬP ĐƠN HÀNG'!$F$6:$F$505,$N12)))</f>
        <v/>
      </c>
      <c r="F12" s="16" t="str">
        <f aca="false">IF($N12="","",IF(INDEX('NHẬP ĐƠN HÀNG'!$H$6:$H$505,$N12)="","",INDEX('NHẬP ĐƠN HÀNG'!$H$6:$H$505,$N12)))</f>
        <v/>
      </c>
      <c r="G12" s="10" t="str">
        <f aca="false">IF($N12="","",N(INDEX('NHẬP ĐƠN HÀNG'!$I$6:$I$505,$N12)))</f>
        <v/>
      </c>
      <c r="H12" s="10" t="str">
        <f aca="false">IF($N12="","",N(INDEX('NHẬP ĐƠN HÀNG'!$L$6:$L$505,$N12)))</f>
        <v/>
      </c>
      <c r="I12" s="11" t="str">
        <f aca="false">IF($N12="","",N(INDEX('NHẬP ĐƠN HÀNG'!$N$6:$N$505,$N12)))</f>
        <v/>
      </c>
      <c r="J12" s="10" t="str">
        <f aca="false">IF($N12="","",N(INDEX('NHẬP ĐƠN HÀNG'!$O$6:$O$505,$N12)))</f>
        <v/>
      </c>
      <c r="K12" s="10" t="str">
        <f aca="false">IF($N12="","",N(INDEX('NHẬP ĐƠN HÀNG'!$P$6:$P$505,$N12)))</f>
        <v/>
      </c>
      <c r="L12" s="10" t="str">
        <f aca="false">IF($N12="","",N(INDEX('NHẬP ĐƠN HÀNG'!$Q$6:$Q$505,$N12)))</f>
        <v/>
      </c>
      <c r="M12" s="10" t="str">
        <f aca="false">IF($N12="","",N(INDEX('NHẬP ĐƠN HÀNG'!$R$6:$R$505,$N12)))</f>
        <v/>
      </c>
      <c r="N12" s="0" t="str">
        <f aca="false">IFERROR(MATCH(7,'NHẬP ĐƠN HÀNG'!$Z$6:$Z$505,0),"")</f>
        <v/>
      </c>
    </row>
    <row r="13" customFormat="false" ht="15" hidden="false" customHeight="false" outlineLevel="0" collapsed="false">
      <c r="A13" s="16" t="str">
        <f aca="false">IF($N13="","",8)</f>
        <v/>
      </c>
      <c r="B13" s="34" t="str">
        <f aca="false">IF($N13="","",IF(INDEX('NHẬP ĐƠN HÀNG'!$B$6:$B$505,$N13)="","",INDEX('NHẬP ĐƠN HÀNG'!$B$6:$B$505,$N13)))</f>
        <v/>
      </c>
      <c r="C13" s="16" t="str">
        <f aca="false">IF($N13="","",IF(INDEX('NHẬP ĐƠN HÀNG'!$C$6:$C$505,$N13)="","",INDEX('NHẬP ĐƠN HÀNG'!$C$6:$C$505,$N13)))</f>
        <v/>
      </c>
      <c r="D13" s="16" t="str">
        <f aca="false">IF($N13="","",IF(INDEX('NHẬP ĐƠN HÀNG'!$E$6:$E$505,$N13)="","",INDEX('NHẬP ĐƠN HÀNG'!$E$6:$E$505,$N13)))</f>
        <v/>
      </c>
      <c r="E13" s="16" t="str">
        <f aca="false">IF($N13="","",IF(INDEX('NHẬP ĐƠN HÀNG'!$F$6:$F$505,$N13)="","",INDEX('NHẬP ĐƠN HÀNG'!$F$6:$F$505,$N13)))</f>
        <v/>
      </c>
      <c r="F13" s="16" t="str">
        <f aca="false">IF($N13="","",IF(INDEX('NHẬP ĐƠN HÀNG'!$H$6:$H$505,$N13)="","",INDEX('NHẬP ĐƠN HÀNG'!$H$6:$H$505,$N13)))</f>
        <v/>
      </c>
      <c r="G13" s="10" t="str">
        <f aca="false">IF($N13="","",N(INDEX('NHẬP ĐƠN HÀNG'!$I$6:$I$505,$N13)))</f>
        <v/>
      </c>
      <c r="H13" s="10" t="str">
        <f aca="false">IF($N13="","",N(INDEX('NHẬP ĐƠN HÀNG'!$L$6:$L$505,$N13)))</f>
        <v/>
      </c>
      <c r="I13" s="11" t="str">
        <f aca="false">IF($N13="","",N(INDEX('NHẬP ĐƠN HÀNG'!$N$6:$N$505,$N13)))</f>
        <v/>
      </c>
      <c r="J13" s="10" t="str">
        <f aca="false">IF($N13="","",N(INDEX('NHẬP ĐƠN HÀNG'!$O$6:$O$505,$N13)))</f>
        <v/>
      </c>
      <c r="K13" s="10" t="str">
        <f aca="false">IF($N13="","",N(INDEX('NHẬP ĐƠN HÀNG'!$P$6:$P$505,$N13)))</f>
        <v/>
      </c>
      <c r="L13" s="10" t="str">
        <f aca="false">IF($N13="","",N(INDEX('NHẬP ĐƠN HÀNG'!$Q$6:$Q$505,$N13)))</f>
        <v/>
      </c>
      <c r="M13" s="10" t="str">
        <f aca="false">IF($N13="","",N(INDEX('NHẬP ĐƠN HÀNG'!$R$6:$R$505,$N13)))</f>
        <v/>
      </c>
      <c r="N13" s="0" t="str">
        <f aca="false">IFERROR(MATCH(8,'NHẬP ĐƠN HÀNG'!$Z$6:$Z$505,0),"")</f>
        <v/>
      </c>
    </row>
    <row r="14" customFormat="false" ht="15" hidden="false" customHeight="false" outlineLevel="0" collapsed="false">
      <c r="A14" s="16" t="str">
        <f aca="false">IF($N14="","",9)</f>
        <v/>
      </c>
      <c r="B14" s="34" t="str">
        <f aca="false">IF($N14="","",IF(INDEX('NHẬP ĐƠN HÀNG'!$B$6:$B$505,$N14)="","",INDEX('NHẬP ĐƠN HÀNG'!$B$6:$B$505,$N14)))</f>
        <v/>
      </c>
      <c r="C14" s="16" t="str">
        <f aca="false">IF($N14="","",IF(INDEX('NHẬP ĐƠN HÀNG'!$C$6:$C$505,$N14)="","",INDEX('NHẬP ĐƠN HÀNG'!$C$6:$C$505,$N14)))</f>
        <v/>
      </c>
      <c r="D14" s="16" t="str">
        <f aca="false">IF($N14="","",IF(INDEX('NHẬP ĐƠN HÀNG'!$E$6:$E$505,$N14)="","",INDEX('NHẬP ĐƠN HÀNG'!$E$6:$E$505,$N14)))</f>
        <v/>
      </c>
      <c r="E14" s="16" t="str">
        <f aca="false">IF($N14="","",IF(INDEX('NHẬP ĐƠN HÀNG'!$F$6:$F$505,$N14)="","",INDEX('NHẬP ĐƠN HÀNG'!$F$6:$F$505,$N14)))</f>
        <v/>
      </c>
      <c r="F14" s="16" t="str">
        <f aca="false">IF($N14="","",IF(INDEX('NHẬP ĐƠN HÀNG'!$H$6:$H$505,$N14)="","",INDEX('NHẬP ĐƠN HÀNG'!$H$6:$H$505,$N14)))</f>
        <v/>
      </c>
      <c r="G14" s="10" t="str">
        <f aca="false">IF($N14="","",N(INDEX('NHẬP ĐƠN HÀNG'!$I$6:$I$505,$N14)))</f>
        <v/>
      </c>
      <c r="H14" s="10" t="str">
        <f aca="false">IF($N14="","",N(INDEX('NHẬP ĐƠN HÀNG'!$L$6:$L$505,$N14)))</f>
        <v/>
      </c>
      <c r="I14" s="11" t="str">
        <f aca="false">IF($N14="","",N(INDEX('NHẬP ĐƠN HÀNG'!$N$6:$N$505,$N14)))</f>
        <v/>
      </c>
      <c r="J14" s="10" t="str">
        <f aca="false">IF($N14="","",N(INDEX('NHẬP ĐƠN HÀNG'!$O$6:$O$505,$N14)))</f>
        <v/>
      </c>
      <c r="K14" s="10" t="str">
        <f aca="false">IF($N14="","",N(INDEX('NHẬP ĐƠN HÀNG'!$P$6:$P$505,$N14)))</f>
        <v/>
      </c>
      <c r="L14" s="10" t="str">
        <f aca="false">IF($N14="","",N(INDEX('NHẬP ĐƠN HÀNG'!$Q$6:$Q$505,$N14)))</f>
        <v/>
      </c>
      <c r="M14" s="10" t="str">
        <f aca="false">IF($N14="","",N(INDEX('NHẬP ĐƠN HÀNG'!$R$6:$R$505,$N14)))</f>
        <v/>
      </c>
      <c r="N14" s="0" t="str">
        <f aca="false">IFERROR(MATCH(9,'NHẬP ĐƠN HÀNG'!$Z$6:$Z$505,0),"")</f>
        <v/>
      </c>
    </row>
    <row r="15" customFormat="false" ht="15" hidden="false" customHeight="false" outlineLevel="0" collapsed="false">
      <c r="A15" s="16" t="str">
        <f aca="false">IF($N15="","",10)</f>
        <v/>
      </c>
      <c r="B15" s="34" t="str">
        <f aca="false">IF($N15="","",IF(INDEX('NHẬP ĐƠN HÀNG'!$B$6:$B$505,$N15)="","",INDEX('NHẬP ĐƠN HÀNG'!$B$6:$B$505,$N15)))</f>
        <v/>
      </c>
      <c r="C15" s="16" t="str">
        <f aca="false">IF($N15="","",IF(INDEX('NHẬP ĐƠN HÀNG'!$C$6:$C$505,$N15)="","",INDEX('NHẬP ĐƠN HÀNG'!$C$6:$C$505,$N15)))</f>
        <v/>
      </c>
      <c r="D15" s="16" t="str">
        <f aca="false">IF($N15="","",IF(INDEX('NHẬP ĐƠN HÀNG'!$E$6:$E$505,$N15)="","",INDEX('NHẬP ĐƠN HÀNG'!$E$6:$E$505,$N15)))</f>
        <v/>
      </c>
      <c r="E15" s="16" t="str">
        <f aca="false">IF($N15="","",IF(INDEX('NHẬP ĐƠN HÀNG'!$F$6:$F$505,$N15)="","",INDEX('NHẬP ĐƠN HÀNG'!$F$6:$F$505,$N15)))</f>
        <v/>
      </c>
      <c r="F15" s="16" t="str">
        <f aca="false">IF($N15="","",IF(INDEX('NHẬP ĐƠN HÀNG'!$H$6:$H$505,$N15)="","",INDEX('NHẬP ĐƠN HÀNG'!$H$6:$H$505,$N15)))</f>
        <v/>
      </c>
      <c r="G15" s="10" t="str">
        <f aca="false">IF($N15="","",N(INDEX('NHẬP ĐƠN HÀNG'!$I$6:$I$505,$N15)))</f>
        <v/>
      </c>
      <c r="H15" s="10" t="str">
        <f aca="false">IF($N15="","",N(INDEX('NHẬP ĐƠN HÀNG'!$L$6:$L$505,$N15)))</f>
        <v/>
      </c>
      <c r="I15" s="11" t="str">
        <f aca="false">IF($N15="","",N(INDEX('NHẬP ĐƠN HÀNG'!$N$6:$N$505,$N15)))</f>
        <v/>
      </c>
      <c r="J15" s="10" t="str">
        <f aca="false">IF($N15="","",N(INDEX('NHẬP ĐƠN HÀNG'!$O$6:$O$505,$N15)))</f>
        <v/>
      </c>
      <c r="K15" s="10" t="str">
        <f aca="false">IF($N15="","",N(INDEX('NHẬP ĐƠN HÀNG'!$P$6:$P$505,$N15)))</f>
        <v/>
      </c>
      <c r="L15" s="10" t="str">
        <f aca="false">IF($N15="","",N(INDEX('NHẬP ĐƠN HÀNG'!$Q$6:$Q$505,$N15)))</f>
        <v/>
      </c>
      <c r="M15" s="10" t="str">
        <f aca="false">IF($N15="","",N(INDEX('NHẬP ĐƠN HÀNG'!$R$6:$R$505,$N15)))</f>
        <v/>
      </c>
      <c r="N15" s="0" t="str">
        <f aca="false">IFERROR(MATCH(10,'NHẬP ĐƠN HÀNG'!$Z$6:$Z$505,0),"")</f>
        <v/>
      </c>
    </row>
    <row r="16" customFormat="false" ht="15" hidden="false" customHeight="false" outlineLevel="0" collapsed="false">
      <c r="A16" s="16" t="str">
        <f aca="false">IF($N16="","",11)</f>
        <v/>
      </c>
      <c r="B16" s="34" t="str">
        <f aca="false">IF($N16="","",IF(INDEX('NHẬP ĐƠN HÀNG'!$B$6:$B$505,$N16)="","",INDEX('NHẬP ĐƠN HÀNG'!$B$6:$B$505,$N16)))</f>
        <v/>
      </c>
      <c r="C16" s="16" t="str">
        <f aca="false">IF($N16="","",IF(INDEX('NHẬP ĐƠN HÀNG'!$C$6:$C$505,$N16)="","",INDEX('NHẬP ĐƠN HÀNG'!$C$6:$C$505,$N16)))</f>
        <v/>
      </c>
      <c r="D16" s="16" t="str">
        <f aca="false">IF($N16="","",IF(INDEX('NHẬP ĐƠN HÀNG'!$E$6:$E$505,$N16)="","",INDEX('NHẬP ĐƠN HÀNG'!$E$6:$E$505,$N16)))</f>
        <v/>
      </c>
      <c r="E16" s="16" t="str">
        <f aca="false">IF($N16="","",IF(INDEX('NHẬP ĐƠN HÀNG'!$F$6:$F$505,$N16)="","",INDEX('NHẬP ĐƠN HÀNG'!$F$6:$F$505,$N16)))</f>
        <v/>
      </c>
      <c r="F16" s="16" t="str">
        <f aca="false">IF($N16="","",IF(INDEX('NHẬP ĐƠN HÀNG'!$H$6:$H$505,$N16)="","",INDEX('NHẬP ĐƠN HÀNG'!$H$6:$H$505,$N16)))</f>
        <v/>
      </c>
      <c r="G16" s="10" t="str">
        <f aca="false">IF($N16="","",N(INDEX('NHẬP ĐƠN HÀNG'!$I$6:$I$505,$N16)))</f>
        <v/>
      </c>
      <c r="H16" s="10" t="str">
        <f aca="false">IF($N16="","",N(INDEX('NHẬP ĐƠN HÀNG'!$L$6:$L$505,$N16)))</f>
        <v/>
      </c>
      <c r="I16" s="11" t="str">
        <f aca="false">IF($N16="","",N(INDEX('NHẬP ĐƠN HÀNG'!$N$6:$N$505,$N16)))</f>
        <v/>
      </c>
      <c r="J16" s="10" t="str">
        <f aca="false">IF($N16="","",N(INDEX('NHẬP ĐƠN HÀNG'!$O$6:$O$505,$N16)))</f>
        <v/>
      </c>
      <c r="K16" s="10" t="str">
        <f aca="false">IF($N16="","",N(INDEX('NHẬP ĐƠN HÀNG'!$P$6:$P$505,$N16)))</f>
        <v/>
      </c>
      <c r="L16" s="10" t="str">
        <f aca="false">IF($N16="","",N(INDEX('NHẬP ĐƠN HÀNG'!$Q$6:$Q$505,$N16)))</f>
        <v/>
      </c>
      <c r="M16" s="10" t="str">
        <f aca="false">IF($N16="","",N(INDEX('NHẬP ĐƠN HÀNG'!$R$6:$R$505,$N16)))</f>
        <v/>
      </c>
      <c r="N16" s="0" t="str">
        <f aca="false">IFERROR(MATCH(11,'NHẬP ĐƠN HÀNG'!$Z$6:$Z$505,0),"")</f>
        <v/>
      </c>
    </row>
    <row r="17" customFormat="false" ht="15" hidden="false" customHeight="false" outlineLevel="0" collapsed="false">
      <c r="A17" s="16" t="str">
        <f aca="false">IF($N17="","",12)</f>
        <v/>
      </c>
      <c r="B17" s="34" t="str">
        <f aca="false">IF($N17="","",IF(INDEX('NHẬP ĐƠN HÀNG'!$B$6:$B$505,$N17)="","",INDEX('NHẬP ĐƠN HÀNG'!$B$6:$B$505,$N17)))</f>
        <v/>
      </c>
      <c r="C17" s="16" t="str">
        <f aca="false">IF($N17="","",IF(INDEX('NHẬP ĐƠN HÀNG'!$C$6:$C$505,$N17)="","",INDEX('NHẬP ĐƠN HÀNG'!$C$6:$C$505,$N17)))</f>
        <v/>
      </c>
      <c r="D17" s="16" t="str">
        <f aca="false">IF($N17="","",IF(INDEX('NHẬP ĐƠN HÀNG'!$E$6:$E$505,$N17)="","",INDEX('NHẬP ĐƠN HÀNG'!$E$6:$E$505,$N17)))</f>
        <v/>
      </c>
      <c r="E17" s="16" t="str">
        <f aca="false">IF($N17="","",IF(INDEX('NHẬP ĐƠN HÀNG'!$F$6:$F$505,$N17)="","",INDEX('NHẬP ĐƠN HÀNG'!$F$6:$F$505,$N17)))</f>
        <v/>
      </c>
      <c r="F17" s="16" t="str">
        <f aca="false">IF($N17="","",IF(INDEX('NHẬP ĐƠN HÀNG'!$H$6:$H$505,$N17)="","",INDEX('NHẬP ĐƠN HÀNG'!$H$6:$H$505,$N17)))</f>
        <v/>
      </c>
      <c r="G17" s="10" t="str">
        <f aca="false">IF($N17="","",N(INDEX('NHẬP ĐƠN HÀNG'!$I$6:$I$505,$N17)))</f>
        <v/>
      </c>
      <c r="H17" s="10" t="str">
        <f aca="false">IF($N17="","",N(INDEX('NHẬP ĐƠN HÀNG'!$L$6:$L$505,$N17)))</f>
        <v/>
      </c>
      <c r="I17" s="11" t="str">
        <f aca="false">IF($N17="","",N(INDEX('NHẬP ĐƠN HÀNG'!$N$6:$N$505,$N17)))</f>
        <v/>
      </c>
      <c r="J17" s="10" t="str">
        <f aca="false">IF($N17="","",N(INDEX('NHẬP ĐƠN HÀNG'!$O$6:$O$505,$N17)))</f>
        <v/>
      </c>
      <c r="K17" s="10" t="str">
        <f aca="false">IF($N17="","",N(INDEX('NHẬP ĐƠN HÀNG'!$P$6:$P$505,$N17)))</f>
        <v/>
      </c>
      <c r="L17" s="10" t="str">
        <f aca="false">IF($N17="","",N(INDEX('NHẬP ĐƠN HÀNG'!$Q$6:$Q$505,$N17)))</f>
        <v/>
      </c>
      <c r="M17" s="10" t="str">
        <f aca="false">IF($N17="","",N(INDEX('NHẬP ĐƠN HÀNG'!$R$6:$R$505,$N17)))</f>
        <v/>
      </c>
      <c r="N17" s="0" t="str">
        <f aca="false">IFERROR(MATCH(12,'NHẬP ĐƠN HÀNG'!$Z$6:$Z$505,0),"")</f>
        <v/>
      </c>
    </row>
    <row r="18" customFormat="false" ht="15" hidden="false" customHeight="false" outlineLevel="0" collapsed="false">
      <c r="A18" s="16" t="str">
        <f aca="false">IF($N18="","",13)</f>
        <v/>
      </c>
      <c r="B18" s="34" t="str">
        <f aca="false">IF($N18="","",IF(INDEX('NHẬP ĐƠN HÀNG'!$B$6:$B$505,$N18)="","",INDEX('NHẬP ĐƠN HÀNG'!$B$6:$B$505,$N18)))</f>
        <v/>
      </c>
      <c r="C18" s="16" t="str">
        <f aca="false">IF($N18="","",IF(INDEX('NHẬP ĐƠN HÀNG'!$C$6:$C$505,$N18)="","",INDEX('NHẬP ĐƠN HÀNG'!$C$6:$C$505,$N18)))</f>
        <v/>
      </c>
      <c r="D18" s="16" t="str">
        <f aca="false">IF($N18="","",IF(INDEX('NHẬP ĐƠN HÀNG'!$E$6:$E$505,$N18)="","",INDEX('NHẬP ĐƠN HÀNG'!$E$6:$E$505,$N18)))</f>
        <v/>
      </c>
      <c r="E18" s="16" t="str">
        <f aca="false">IF($N18="","",IF(INDEX('NHẬP ĐƠN HÀNG'!$F$6:$F$505,$N18)="","",INDEX('NHẬP ĐƠN HÀNG'!$F$6:$F$505,$N18)))</f>
        <v/>
      </c>
      <c r="F18" s="16" t="str">
        <f aca="false">IF($N18="","",IF(INDEX('NHẬP ĐƠN HÀNG'!$H$6:$H$505,$N18)="","",INDEX('NHẬP ĐƠN HÀNG'!$H$6:$H$505,$N18)))</f>
        <v/>
      </c>
      <c r="G18" s="10" t="str">
        <f aca="false">IF($N18="","",N(INDEX('NHẬP ĐƠN HÀNG'!$I$6:$I$505,$N18)))</f>
        <v/>
      </c>
      <c r="H18" s="10" t="str">
        <f aca="false">IF($N18="","",N(INDEX('NHẬP ĐƠN HÀNG'!$L$6:$L$505,$N18)))</f>
        <v/>
      </c>
      <c r="I18" s="11" t="str">
        <f aca="false">IF($N18="","",N(INDEX('NHẬP ĐƠN HÀNG'!$N$6:$N$505,$N18)))</f>
        <v/>
      </c>
      <c r="J18" s="10" t="str">
        <f aca="false">IF($N18="","",N(INDEX('NHẬP ĐƠN HÀNG'!$O$6:$O$505,$N18)))</f>
        <v/>
      </c>
      <c r="K18" s="10" t="str">
        <f aca="false">IF($N18="","",N(INDEX('NHẬP ĐƠN HÀNG'!$P$6:$P$505,$N18)))</f>
        <v/>
      </c>
      <c r="L18" s="10" t="str">
        <f aca="false">IF($N18="","",N(INDEX('NHẬP ĐƠN HÀNG'!$Q$6:$Q$505,$N18)))</f>
        <v/>
      </c>
      <c r="M18" s="10" t="str">
        <f aca="false">IF($N18="","",N(INDEX('NHẬP ĐƠN HÀNG'!$R$6:$R$505,$N18)))</f>
        <v/>
      </c>
      <c r="N18" s="0" t="str">
        <f aca="false">IFERROR(MATCH(13,'NHẬP ĐƠN HÀNG'!$Z$6:$Z$505,0),"")</f>
        <v/>
      </c>
    </row>
    <row r="19" customFormat="false" ht="15" hidden="false" customHeight="false" outlineLevel="0" collapsed="false">
      <c r="A19" s="16" t="str">
        <f aca="false">IF($N19="","",14)</f>
        <v/>
      </c>
      <c r="B19" s="34" t="str">
        <f aca="false">IF($N19="","",IF(INDEX('NHẬP ĐƠN HÀNG'!$B$6:$B$505,$N19)="","",INDEX('NHẬP ĐƠN HÀNG'!$B$6:$B$505,$N19)))</f>
        <v/>
      </c>
      <c r="C19" s="16" t="str">
        <f aca="false">IF($N19="","",IF(INDEX('NHẬP ĐƠN HÀNG'!$C$6:$C$505,$N19)="","",INDEX('NHẬP ĐƠN HÀNG'!$C$6:$C$505,$N19)))</f>
        <v/>
      </c>
      <c r="D19" s="16" t="str">
        <f aca="false">IF($N19="","",IF(INDEX('NHẬP ĐƠN HÀNG'!$E$6:$E$505,$N19)="","",INDEX('NHẬP ĐƠN HÀNG'!$E$6:$E$505,$N19)))</f>
        <v/>
      </c>
      <c r="E19" s="16" t="str">
        <f aca="false">IF($N19="","",IF(INDEX('NHẬP ĐƠN HÀNG'!$F$6:$F$505,$N19)="","",INDEX('NHẬP ĐƠN HÀNG'!$F$6:$F$505,$N19)))</f>
        <v/>
      </c>
      <c r="F19" s="16" t="str">
        <f aca="false">IF($N19="","",IF(INDEX('NHẬP ĐƠN HÀNG'!$H$6:$H$505,$N19)="","",INDEX('NHẬP ĐƠN HÀNG'!$H$6:$H$505,$N19)))</f>
        <v/>
      </c>
      <c r="G19" s="10" t="str">
        <f aca="false">IF($N19="","",N(INDEX('NHẬP ĐƠN HÀNG'!$I$6:$I$505,$N19)))</f>
        <v/>
      </c>
      <c r="H19" s="10" t="str">
        <f aca="false">IF($N19="","",N(INDEX('NHẬP ĐƠN HÀNG'!$L$6:$L$505,$N19)))</f>
        <v/>
      </c>
      <c r="I19" s="11" t="str">
        <f aca="false">IF($N19="","",N(INDEX('NHẬP ĐƠN HÀNG'!$N$6:$N$505,$N19)))</f>
        <v/>
      </c>
      <c r="J19" s="10" t="str">
        <f aca="false">IF($N19="","",N(INDEX('NHẬP ĐƠN HÀNG'!$O$6:$O$505,$N19)))</f>
        <v/>
      </c>
      <c r="K19" s="10" t="str">
        <f aca="false">IF($N19="","",N(INDEX('NHẬP ĐƠN HÀNG'!$P$6:$P$505,$N19)))</f>
        <v/>
      </c>
      <c r="L19" s="10" t="str">
        <f aca="false">IF($N19="","",N(INDEX('NHẬP ĐƠN HÀNG'!$Q$6:$Q$505,$N19)))</f>
        <v/>
      </c>
      <c r="M19" s="10" t="str">
        <f aca="false">IF($N19="","",N(INDEX('NHẬP ĐƠN HÀNG'!$R$6:$R$505,$N19)))</f>
        <v/>
      </c>
      <c r="N19" s="0" t="str">
        <f aca="false">IFERROR(MATCH(14,'NHẬP ĐƠN HÀNG'!$Z$6:$Z$505,0),"")</f>
        <v/>
      </c>
    </row>
    <row r="20" customFormat="false" ht="15" hidden="false" customHeight="false" outlineLevel="0" collapsed="false">
      <c r="A20" s="16" t="str">
        <f aca="false">IF($N20="","",15)</f>
        <v/>
      </c>
      <c r="B20" s="34" t="str">
        <f aca="false">IF($N20="","",IF(INDEX('NHẬP ĐƠN HÀNG'!$B$6:$B$505,$N20)="","",INDEX('NHẬP ĐƠN HÀNG'!$B$6:$B$505,$N20)))</f>
        <v/>
      </c>
      <c r="C20" s="16" t="str">
        <f aca="false">IF($N20="","",IF(INDEX('NHẬP ĐƠN HÀNG'!$C$6:$C$505,$N20)="","",INDEX('NHẬP ĐƠN HÀNG'!$C$6:$C$505,$N20)))</f>
        <v/>
      </c>
      <c r="D20" s="16" t="str">
        <f aca="false">IF($N20="","",IF(INDEX('NHẬP ĐƠN HÀNG'!$E$6:$E$505,$N20)="","",INDEX('NHẬP ĐƠN HÀNG'!$E$6:$E$505,$N20)))</f>
        <v/>
      </c>
      <c r="E20" s="16" t="str">
        <f aca="false">IF($N20="","",IF(INDEX('NHẬP ĐƠN HÀNG'!$F$6:$F$505,$N20)="","",INDEX('NHẬP ĐƠN HÀNG'!$F$6:$F$505,$N20)))</f>
        <v/>
      </c>
      <c r="F20" s="16" t="str">
        <f aca="false">IF($N20="","",IF(INDEX('NHẬP ĐƠN HÀNG'!$H$6:$H$505,$N20)="","",INDEX('NHẬP ĐƠN HÀNG'!$H$6:$H$505,$N20)))</f>
        <v/>
      </c>
      <c r="G20" s="10" t="str">
        <f aca="false">IF($N20="","",N(INDEX('NHẬP ĐƠN HÀNG'!$I$6:$I$505,$N20)))</f>
        <v/>
      </c>
      <c r="H20" s="10" t="str">
        <f aca="false">IF($N20="","",N(INDEX('NHẬP ĐƠN HÀNG'!$L$6:$L$505,$N20)))</f>
        <v/>
      </c>
      <c r="I20" s="11" t="str">
        <f aca="false">IF($N20="","",N(INDEX('NHẬP ĐƠN HÀNG'!$N$6:$N$505,$N20)))</f>
        <v/>
      </c>
      <c r="J20" s="10" t="str">
        <f aca="false">IF($N20="","",N(INDEX('NHẬP ĐƠN HÀNG'!$O$6:$O$505,$N20)))</f>
        <v/>
      </c>
      <c r="K20" s="10" t="str">
        <f aca="false">IF($N20="","",N(INDEX('NHẬP ĐƠN HÀNG'!$P$6:$P$505,$N20)))</f>
        <v/>
      </c>
      <c r="L20" s="10" t="str">
        <f aca="false">IF($N20="","",N(INDEX('NHẬP ĐƠN HÀNG'!$Q$6:$Q$505,$N20)))</f>
        <v/>
      </c>
      <c r="M20" s="10" t="str">
        <f aca="false">IF($N20="","",N(INDEX('NHẬP ĐƠN HÀNG'!$R$6:$R$505,$N20)))</f>
        <v/>
      </c>
      <c r="N20" s="0" t="str">
        <f aca="false">IFERROR(MATCH(15,'NHẬP ĐƠN HÀNG'!$Z$6:$Z$505,0),"")</f>
        <v/>
      </c>
    </row>
    <row r="21" customFormat="false" ht="15" hidden="false" customHeight="false" outlineLevel="0" collapsed="false">
      <c r="A21" s="16" t="str">
        <f aca="false">IF($N21="","",16)</f>
        <v/>
      </c>
      <c r="B21" s="34" t="str">
        <f aca="false">IF($N21="","",IF(INDEX('NHẬP ĐƠN HÀNG'!$B$6:$B$505,$N21)="","",INDEX('NHẬP ĐƠN HÀNG'!$B$6:$B$505,$N21)))</f>
        <v/>
      </c>
      <c r="C21" s="16" t="str">
        <f aca="false">IF($N21="","",IF(INDEX('NHẬP ĐƠN HÀNG'!$C$6:$C$505,$N21)="","",INDEX('NHẬP ĐƠN HÀNG'!$C$6:$C$505,$N21)))</f>
        <v/>
      </c>
      <c r="D21" s="16" t="str">
        <f aca="false">IF($N21="","",IF(INDEX('NHẬP ĐƠN HÀNG'!$E$6:$E$505,$N21)="","",INDEX('NHẬP ĐƠN HÀNG'!$E$6:$E$505,$N21)))</f>
        <v/>
      </c>
      <c r="E21" s="16" t="str">
        <f aca="false">IF($N21="","",IF(INDEX('NHẬP ĐƠN HÀNG'!$F$6:$F$505,$N21)="","",INDEX('NHẬP ĐƠN HÀNG'!$F$6:$F$505,$N21)))</f>
        <v/>
      </c>
      <c r="F21" s="16" t="str">
        <f aca="false">IF($N21="","",IF(INDEX('NHẬP ĐƠN HÀNG'!$H$6:$H$505,$N21)="","",INDEX('NHẬP ĐƠN HÀNG'!$H$6:$H$505,$N21)))</f>
        <v/>
      </c>
      <c r="G21" s="10" t="str">
        <f aca="false">IF($N21="","",N(INDEX('NHẬP ĐƠN HÀNG'!$I$6:$I$505,$N21)))</f>
        <v/>
      </c>
      <c r="H21" s="10" t="str">
        <f aca="false">IF($N21="","",N(INDEX('NHẬP ĐƠN HÀNG'!$L$6:$L$505,$N21)))</f>
        <v/>
      </c>
      <c r="I21" s="11" t="str">
        <f aca="false">IF($N21="","",N(INDEX('NHẬP ĐƠN HÀNG'!$N$6:$N$505,$N21)))</f>
        <v/>
      </c>
      <c r="J21" s="10" t="str">
        <f aca="false">IF($N21="","",N(INDEX('NHẬP ĐƠN HÀNG'!$O$6:$O$505,$N21)))</f>
        <v/>
      </c>
      <c r="K21" s="10" t="str">
        <f aca="false">IF($N21="","",N(INDEX('NHẬP ĐƠN HÀNG'!$P$6:$P$505,$N21)))</f>
        <v/>
      </c>
      <c r="L21" s="10" t="str">
        <f aca="false">IF($N21="","",N(INDEX('NHẬP ĐƠN HÀNG'!$Q$6:$Q$505,$N21)))</f>
        <v/>
      </c>
      <c r="M21" s="10" t="str">
        <f aca="false">IF($N21="","",N(INDEX('NHẬP ĐƠN HÀNG'!$R$6:$R$505,$N21)))</f>
        <v/>
      </c>
      <c r="N21" s="0" t="str">
        <f aca="false">IFERROR(MATCH(16,'NHẬP ĐƠN HÀNG'!$Z$6:$Z$505,0),"")</f>
        <v/>
      </c>
    </row>
    <row r="22" customFormat="false" ht="15" hidden="false" customHeight="false" outlineLevel="0" collapsed="false">
      <c r="A22" s="16" t="str">
        <f aca="false">IF($N22="","",17)</f>
        <v/>
      </c>
      <c r="B22" s="34" t="str">
        <f aca="false">IF($N22="","",IF(INDEX('NHẬP ĐƠN HÀNG'!$B$6:$B$505,$N22)="","",INDEX('NHẬP ĐƠN HÀNG'!$B$6:$B$505,$N22)))</f>
        <v/>
      </c>
      <c r="C22" s="16" t="str">
        <f aca="false">IF($N22="","",IF(INDEX('NHẬP ĐƠN HÀNG'!$C$6:$C$505,$N22)="","",INDEX('NHẬP ĐƠN HÀNG'!$C$6:$C$505,$N22)))</f>
        <v/>
      </c>
      <c r="D22" s="16" t="str">
        <f aca="false">IF($N22="","",IF(INDEX('NHẬP ĐƠN HÀNG'!$E$6:$E$505,$N22)="","",INDEX('NHẬP ĐƠN HÀNG'!$E$6:$E$505,$N22)))</f>
        <v/>
      </c>
      <c r="E22" s="16" t="str">
        <f aca="false">IF($N22="","",IF(INDEX('NHẬP ĐƠN HÀNG'!$F$6:$F$505,$N22)="","",INDEX('NHẬP ĐƠN HÀNG'!$F$6:$F$505,$N22)))</f>
        <v/>
      </c>
      <c r="F22" s="16" t="str">
        <f aca="false">IF($N22="","",IF(INDEX('NHẬP ĐƠN HÀNG'!$H$6:$H$505,$N22)="","",INDEX('NHẬP ĐƠN HÀNG'!$H$6:$H$505,$N22)))</f>
        <v/>
      </c>
      <c r="G22" s="10" t="str">
        <f aca="false">IF($N22="","",N(INDEX('NHẬP ĐƠN HÀNG'!$I$6:$I$505,$N22)))</f>
        <v/>
      </c>
      <c r="H22" s="10" t="str">
        <f aca="false">IF($N22="","",N(INDEX('NHẬP ĐƠN HÀNG'!$L$6:$L$505,$N22)))</f>
        <v/>
      </c>
      <c r="I22" s="11" t="str">
        <f aca="false">IF($N22="","",N(INDEX('NHẬP ĐƠN HÀNG'!$N$6:$N$505,$N22)))</f>
        <v/>
      </c>
      <c r="J22" s="10" t="str">
        <f aca="false">IF($N22="","",N(INDEX('NHẬP ĐƠN HÀNG'!$O$6:$O$505,$N22)))</f>
        <v/>
      </c>
      <c r="K22" s="10" t="str">
        <f aca="false">IF($N22="","",N(INDEX('NHẬP ĐƠN HÀNG'!$P$6:$P$505,$N22)))</f>
        <v/>
      </c>
      <c r="L22" s="10" t="str">
        <f aca="false">IF($N22="","",N(INDEX('NHẬP ĐƠN HÀNG'!$Q$6:$Q$505,$N22)))</f>
        <v/>
      </c>
      <c r="M22" s="10" t="str">
        <f aca="false">IF($N22="","",N(INDEX('NHẬP ĐƠN HÀNG'!$R$6:$R$505,$N22)))</f>
        <v/>
      </c>
      <c r="N22" s="0" t="str">
        <f aca="false">IFERROR(MATCH(17,'NHẬP ĐƠN HÀNG'!$Z$6:$Z$505,0),"")</f>
        <v/>
      </c>
    </row>
    <row r="23" customFormat="false" ht="15" hidden="false" customHeight="false" outlineLevel="0" collapsed="false">
      <c r="A23" s="16" t="str">
        <f aca="false">IF($N23="","",18)</f>
        <v/>
      </c>
      <c r="B23" s="34" t="str">
        <f aca="false">IF($N23="","",IF(INDEX('NHẬP ĐƠN HÀNG'!$B$6:$B$505,$N23)="","",INDEX('NHẬP ĐƠN HÀNG'!$B$6:$B$505,$N23)))</f>
        <v/>
      </c>
      <c r="C23" s="16" t="str">
        <f aca="false">IF($N23="","",IF(INDEX('NHẬP ĐƠN HÀNG'!$C$6:$C$505,$N23)="","",INDEX('NHẬP ĐƠN HÀNG'!$C$6:$C$505,$N23)))</f>
        <v/>
      </c>
      <c r="D23" s="16" t="str">
        <f aca="false">IF($N23="","",IF(INDEX('NHẬP ĐƠN HÀNG'!$E$6:$E$505,$N23)="","",INDEX('NHẬP ĐƠN HÀNG'!$E$6:$E$505,$N23)))</f>
        <v/>
      </c>
      <c r="E23" s="16" t="str">
        <f aca="false">IF($N23="","",IF(INDEX('NHẬP ĐƠN HÀNG'!$F$6:$F$505,$N23)="","",INDEX('NHẬP ĐƠN HÀNG'!$F$6:$F$505,$N23)))</f>
        <v/>
      </c>
      <c r="F23" s="16" t="str">
        <f aca="false">IF($N23="","",IF(INDEX('NHẬP ĐƠN HÀNG'!$H$6:$H$505,$N23)="","",INDEX('NHẬP ĐƠN HÀNG'!$H$6:$H$505,$N23)))</f>
        <v/>
      </c>
      <c r="G23" s="10" t="str">
        <f aca="false">IF($N23="","",N(INDEX('NHẬP ĐƠN HÀNG'!$I$6:$I$505,$N23)))</f>
        <v/>
      </c>
      <c r="H23" s="10" t="str">
        <f aca="false">IF($N23="","",N(INDEX('NHẬP ĐƠN HÀNG'!$L$6:$L$505,$N23)))</f>
        <v/>
      </c>
      <c r="I23" s="11" t="str">
        <f aca="false">IF($N23="","",N(INDEX('NHẬP ĐƠN HÀNG'!$N$6:$N$505,$N23)))</f>
        <v/>
      </c>
      <c r="J23" s="10" t="str">
        <f aca="false">IF($N23="","",N(INDEX('NHẬP ĐƠN HÀNG'!$O$6:$O$505,$N23)))</f>
        <v/>
      </c>
      <c r="K23" s="10" t="str">
        <f aca="false">IF($N23="","",N(INDEX('NHẬP ĐƠN HÀNG'!$P$6:$P$505,$N23)))</f>
        <v/>
      </c>
      <c r="L23" s="10" t="str">
        <f aca="false">IF($N23="","",N(INDEX('NHẬP ĐƠN HÀNG'!$Q$6:$Q$505,$N23)))</f>
        <v/>
      </c>
      <c r="M23" s="10" t="str">
        <f aca="false">IF($N23="","",N(INDEX('NHẬP ĐƠN HÀNG'!$R$6:$R$505,$N23)))</f>
        <v/>
      </c>
      <c r="N23" s="0" t="str">
        <f aca="false">IFERROR(MATCH(18,'NHẬP ĐƠN HÀNG'!$Z$6:$Z$505,0),"")</f>
        <v/>
      </c>
    </row>
    <row r="24" customFormat="false" ht="15" hidden="false" customHeight="false" outlineLevel="0" collapsed="false">
      <c r="A24" s="16" t="str">
        <f aca="false">IF($N24="","",19)</f>
        <v/>
      </c>
      <c r="B24" s="34" t="str">
        <f aca="false">IF($N24="","",IF(INDEX('NHẬP ĐƠN HÀNG'!$B$6:$B$505,$N24)="","",INDEX('NHẬP ĐƠN HÀNG'!$B$6:$B$505,$N24)))</f>
        <v/>
      </c>
      <c r="C24" s="16" t="str">
        <f aca="false">IF($N24="","",IF(INDEX('NHẬP ĐƠN HÀNG'!$C$6:$C$505,$N24)="","",INDEX('NHẬP ĐƠN HÀNG'!$C$6:$C$505,$N24)))</f>
        <v/>
      </c>
      <c r="D24" s="16" t="str">
        <f aca="false">IF($N24="","",IF(INDEX('NHẬP ĐƠN HÀNG'!$E$6:$E$505,$N24)="","",INDEX('NHẬP ĐƠN HÀNG'!$E$6:$E$505,$N24)))</f>
        <v/>
      </c>
      <c r="E24" s="16" t="str">
        <f aca="false">IF($N24="","",IF(INDEX('NHẬP ĐƠN HÀNG'!$F$6:$F$505,$N24)="","",INDEX('NHẬP ĐƠN HÀNG'!$F$6:$F$505,$N24)))</f>
        <v/>
      </c>
      <c r="F24" s="16" t="str">
        <f aca="false">IF($N24="","",IF(INDEX('NHẬP ĐƠN HÀNG'!$H$6:$H$505,$N24)="","",INDEX('NHẬP ĐƠN HÀNG'!$H$6:$H$505,$N24)))</f>
        <v/>
      </c>
      <c r="G24" s="10" t="str">
        <f aca="false">IF($N24="","",N(INDEX('NHẬP ĐƠN HÀNG'!$I$6:$I$505,$N24)))</f>
        <v/>
      </c>
      <c r="H24" s="10" t="str">
        <f aca="false">IF($N24="","",N(INDEX('NHẬP ĐƠN HÀNG'!$L$6:$L$505,$N24)))</f>
        <v/>
      </c>
      <c r="I24" s="11" t="str">
        <f aca="false">IF($N24="","",N(INDEX('NHẬP ĐƠN HÀNG'!$N$6:$N$505,$N24)))</f>
        <v/>
      </c>
      <c r="J24" s="10" t="str">
        <f aca="false">IF($N24="","",N(INDEX('NHẬP ĐƠN HÀNG'!$O$6:$O$505,$N24)))</f>
        <v/>
      </c>
      <c r="K24" s="10" t="str">
        <f aca="false">IF($N24="","",N(INDEX('NHẬP ĐƠN HÀNG'!$P$6:$P$505,$N24)))</f>
        <v/>
      </c>
      <c r="L24" s="10" t="str">
        <f aca="false">IF($N24="","",N(INDEX('NHẬP ĐƠN HÀNG'!$Q$6:$Q$505,$N24)))</f>
        <v/>
      </c>
      <c r="M24" s="10" t="str">
        <f aca="false">IF($N24="","",N(INDEX('NHẬP ĐƠN HÀNG'!$R$6:$R$505,$N24)))</f>
        <v/>
      </c>
      <c r="N24" s="0" t="str">
        <f aca="false">IFERROR(MATCH(19,'NHẬP ĐƠN HÀNG'!$Z$6:$Z$505,0),"")</f>
        <v/>
      </c>
    </row>
    <row r="25" customFormat="false" ht="15" hidden="false" customHeight="false" outlineLevel="0" collapsed="false">
      <c r="A25" s="16" t="str">
        <f aca="false">IF($N25="","",20)</f>
        <v/>
      </c>
      <c r="B25" s="34" t="str">
        <f aca="false">IF($N25="","",IF(INDEX('NHẬP ĐƠN HÀNG'!$B$6:$B$505,$N25)="","",INDEX('NHẬP ĐƠN HÀNG'!$B$6:$B$505,$N25)))</f>
        <v/>
      </c>
      <c r="C25" s="16" t="str">
        <f aca="false">IF($N25="","",IF(INDEX('NHẬP ĐƠN HÀNG'!$C$6:$C$505,$N25)="","",INDEX('NHẬP ĐƠN HÀNG'!$C$6:$C$505,$N25)))</f>
        <v/>
      </c>
      <c r="D25" s="16" t="str">
        <f aca="false">IF($N25="","",IF(INDEX('NHẬP ĐƠN HÀNG'!$E$6:$E$505,$N25)="","",INDEX('NHẬP ĐƠN HÀNG'!$E$6:$E$505,$N25)))</f>
        <v/>
      </c>
      <c r="E25" s="16" t="str">
        <f aca="false">IF($N25="","",IF(INDEX('NHẬP ĐƠN HÀNG'!$F$6:$F$505,$N25)="","",INDEX('NHẬP ĐƠN HÀNG'!$F$6:$F$505,$N25)))</f>
        <v/>
      </c>
      <c r="F25" s="16" t="str">
        <f aca="false">IF($N25="","",IF(INDEX('NHẬP ĐƠN HÀNG'!$H$6:$H$505,$N25)="","",INDEX('NHẬP ĐƠN HÀNG'!$H$6:$H$505,$N25)))</f>
        <v/>
      </c>
      <c r="G25" s="10" t="str">
        <f aca="false">IF($N25="","",N(INDEX('NHẬP ĐƠN HÀNG'!$I$6:$I$505,$N25)))</f>
        <v/>
      </c>
      <c r="H25" s="10" t="str">
        <f aca="false">IF($N25="","",N(INDEX('NHẬP ĐƠN HÀNG'!$L$6:$L$505,$N25)))</f>
        <v/>
      </c>
      <c r="I25" s="11" t="str">
        <f aca="false">IF($N25="","",N(INDEX('NHẬP ĐƠN HÀNG'!$N$6:$N$505,$N25)))</f>
        <v/>
      </c>
      <c r="J25" s="10" t="str">
        <f aca="false">IF($N25="","",N(INDEX('NHẬP ĐƠN HÀNG'!$O$6:$O$505,$N25)))</f>
        <v/>
      </c>
      <c r="K25" s="10" t="str">
        <f aca="false">IF($N25="","",N(INDEX('NHẬP ĐƠN HÀNG'!$P$6:$P$505,$N25)))</f>
        <v/>
      </c>
      <c r="L25" s="10" t="str">
        <f aca="false">IF($N25="","",N(INDEX('NHẬP ĐƠN HÀNG'!$Q$6:$Q$505,$N25)))</f>
        <v/>
      </c>
      <c r="M25" s="10" t="str">
        <f aca="false">IF($N25="","",N(INDEX('NHẬP ĐƠN HÀNG'!$R$6:$R$505,$N25)))</f>
        <v/>
      </c>
      <c r="N25" s="0" t="str">
        <f aca="false">IFERROR(MATCH(20,'NHẬP ĐƠN HÀNG'!$Z$6:$Z$505,0),"")</f>
        <v/>
      </c>
    </row>
    <row r="26" customFormat="false" ht="15" hidden="false" customHeight="false" outlineLevel="0" collapsed="false">
      <c r="A26" s="16" t="str">
        <f aca="false">IF($N26="","",21)</f>
        <v/>
      </c>
      <c r="B26" s="34" t="str">
        <f aca="false">IF($N26="","",IF(INDEX('NHẬP ĐƠN HÀNG'!$B$6:$B$505,$N26)="","",INDEX('NHẬP ĐƠN HÀNG'!$B$6:$B$505,$N26)))</f>
        <v/>
      </c>
      <c r="C26" s="16" t="str">
        <f aca="false">IF($N26="","",IF(INDEX('NHẬP ĐƠN HÀNG'!$C$6:$C$505,$N26)="","",INDEX('NHẬP ĐƠN HÀNG'!$C$6:$C$505,$N26)))</f>
        <v/>
      </c>
      <c r="D26" s="16" t="str">
        <f aca="false">IF($N26="","",IF(INDEX('NHẬP ĐƠN HÀNG'!$E$6:$E$505,$N26)="","",INDEX('NHẬP ĐƠN HÀNG'!$E$6:$E$505,$N26)))</f>
        <v/>
      </c>
      <c r="E26" s="16" t="str">
        <f aca="false">IF($N26="","",IF(INDEX('NHẬP ĐƠN HÀNG'!$F$6:$F$505,$N26)="","",INDEX('NHẬP ĐƠN HÀNG'!$F$6:$F$505,$N26)))</f>
        <v/>
      </c>
      <c r="F26" s="16" t="str">
        <f aca="false">IF($N26="","",IF(INDEX('NHẬP ĐƠN HÀNG'!$H$6:$H$505,$N26)="","",INDEX('NHẬP ĐƠN HÀNG'!$H$6:$H$505,$N26)))</f>
        <v/>
      </c>
      <c r="G26" s="10" t="str">
        <f aca="false">IF($N26="","",N(INDEX('NHẬP ĐƠN HÀNG'!$I$6:$I$505,$N26)))</f>
        <v/>
      </c>
      <c r="H26" s="10" t="str">
        <f aca="false">IF($N26="","",N(INDEX('NHẬP ĐƠN HÀNG'!$L$6:$L$505,$N26)))</f>
        <v/>
      </c>
      <c r="I26" s="11" t="str">
        <f aca="false">IF($N26="","",N(INDEX('NHẬP ĐƠN HÀNG'!$N$6:$N$505,$N26)))</f>
        <v/>
      </c>
      <c r="J26" s="10" t="str">
        <f aca="false">IF($N26="","",N(INDEX('NHẬP ĐƠN HÀNG'!$O$6:$O$505,$N26)))</f>
        <v/>
      </c>
      <c r="K26" s="10" t="str">
        <f aca="false">IF($N26="","",N(INDEX('NHẬP ĐƠN HÀNG'!$P$6:$P$505,$N26)))</f>
        <v/>
      </c>
      <c r="L26" s="10" t="str">
        <f aca="false">IF($N26="","",N(INDEX('NHẬP ĐƠN HÀNG'!$Q$6:$Q$505,$N26)))</f>
        <v/>
      </c>
      <c r="M26" s="10" t="str">
        <f aca="false">IF($N26="","",N(INDEX('NHẬP ĐƠN HÀNG'!$R$6:$R$505,$N26)))</f>
        <v/>
      </c>
      <c r="N26" s="0" t="str">
        <f aca="false">IFERROR(MATCH(21,'NHẬP ĐƠN HÀNG'!$Z$6:$Z$505,0),"")</f>
        <v/>
      </c>
    </row>
    <row r="27" customFormat="false" ht="15" hidden="false" customHeight="false" outlineLevel="0" collapsed="false">
      <c r="A27" s="16" t="str">
        <f aca="false">IF($N27="","",22)</f>
        <v/>
      </c>
      <c r="B27" s="34" t="str">
        <f aca="false">IF($N27="","",IF(INDEX('NHẬP ĐƠN HÀNG'!$B$6:$B$505,$N27)="","",INDEX('NHẬP ĐƠN HÀNG'!$B$6:$B$505,$N27)))</f>
        <v/>
      </c>
      <c r="C27" s="16" t="str">
        <f aca="false">IF($N27="","",IF(INDEX('NHẬP ĐƠN HÀNG'!$C$6:$C$505,$N27)="","",INDEX('NHẬP ĐƠN HÀNG'!$C$6:$C$505,$N27)))</f>
        <v/>
      </c>
      <c r="D27" s="16" t="str">
        <f aca="false">IF($N27="","",IF(INDEX('NHẬP ĐƠN HÀNG'!$E$6:$E$505,$N27)="","",INDEX('NHẬP ĐƠN HÀNG'!$E$6:$E$505,$N27)))</f>
        <v/>
      </c>
      <c r="E27" s="16" t="str">
        <f aca="false">IF($N27="","",IF(INDEX('NHẬP ĐƠN HÀNG'!$F$6:$F$505,$N27)="","",INDEX('NHẬP ĐƠN HÀNG'!$F$6:$F$505,$N27)))</f>
        <v/>
      </c>
      <c r="F27" s="16" t="str">
        <f aca="false">IF($N27="","",IF(INDEX('NHẬP ĐƠN HÀNG'!$H$6:$H$505,$N27)="","",INDEX('NHẬP ĐƠN HÀNG'!$H$6:$H$505,$N27)))</f>
        <v/>
      </c>
      <c r="G27" s="10" t="str">
        <f aca="false">IF($N27="","",N(INDEX('NHẬP ĐƠN HÀNG'!$I$6:$I$505,$N27)))</f>
        <v/>
      </c>
      <c r="H27" s="10" t="str">
        <f aca="false">IF($N27="","",N(INDEX('NHẬP ĐƠN HÀNG'!$L$6:$L$505,$N27)))</f>
        <v/>
      </c>
      <c r="I27" s="11" t="str">
        <f aca="false">IF($N27="","",N(INDEX('NHẬP ĐƠN HÀNG'!$N$6:$N$505,$N27)))</f>
        <v/>
      </c>
      <c r="J27" s="10" t="str">
        <f aca="false">IF($N27="","",N(INDEX('NHẬP ĐƠN HÀNG'!$O$6:$O$505,$N27)))</f>
        <v/>
      </c>
      <c r="K27" s="10" t="str">
        <f aca="false">IF($N27="","",N(INDEX('NHẬP ĐƠN HÀNG'!$P$6:$P$505,$N27)))</f>
        <v/>
      </c>
      <c r="L27" s="10" t="str">
        <f aca="false">IF($N27="","",N(INDEX('NHẬP ĐƠN HÀNG'!$Q$6:$Q$505,$N27)))</f>
        <v/>
      </c>
      <c r="M27" s="10" t="str">
        <f aca="false">IF($N27="","",N(INDEX('NHẬP ĐƠN HÀNG'!$R$6:$R$505,$N27)))</f>
        <v/>
      </c>
      <c r="N27" s="0" t="str">
        <f aca="false">IFERROR(MATCH(22,'NHẬP ĐƠN HÀNG'!$Z$6:$Z$505,0),"")</f>
        <v/>
      </c>
    </row>
    <row r="28" customFormat="false" ht="15" hidden="false" customHeight="false" outlineLevel="0" collapsed="false">
      <c r="A28" s="16" t="str">
        <f aca="false">IF($N28="","",23)</f>
        <v/>
      </c>
      <c r="B28" s="34" t="str">
        <f aca="false">IF($N28="","",IF(INDEX('NHẬP ĐƠN HÀNG'!$B$6:$B$505,$N28)="","",INDEX('NHẬP ĐƠN HÀNG'!$B$6:$B$505,$N28)))</f>
        <v/>
      </c>
      <c r="C28" s="16" t="str">
        <f aca="false">IF($N28="","",IF(INDEX('NHẬP ĐƠN HÀNG'!$C$6:$C$505,$N28)="","",INDEX('NHẬP ĐƠN HÀNG'!$C$6:$C$505,$N28)))</f>
        <v/>
      </c>
      <c r="D28" s="16" t="str">
        <f aca="false">IF($N28="","",IF(INDEX('NHẬP ĐƠN HÀNG'!$E$6:$E$505,$N28)="","",INDEX('NHẬP ĐƠN HÀNG'!$E$6:$E$505,$N28)))</f>
        <v/>
      </c>
      <c r="E28" s="16" t="str">
        <f aca="false">IF($N28="","",IF(INDEX('NHẬP ĐƠN HÀNG'!$F$6:$F$505,$N28)="","",INDEX('NHẬP ĐƠN HÀNG'!$F$6:$F$505,$N28)))</f>
        <v/>
      </c>
      <c r="F28" s="16" t="str">
        <f aca="false">IF($N28="","",IF(INDEX('NHẬP ĐƠN HÀNG'!$H$6:$H$505,$N28)="","",INDEX('NHẬP ĐƠN HÀNG'!$H$6:$H$505,$N28)))</f>
        <v/>
      </c>
      <c r="G28" s="10" t="str">
        <f aca="false">IF($N28="","",N(INDEX('NHẬP ĐƠN HÀNG'!$I$6:$I$505,$N28)))</f>
        <v/>
      </c>
      <c r="H28" s="10" t="str">
        <f aca="false">IF($N28="","",N(INDEX('NHẬP ĐƠN HÀNG'!$L$6:$L$505,$N28)))</f>
        <v/>
      </c>
      <c r="I28" s="11" t="str">
        <f aca="false">IF($N28="","",N(INDEX('NHẬP ĐƠN HÀNG'!$N$6:$N$505,$N28)))</f>
        <v/>
      </c>
      <c r="J28" s="10" t="str">
        <f aca="false">IF($N28="","",N(INDEX('NHẬP ĐƠN HÀNG'!$O$6:$O$505,$N28)))</f>
        <v/>
      </c>
      <c r="K28" s="10" t="str">
        <f aca="false">IF($N28="","",N(INDEX('NHẬP ĐƠN HÀNG'!$P$6:$P$505,$N28)))</f>
        <v/>
      </c>
      <c r="L28" s="10" t="str">
        <f aca="false">IF($N28="","",N(INDEX('NHẬP ĐƠN HÀNG'!$Q$6:$Q$505,$N28)))</f>
        <v/>
      </c>
      <c r="M28" s="10" t="str">
        <f aca="false">IF($N28="","",N(INDEX('NHẬP ĐƠN HÀNG'!$R$6:$R$505,$N28)))</f>
        <v/>
      </c>
      <c r="N28" s="0" t="str">
        <f aca="false">IFERROR(MATCH(23,'NHẬP ĐƠN HÀNG'!$Z$6:$Z$505,0),"")</f>
        <v/>
      </c>
    </row>
    <row r="29" customFormat="false" ht="15" hidden="false" customHeight="false" outlineLevel="0" collapsed="false">
      <c r="A29" s="16" t="str">
        <f aca="false">IF($N29="","",24)</f>
        <v/>
      </c>
      <c r="B29" s="34" t="str">
        <f aca="false">IF($N29="","",IF(INDEX('NHẬP ĐƠN HÀNG'!$B$6:$B$505,$N29)="","",INDEX('NHẬP ĐƠN HÀNG'!$B$6:$B$505,$N29)))</f>
        <v/>
      </c>
      <c r="C29" s="16" t="str">
        <f aca="false">IF($N29="","",IF(INDEX('NHẬP ĐƠN HÀNG'!$C$6:$C$505,$N29)="","",INDEX('NHẬP ĐƠN HÀNG'!$C$6:$C$505,$N29)))</f>
        <v/>
      </c>
      <c r="D29" s="16" t="str">
        <f aca="false">IF($N29="","",IF(INDEX('NHẬP ĐƠN HÀNG'!$E$6:$E$505,$N29)="","",INDEX('NHẬP ĐƠN HÀNG'!$E$6:$E$505,$N29)))</f>
        <v/>
      </c>
      <c r="E29" s="16" t="str">
        <f aca="false">IF($N29="","",IF(INDEX('NHẬP ĐƠN HÀNG'!$F$6:$F$505,$N29)="","",INDEX('NHẬP ĐƠN HÀNG'!$F$6:$F$505,$N29)))</f>
        <v/>
      </c>
      <c r="F29" s="16" t="str">
        <f aca="false">IF($N29="","",IF(INDEX('NHẬP ĐƠN HÀNG'!$H$6:$H$505,$N29)="","",INDEX('NHẬP ĐƠN HÀNG'!$H$6:$H$505,$N29)))</f>
        <v/>
      </c>
      <c r="G29" s="10" t="str">
        <f aca="false">IF($N29="","",N(INDEX('NHẬP ĐƠN HÀNG'!$I$6:$I$505,$N29)))</f>
        <v/>
      </c>
      <c r="H29" s="10" t="str">
        <f aca="false">IF($N29="","",N(INDEX('NHẬP ĐƠN HÀNG'!$L$6:$L$505,$N29)))</f>
        <v/>
      </c>
      <c r="I29" s="11" t="str">
        <f aca="false">IF($N29="","",N(INDEX('NHẬP ĐƠN HÀNG'!$N$6:$N$505,$N29)))</f>
        <v/>
      </c>
      <c r="J29" s="10" t="str">
        <f aca="false">IF($N29="","",N(INDEX('NHẬP ĐƠN HÀNG'!$O$6:$O$505,$N29)))</f>
        <v/>
      </c>
      <c r="K29" s="10" t="str">
        <f aca="false">IF($N29="","",N(INDEX('NHẬP ĐƠN HÀNG'!$P$6:$P$505,$N29)))</f>
        <v/>
      </c>
      <c r="L29" s="10" t="str">
        <f aca="false">IF($N29="","",N(INDEX('NHẬP ĐƠN HÀNG'!$Q$6:$Q$505,$N29)))</f>
        <v/>
      </c>
      <c r="M29" s="10" t="str">
        <f aca="false">IF($N29="","",N(INDEX('NHẬP ĐƠN HÀNG'!$R$6:$R$505,$N29)))</f>
        <v/>
      </c>
      <c r="N29" s="0" t="str">
        <f aca="false">IFERROR(MATCH(24,'NHẬP ĐƠN HÀNG'!$Z$6:$Z$505,0),"")</f>
        <v/>
      </c>
    </row>
    <row r="30" customFormat="false" ht="15" hidden="false" customHeight="false" outlineLevel="0" collapsed="false">
      <c r="A30" s="16" t="str">
        <f aca="false">IF($N30="","",25)</f>
        <v/>
      </c>
      <c r="B30" s="34" t="str">
        <f aca="false">IF($N30="","",IF(INDEX('NHẬP ĐƠN HÀNG'!$B$6:$B$505,$N30)="","",INDEX('NHẬP ĐƠN HÀNG'!$B$6:$B$505,$N30)))</f>
        <v/>
      </c>
      <c r="C30" s="16" t="str">
        <f aca="false">IF($N30="","",IF(INDEX('NHẬP ĐƠN HÀNG'!$C$6:$C$505,$N30)="","",INDEX('NHẬP ĐƠN HÀNG'!$C$6:$C$505,$N30)))</f>
        <v/>
      </c>
      <c r="D30" s="16" t="str">
        <f aca="false">IF($N30="","",IF(INDEX('NHẬP ĐƠN HÀNG'!$E$6:$E$505,$N30)="","",INDEX('NHẬP ĐƠN HÀNG'!$E$6:$E$505,$N30)))</f>
        <v/>
      </c>
      <c r="E30" s="16" t="str">
        <f aca="false">IF($N30="","",IF(INDEX('NHẬP ĐƠN HÀNG'!$F$6:$F$505,$N30)="","",INDEX('NHẬP ĐƠN HÀNG'!$F$6:$F$505,$N30)))</f>
        <v/>
      </c>
      <c r="F30" s="16" t="str">
        <f aca="false">IF($N30="","",IF(INDEX('NHẬP ĐƠN HÀNG'!$H$6:$H$505,$N30)="","",INDEX('NHẬP ĐƠN HÀNG'!$H$6:$H$505,$N30)))</f>
        <v/>
      </c>
      <c r="G30" s="10" t="str">
        <f aca="false">IF($N30="","",N(INDEX('NHẬP ĐƠN HÀNG'!$I$6:$I$505,$N30)))</f>
        <v/>
      </c>
      <c r="H30" s="10" t="str">
        <f aca="false">IF($N30="","",N(INDEX('NHẬP ĐƠN HÀNG'!$L$6:$L$505,$N30)))</f>
        <v/>
      </c>
      <c r="I30" s="11" t="str">
        <f aca="false">IF($N30="","",N(INDEX('NHẬP ĐƠN HÀNG'!$N$6:$N$505,$N30)))</f>
        <v/>
      </c>
      <c r="J30" s="10" t="str">
        <f aca="false">IF($N30="","",N(INDEX('NHẬP ĐƠN HÀNG'!$O$6:$O$505,$N30)))</f>
        <v/>
      </c>
      <c r="K30" s="10" t="str">
        <f aca="false">IF($N30="","",N(INDEX('NHẬP ĐƠN HÀNG'!$P$6:$P$505,$N30)))</f>
        <v/>
      </c>
      <c r="L30" s="10" t="str">
        <f aca="false">IF($N30="","",N(INDEX('NHẬP ĐƠN HÀNG'!$Q$6:$Q$505,$N30)))</f>
        <v/>
      </c>
      <c r="M30" s="10" t="str">
        <f aca="false">IF($N30="","",N(INDEX('NHẬP ĐƠN HÀNG'!$R$6:$R$505,$N30)))</f>
        <v/>
      </c>
      <c r="N30" s="0" t="str">
        <f aca="false">IFERROR(MATCH(25,'NHẬP ĐƠN HÀNG'!$Z$6:$Z$505,0),"")</f>
        <v/>
      </c>
    </row>
    <row r="31" customFormat="false" ht="15" hidden="false" customHeight="false" outlineLevel="0" collapsed="false">
      <c r="A31" s="16" t="str">
        <f aca="false">IF($N31="","",26)</f>
        <v/>
      </c>
      <c r="B31" s="34" t="str">
        <f aca="false">IF($N31="","",IF(INDEX('NHẬP ĐƠN HÀNG'!$B$6:$B$505,$N31)="","",INDEX('NHẬP ĐƠN HÀNG'!$B$6:$B$505,$N31)))</f>
        <v/>
      </c>
      <c r="C31" s="16" t="str">
        <f aca="false">IF($N31="","",IF(INDEX('NHẬP ĐƠN HÀNG'!$C$6:$C$505,$N31)="","",INDEX('NHẬP ĐƠN HÀNG'!$C$6:$C$505,$N31)))</f>
        <v/>
      </c>
      <c r="D31" s="16" t="str">
        <f aca="false">IF($N31="","",IF(INDEX('NHẬP ĐƠN HÀNG'!$E$6:$E$505,$N31)="","",INDEX('NHẬP ĐƠN HÀNG'!$E$6:$E$505,$N31)))</f>
        <v/>
      </c>
      <c r="E31" s="16" t="str">
        <f aca="false">IF($N31="","",IF(INDEX('NHẬP ĐƠN HÀNG'!$F$6:$F$505,$N31)="","",INDEX('NHẬP ĐƠN HÀNG'!$F$6:$F$505,$N31)))</f>
        <v/>
      </c>
      <c r="F31" s="16" t="str">
        <f aca="false">IF($N31="","",IF(INDEX('NHẬP ĐƠN HÀNG'!$H$6:$H$505,$N31)="","",INDEX('NHẬP ĐƠN HÀNG'!$H$6:$H$505,$N31)))</f>
        <v/>
      </c>
      <c r="G31" s="10" t="str">
        <f aca="false">IF($N31="","",N(INDEX('NHẬP ĐƠN HÀNG'!$I$6:$I$505,$N31)))</f>
        <v/>
      </c>
      <c r="H31" s="10" t="str">
        <f aca="false">IF($N31="","",N(INDEX('NHẬP ĐƠN HÀNG'!$L$6:$L$505,$N31)))</f>
        <v/>
      </c>
      <c r="I31" s="11" t="str">
        <f aca="false">IF($N31="","",N(INDEX('NHẬP ĐƠN HÀNG'!$N$6:$N$505,$N31)))</f>
        <v/>
      </c>
      <c r="J31" s="10" t="str">
        <f aca="false">IF($N31="","",N(INDEX('NHẬP ĐƠN HÀNG'!$O$6:$O$505,$N31)))</f>
        <v/>
      </c>
      <c r="K31" s="10" t="str">
        <f aca="false">IF($N31="","",N(INDEX('NHẬP ĐƠN HÀNG'!$P$6:$P$505,$N31)))</f>
        <v/>
      </c>
      <c r="L31" s="10" t="str">
        <f aca="false">IF($N31="","",N(INDEX('NHẬP ĐƠN HÀNG'!$Q$6:$Q$505,$N31)))</f>
        <v/>
      </c>
      <c r="M31" s="10" t="str">
        <f aca="false">IF($N31="","",N(INDEX('NHẬP ĐƠN HÀNG'!$R$6:$R$505,$N31)))</f>
        <v/>
      </c>
      <c r="N31" s="0" t="str">
        <f aca="false">IFERROR(MATCH(26,'NHẬP ĐƠN HÀNG'!$Z$6:$Z$505,0),"")</f>
        <v/>
      </c>
    </row>
    <row r="32" customFormat="false" ht="15" hidden="false" customHeight="false" outlineLevel="0" collapsed="false">
      <c r="A32" s="16" t="str">
        <f aca="false">IF($N32="","",27)</f>
        <v/>
      </c>
      <c r="B32" s="34" t="str">
        <f aca="false">IF($N32="","",IF(INDEX('NHẬP ĐƠN HÀNG'!$B$6:$B$505,$N32)="","",INDEX('NHẬP ĐƠN HÀNG'!$B$6:$B$505,$N32)))</f>
        <v/>
      </c>
      <c r="C32" s="16" t="str">
        <f aca="false">IF($N32="","",IF(INDEX('NHẬP ĐƠN HÀNG'!$C$6:$C$505,$N32)="","",INDEX('NHẬP ĐƠN HÀNG'!$C$6:$C$505,$N32)))</f>
        <v/>
      </c>
      <c r="D32" s="16" t="str">
        <f aca="false">IF($N32="","",IF(INDEX('NHẬP ĐƠN HÀNG'!$E$6:$E$505,$N32)="","",INDEX('NHẬP ĐƠN HÀNG'!$E$6:$E$505,$N32)))</f>
        <v/>
      </c>
      <c r="E32" s="16" t="str">
        <f aca="false">IF($N32="","",IF(INDEX('NHẬP ĐƠN HÀNG'!$F$6:$F$505,$N32)="","",INDEX('NHẬP ĐƠN HÀNG'!$F$6:$F$505,$N32)))</f>
        <v/>
      </c>
      <c r="F32" s="16" t="str">
        <f aca="false">IF($N32="","",IF(INDEX('NHẬP ĐƠN HÀNG'!$H$6:$H$505,$N32)="","",INDEX('NHẬP ĐƠN HÀNG'!$H$6:$H$505,$N32)))</f>
        <v/>
      </c>
      <c r="G32" s="10" t="str">
        <f aca="false">IF($N32="","",N(INDEX('NHẬP ĐƠN HÀNG'!$I$6:$I$505,$N32)))</f>
        <v/>
      </c>
      <c r="H32" s="10" t="str">
        <f aca="false">IF($N32="","",N(INDEX('NHẬP ĐƠN HÀNG'!$L$6:$L$505,$N32)))</f>
        <v/>
      </c>
      <c r="I32" s="11" t="str">
        <f aca="false">IF($N32="","",N(INDEX('NHẬP ĐƠN HÀNG'!$N$6:$N$505,$N32)))</f>
        <v/>
      </c>
      <c r="J32" s="10" t="str">
        <f aca="false">IF($N32="","",N(INDEX('NHẬP ĐƠN HÀNG'!$O$6:$O$505,$N32)))</f>
        <v/>
      </c>
      <c r="K32" s="10" t="str">
        <f aca="false">IF($N32="","",N(INDEX('NHẬP ĐƠN HÀNG'!$P$6:$P$505,$N32)))</f>
        <v/>
      </c>
      <c r="L32" s="10" t="str">
        <f aca="false">IF($N32="","",N(INDEX('NHẬP ĐƠN HÀNG'!$Q$6:$Q$505,$N32)))</f>
        <v/>
      </c>
      <c r="M32" s="10" t="str">
        <f aca="false">IF($N32="","",N(INDEX('NHẬP ĐƠN HÀNG'!$R$6:$R$505,$N32)))</f>
        <v/>
      </c>
      <c r="N32" s="0" t="str">
        <f aca="false">IFERROR(MATCH(27,'NHẬP ĐƠN HÀNG'!$Z$6:$Z$505,0),"")</f>
        <v/>
      </c>
    </row>
    <row r="33" customFormat="false" ht="15" hidden="false" customHeight="false" outlineLevel="0" collapsed="false">
      <c r="A33" s="16" t="str">
        <f aca="false">IF($N33="","",28)</f>
        <v/>
      </c>
      <c r="B33" s="34" t="str">
        <f aca="false">IF($N33="","",IF(INDEX('NHẬP ĐƠN HÀNG'!$B$6:$B$505,$N33)="","",INDEX('NHẬP ĐƠN HÀNG'!$B$6:$B$505,$N33)))</f>
        <v/>
      </c>
      <c r="C33" s="16" t="str">
        <f aca="false">IF($N33="","",IF(INDEX('NHẬP ĐƠN HÀNG'!$C$6:$C$505,$N33)="","",INDEX('NHẬP ĐƠN HÀNG'!$C$6:$C$505,$N33)))</f>
        <v/>
      </c>
      <c r="D33" s="16" t="str">
        <f aca="false">IF($N33="","",IF(INDEX('NHẬP ĐƠN HÀNG'!$E$6:$E$505,$N33)="","",INDEX('NHẬP ĐƠN HÀNG'!$E$6:$E$505,$N33)))</f>
        <v/>
      </c>
      <c r="E33" s="16" t="str">
        <f aca="false">IF($N33="","",IF(INDEX('NHẬP ĐƠN HÀNG'!$F$6:$F$505,$N33)="","",INDEX('NHẬP ĐƠN HÀNG'!$F$6:$F$505,$N33)))</f>
        <v/>
      </c>
      <c r="F33" s="16" t="str">
        <f aca="false">IF($N33="","",IF(INDEX('NHẬP ĐƠN HÀNG'!$H$6:$H$505,$N33)="","",INDEX('NHẬP ĐƠN HÀNG'!$H$6:$H$505,$N33)))</f>
        <v/>
      </c>
      <c r="G33" s="10" t="str">
        <f aca="false">IF($N33="","",N(INDEX('NHẬP ĐƠN HÀNG'!$I$6:$I$505,$N33)))</f>
        <v/>
      </c>
      <c r="H33" s="10" t="str">
        <f aca="false">IF($N33="","",N(INDEX('NHẬP ĐƠN HÀNG'!$L$6:$L$505,$N33)))</f>
        <v/>
      </c>
      <c r="I33" s="11" t="str">
        <f aca="false">IF($N33="","",N(INDEX('NHẬP ĐƠN HÀNG'!$N$6:$N$505,$N33)))</f>
        <v/>
      </c>
      <c r="J33" s="10" t="str">
        <f aca="false">IF($N33="","",N(INDEX('NHẬP ĐƠN HÀNG'!$O$6:$O$505,$N33)))</f>
        <v/>
      </c>
      <c r="K33" s="10" t="str">
        <f aca="false">IF($N33="","",N(INDEX('NHẬP ĐƠN HÀNG'!$P$6:$P$505,$N33)))</f>
        <v/>
      </c>
      <c r="L33" s="10" t="str">
        <f aca="false">IF($N33="","",N(INDEX('NHẬP ĐƠN HÀNG'!$Q$6:$Q$505,$N33)))</f>
        <v/>
      </c>
      <c r="M33" s="10" t="str">
        <f aca="false">IF($N33="","",N(INDEX('NHẬP ĐƠN HÀNG'!$R$6:$R$505,$N33)))</f>
        <v/>
      </c>
      <c r="N33" s="0" t="str">
        <f aca="false">IFERROR(MATCH(28,'NHẬP ĐƠN HÀNG'!$Z$6:$Z$505,0),"")</f>
        <v/>
      </c>
    </row>
    <row r="34" customFormat="false" ht="15" hidden="false" customHeight="false" outlineLevel="0" collapsed="false">
      <c r="A34" s="16" t="str">
        <f aca="false">IF($N34="","",29)</f>
        <v/>
      </c>
      <c r="B34" s="34" t="str">
        <f aca="false">IF($N34="","",IF(INDEX('NHẬP ĐƠN HÀNG'!$B$6:$B$505,$N34)="","",INDEX('NHẬP ĐƠN HÀNG'!$B$6:$B$505,$N34)))</f>
        <v/>
      </c>
      <c r="C34" s="16" t="str">
        <f aca="false">IF($N34="","",IF(INDEX('NHẬP ĐƠN HÀNG'!$C$6:$C$505,$N34)="","",INDEX('NHẬP ĐƠN HÀNG'!$C$6:$C$505,$N34)))</f>
        <v/>
      </c>
      <c r="D34" s="16" t="str">
        <f aca="false">IF($N34="","",IF(INDEX('NHẬP ĐƠN HÀNG'!$E$6:$E$505,$N34)="","",INDEX('NHẬP ĐƠN HÀNG'!$E$6:$E$505,$N34)))</f>
        <v/>
      </c>
      <c r="E34" s="16" t="str">
        <f aca="false">IF($N34="","",IF(INDEX('NHẬP ĐƠN HÀNG'!$F$6:$F$505,$N34)="","",INDEX('NHẬP ĐƠN HÀNG'!$F$6:$F$505,$N34)))</f>
        <v/>
      </c>
      <c r="F34" s="16" t="str">
        <f aca="false">IF($N34="","",IF(INDEX('NHẬP ĐƠN HÀNG'!$H$6:$H$505,$N34)="","",INDEX('NHẬP ĐƠN HÀNG'!$H$6:$H$505,$N34)))</f>
        <v/>
      </c>
      <c r="G34" s="10" t="str">
        <f aca="false">IF($N34="","",N(INDEX('NHẬP ĐƠN HÀNG'!$I$6:$I$505,$N34)))</f>
        <v/>
      </c>
      <c r="H34" s="10" t="str">
        <f aca="false">IF($N34="","",N(INDEX('NHẬP ĐƠN HÀNG'!$L$6:$L$505,$N34)))</f>
        <v/>
      </c>
      <c r="I34" s="11" t="str">
        <f aca="false">IF($N34="","",N(INDEX('NHẬP ĐƠN HÀNG'!$N$6:$N$505,$N34)))</f>
        <v/>
      </c>
      <c r="J34" s="10" t="str">
        <f aca="false">IF($N34="","",N(INDEX('NHẬP ĐƠN HÀNG'!$O$6:$O$505,$N34)))</f>
        <v/>
      </c>
      <c r="K34" s="10" t="str">
        <f aca="false">IF($N34="","",N(INDEX('NHẬP ĐƠN HÀNG'!$P$6:$P$505,$N34)))</f>
        <v/>
      </c>
      <c r="L34" s="10" t="str">
        <f aca="false">IF($N34="","",N(INDEX('NHẬP ĐƠN HÀNG'!$Q$6:$Q$505,$N34)))</f>
        <v/>
      </c>
      <c r="M34" s="10" t="str">
        <f aca="false">IF($N34="","",N(INDEX('NHẬP ĐƠN HÀNG'!$R$6:$R$505,$N34)))</f>
        <v/>
      </c>
      <c r="N34" s="0" t="str">
        <f aca="false">IFERROR(MATCH(29,'NHẬP ĐƠN HÀNG'!$Z$6:$Z$505,0),"")</f>
        <v/>
      </c>
    </row>
    <row r="35" customFormat="false" ht="15" hidden="false" customHeight="false" outlineLevel="0" collapsed="false">
      <c r="A35" s="16" t="str">
        <f aca="false">IF($N35="","",30)</f>
        <v/>
      </c>
      <c r="B35" s="34" t="str">
        <f aca="false">IF($N35="","",IF(INDEX('NHẬP ĐƠN HÀNG'!$B$6:$B$505,$N35)="","",INDEX('NHẬP ĐƠN HÀNG'!$B$6:$B$505,$N35)))</f>
        <v/>
      </c>
      <c r="C35" s="16" t="str">
        <f aca="false">IF($N35="","",IF(INDEX('NHẬP ĐƠN HÀNG'!$C$6:$C$505,$N35)="","",INDEX('NHẬP ĐƠN HÀNG'!$C$6:$C$505,$N35)))</f>
        <v/>
      </c>
      <c r="D35" s="16" t="str">
        <f aca="false">IF($N35="","",IF(INDEX('NHẬP ĐƠN HÀNG'!$E$6:$E$505,$N35)="","",INDEX('NHẬP ĐƠN HÀNG'!$E$6:$E$505,$N35)))</f>
        <v/>
      </c>
      <c r="E35" s="16" t="str">
        <f aca="false">IF($N35="","",IF(INDEX('NHẬP ĐƠN HÀNG'!$F$6:$F$505,$N35)="","",INDEX('NHẬP ĐƠN HÀNG'!$F$6:$F$505,$N35)))</f>
        <v/>
      </c>
      <c r="F35" s="16" t="str">
        <f aca="false">IF($N35="","",IF(INDEX('NHẬP ĐƠN HÀNG'!$H$6:$H$505,$N35)="","",INDEX('NHẬP ĐƠN HÀNG'!$H$6:$H$505,$N35)))</f>
        <v/>
      </c>
      <c r="G35" s="10" t="str">
        <f aca="false">IF($N35="","",N(INDEX('NHẬP ĐƠN HÀNG'!$I$6:$I$505,$N35)))</f>
        <v/>
      </c>
      <c r="H35" s="10" t="str">
        <f aca="false">IF($N35="","",N(INDEX('NHẬP ĐƠN HÀNG'!$L$6:$L$505,$N35)))</f>
        <v/>
      </c>
      <c r="I35" s="11" t="str">
        <f aca="false">IF($N35="","",N(INDEX('NHẬP ĐƠN HÀNG'!$N$6:$N$505,$N35)))</f>
        <v/>
      </c>
      <c r="J35" s="10" t="str">
        <f aca="false">IF($N35="","",N(INDEX('NHẬP ĐƠN HÀNG'!$O$6:$O$505,$N35)))</f>
        <v/>
      </c>
      <c r="K35" s="10" t="str">
        <f aca="false">IF($N35="","",N(INDEX('NHẬP ĐƠN HÀNG'!$P$6:$P$505,$N35)))</f>
        <v/>
      </c>
      <c r="L35" s="10" t="str">
        <f aca="false">IF($N35="","",N(INDEX('NHẬP ĐƠN HÀNG'!$Q$6:$Q$505,$N35)))</f>
        <v/>
      </c>
      <c r="M35" s="10" t="str">
        <f aca="false">IF($N35="","",N(INDEX('NHẬP ĐƠN HÀNG'!$R$6:$R$505,$N35)))</f>
        <v/>
      </c>
      <c r="N35" s="0" t="str">
        <f aca="false">IFERROR(MATCH(30,'NHẬP ĐƠN HÀNG'!$Z$6:$Z$505,0),"")</f>
        <v/>
      </c>
    </row>
    <row r="36" customFormat="false" ht="15" hidden="false" customHeight="false" outlineLevel="0" collapsed="false">
      <c r="A36" s="16" t="str">
        <f aca="false">IF($N36="","",31)</f>
        <v/>
      </c>
      <c r="B36" s="34" t="str">
        <f aca="false">IF($N36="","",IF(INDEX('NHẬP ĐƠN HÀNG'!$B$6:$B$505,$N36)="","",INDEX('NHẬP ĐƠN HÀNG'!$B$6:$B$505,$N36)))</f>
        <v/>
      </c>
      <c r="C36" s="16" t="str">
        <f aca="false">IF($N36="","",IF(INDEX('NHẬP ĐƠN HÀNG'!$C$6:$C$505,$N36)="","",INDEX('NHẬP ĐƠN HÀNG'!$C$6:$C$505,$N36)))</f>
        <v/>
      </c>
      <c r="D36" s="16" t="str">
        <f aca="false">IF($N36="","",IF(INDEX('NHẬP ĐƠN HÀNG'!$E$6:$E$505,$N36)="","",INDEX('NHẬP ĐƠN HÀNG'!$E$6:$E$505,$N36)))</f>
        <v/>
      </c>
      <c r="E36" s="16" t="str">
        <f aca="false">IF($N36="","",IF(INDEX('NHẬP ĐƠN HÀNG'!$F$6:$F$505,$N36)="","",INDEX('NHẬP ĐƠN HÀNG'!$F$6:$F$505,$N36)))</f>
        <v/>
      </c>
      <c r="F36" s="16" t="str">
        <f aca="false">IF($N36="","",IF(INDEX('NHẬP ĐƠN HÀNG'!$H$6:$H$505,$N36)="","",INDEX('NHẬP ĐƠN HÀNG'!$H$6:$H$505,$N36)))</f>
        <v/>
      </c>
      <c r="G36" s="10" t="str">
        <f aca="false">IF($N36="","",N(INDEX('NHẬP ĐƠN HÀNG'!$I$6:$I$505,$N36)))</f>
        <v/>
      </c>
      <c r="H36" s="10" t="str">
        <f aca="false">IF($N36="","",N(INDEX('NHẬP ĐƠN HÀNG'!$L$6:$L$505,$N36)))</f>
        <v/>
      </c>
      <c r="I36" s="11" t="str">
        <f aca="false">IF($N36="","",N(INDEX('NHẬP ĐƠN HÀNG'!$N$6:$N$505,$N36)))</f>
        <v/>
      </c>
      <c r="J36" s="10" t="str">
        <f aca="false">IF($N36="","",N(INDEX('NHẬP ĐƠN HÀNG'!$O$6:$O$505,$N36)))</f>
        <v/>
      </c>
      <c r="K36" s="10" t="str">
        <f aca="false">IF($N36="","",N(INDEX('NHẬP ĐƠN HÀNG'!$P$6:$P$505,$N36)))</f>
        <v/>
      </c>
      <c r="L36" s="10" t="str">
        <f aca="false">IF($N36="","",N(INDEX('NHẬP ĐƠN HÀNG'!$Q$6:$Q$505,$N36)))</f>
        <v/>
      </c>
      <c r="M36" s="10" t="str">
        <f aca="false">IF($N36="","",N(INDEX('NHẬP ĐƠN HÀNG'!$R$6:$R$505,$N36)))</f>
        <v/>
      </c>
      <c r="N36" s="0" t="str">
        <f aca="false">IFERROR(MATCH(31,'NHẬP ĐƠN HÀNG'!$Z$6:$Z$505,0),"")</f>
        <v/>
      </c>
    </row>
    <row r="37" customFormat="false" ht="15" hidden="false" customHeight="false" outlineLevel="0" collapsed="false">
      <c r="A37" s="16" t="str">
        <f aca="false">IF($N37="","",32)</f>
        <v/>
      </c>
      <c r="B37" s="34" t="str">
        <f aca="false">IF($N37="","",IF(INDEX('NHẬP ĐƠN HÀNG'!$B$6:$B$505,$N37)="","",INDEX('NHẬP ĐƠN HÀNG'!$B$6:$B$505,$N37)))</f>
        <v/>
      </c>
      <c r="C37" s="16" t="str">
        <f aca="false">IF($N37="","",IF(INDEX('NHẬP ĐƠN HÀNG'!$C$6:$C$505,$N37)="","",INDEX('NHẬP ĐƠN HÀNG'!$C$6:$C$505,$N37)))</f>
        <v/>
      </c>
      <c r="D37" s="16" t="str">
        <f aca="false">IF($N37="","",IF(INDEX('NHẬP ĐƠN HÀNG'!$E$6:$E$505,$N37)="","",INDEX('NHẬP ĐƠN HÀNG'!$E$6:$E$505,$N37)))</f>
        <v/>
      </c>
      <c r="E37" s="16" t="str">
        <f aca="false">IF($N37="","",IF(INDEX('NHẬP ĐƠN HÀNG'!$F$6:$F$505,$N37)="","",INDEX('NHẬP ĐƠN HÀNG'!$F$6:$F$505,$N37)))</f>
        <v/>
      </c>
      <c r="F37" s="16" t="str">
        <f aca="false">IF($N37="","",IF(INDEX('NHẬP ĐƠN HÀNG'!$H$6:$H$505,$N37)="","",INDEX('NHẬP ĐƠN HÀNG'!$H$6:$H$505,$N37)))</f>
        <v/>
      </c>
      <c r="G37" s="10" t="str">
        <f aca="false">IF($N37="","",N(INDEX('NHẬP ĐƠN HÀNG'!$I$6:$I$505,$N37)))</f>
        <v/>
      </c>
      <c r="H37" s="10" t="str">
        <f aca="false">IF($N37="","",N(INDEX('NHẬP ĐƠN HÀNG'!$L$6:$L$505,$N37)))</f>
        <v/>
      </c>
      <c r="I37" s="11" t="str">
        <f aca="false">IF($N37="","",N(INDEX('NHẬP ĐƠN HÀNG'!$N$6:$N$505,$N37)))</f>
        <v/>
      </c>
      <c r="J37" s="10" t="str">
        <f aca="false">IF($N37="","",N(INDEX('NHẬP ĐƠN HÀNG'!$O$6:$O$505,$N37)))</f>
        <v/>
      </c>
      <c r="K37" s="10" t="str">
        <f aca="false">IF($N37="","",N(INDEX('NHẬP ĐƠN HÀNG'!$P$6:$P$505,$N37)))</f>
        <v/>
      </c>
      <c r="L37" s="10" t="str">
        <f aca="false">IF($N37="","",N(INDEX('NHẬP ĐƠN HÀNG'!$Q$6:$Q$505,$N37)))</f>
        <v/>
      </c>
      <c r="M37" s="10" t="str">
        <f aca="false">IF($N37="","",N(INDEX('NHẬP ĐƠN HÀNG'!$R$6:$R$505,$N37)))</f>
        <v/>
      </c>
      <c r="N37" s="0" t="str">
        <f aca="false">IFERROR(MATCH(32,'NHẬP ĐƠN HÀNG'!$Z$6:$Z$505,0),"")</f>
        <v/>
      </c>
    </row>
    <row r="38" customFormat="false" ht="15" hidden="false" customHeight="false" outlineLevel="0" collapsed="false">
      <c r="A38" s="16" t="str">
        <f aca="false">IF($N38="","",33)</f>
        <v/>
      </c>
      <c r="B38" s="34" t="str">
        <f aca="false">IF($N38="","",IF(INDEX('NHẬP ĐƠN HÀNG'!$B$6:$B$505,$N38)="","",INDEX('NHẬP ĐƠN HÀNG'!$B$6:$B$505,$N38)))</f>
        <v/>
      </c>
      <c r="C38" s="16" t="str">
        <f aca="false">IF($N38="","",IF(INDEX('NHẬP ĐƠN HÀNG'!$C$6:$C$505,$N38)="","",INDEX('NHẬP ĐƠN HÀNG'!$C$6:$C$505,$N38)))</f>
        <v/>
      </c>
      <c r="D38" s="16" t="str">
        <f aca="false">IF($N38="","",IF(INDEX('NHẬP ĐƠN HÀNG'!$E$6:$E$505,$N38)="","",INDEX('NHẬP ĐƠN HÀNG'!$E$6:$E$505,$N38)))</f>
        <v/>
      </c>
      <c r="E38" s="16" t="str">
        <f aca="false">IF($N38="","",IF(INDEX('NHẬP ĐƠN HÀNG'!$F$6:$F$505,$N38)="","",INDEX('NHẬP ĐƠN HÀNG'!$F$6:$F$505,$N38)))</f>
        <v/>
      </c>
      <c r="F38" s="16" t="str">
        <f aca="false">IF($N38="","",IF(INDEX('NHẬP ĐƠN HÀNG'!$H$6:$H$505,$N38)="","",INDEX('NHẬP ĐƠN HÀNG'!$H$6:$H$505,$N38)))</f>
        <v/>
      </c>
      <c r="G38" s="10" t="str">
        <f aca="false">IF($N38="","",N(INDEX('NHẬP ĐƠN HÀNG'!$I$6:$I$505,$N38)))</f>
        <v/>
      </c>
      <c r="H38" s="10" t="str">
        <f aca="false">IF($N38="","",N(INDEX('NHẬP ĐƠN HÀNG'!$L$6:$L$505,$N38)))</f>
        <v/>
      </c>
      <c r="I38" s="11" t="str">
        <f aca="false">IF($N38="","",N(INDEX('NHẬP ĐƠN HÀNG'!$N$6:$N$505,$N38)))</f>
        <v/>
      </c>
      <c r="J38" s="10" t="str">
        <f aca="false">IF($N38="","",N(INDEX('NHẬP ĐƠN HÀNG'!$O$6:$O$505,$N38)))</f>
        <v/>
      </c>
      <c r="K38" s="10" t="str">
        <f aca="false">IF($N38="","",N(INDEX('NHẬP ĐƠN HÀNG'!$P$6:$P$505,$N38)))</f>
        <v/>
      </c>
      <c r="L38" s="10" t="str">
        <f aca="false">IF($N38="","",N(INDEX('NHẬP ĐƠN HÀNG'!$Q$6:$Q$505,$N38)))</f>
        <v/>
      </c>
      <c r="M38" s="10" t="str">
        <f aca="false">IF($N38="","",N(INDEX('NHẬP ĐƠN HÀNG'!$R$6:$R$505,$N38)))</f>
        <v/>
      </c>
      <c r="N38" s="0" t="str">
        <f aca="false">IFERROR(MATCH(33,'NHẬP ĐƠN HÀNG'!$Z$6:$Z$505,0),"")</f>
        <v/>
      </c>
    </row>
    <row r="39" customFormat="false" ht="15" hidden="false" customHeight="false" outlineLevel="0" collapsed="false">
      <c r="A39" s="16" t="str">
        <f aca="false">IF($N39="","",34)</f>
        <v/>
      </c>
      <c r="B39" s="34" t="str">
        <f aca="false">IF($N39="","",IF(INDEX('NHẬP ĐƠN HÀNG'!$B$6:$B$505,$N39)="","",INDEX('NHẬP ĐƠN HÀNG'!$B$6:$B$505,$N39)))</f>
        <v/>
      </c>
      <c r="C39" s="16" t="str">
        <f aca="false">IF($N39="","",IF(INDEX('NHẬP ĐƠN HÀNG'!$C$6:$C$505,$N39)="","",INDEX('NHẬP ĐƠN HÀNG'!$C$6:$C$505,$N39)))</f>
        <v/>
      </c>
      <c r="D39" s="16" t="str">
        <f aca="false">IF($N39="","",IF(INDEX('NHẬP ĐƠN HÀNG'!$E$6:$E$505,$N39)="","",INDEX('NHẬP ĐƠN HÀNG'!$E$6:$E$505,$N39)))</f>
        <v/>
      </c>
      <c r="E39" s="16" t="str">
        <f aca="false">IF($N39="","",IF(INDEX('NHẬP ĐƠN HÀNG'!$F$6:$F$505,$N39)="","",INDEX('NHẬP ĐƠN HÀNG'!$F$6:$F$505,$N39)))</f>
        <v/>
      </c>
      <c r="F39" s="16" t="str">
        <f aca="false">IF($N39="","",IF(INDEX('NHẬP ĐƠN HÀNG'!$H$6:$H$505,$N39)="","",INDEX('NHẬP ĐƠN HÀNG'!$H$6:$H$505,$N39)))</f>
        <v/>
      </c>
      <c r="G39" s="10" t="str">
        <f aca="false">IF($N39="","",N(INDEX('NHẬP ĐƠN HÀNG'!$I$6:$I$505,$N39)))</f>
        <v/>
      </c>
      <c r="H39" s="10" t="str">
        <f aca="false">IF($N39="","",N(INDEX('NHẬP ĐƠN HÀNG'!$L$6:$L$505,$N39)))</f>
        <v/>
      </c>
      <c r="I39" s="11" t="str">
        <f aca="false">IF($N39="","",N(INDEX('NHẬP ĐƠN HÀNG'!$N$6:$N$505,$N39)))</f>
        <v/>
      </c>
      <c r="J39" s="10" t="str">
        <f aca="false">IF($N39="","",N(INDEX('NHẬP ĐƠN HÀNG'!$O$6:$O$505,$N39)))</f>
        <v/>
      </c>
      <c r="K39" s="10" t="str">
        <f aca="false">IF($N39="","",N(INDEX('NHẬP ĐƠN HÀNG'!$P$6:$P$505,$N39)))</f>
        <v/>
      </c>
      <c r="L39" s="10" t="str">
        <f aca="false">IF($N39="","",N(INDEX('NHẬP ĐƠN HÀNG'!$Q$6:$Q$505,$N39)))</f>
        <v/>
      </c>
      <c r="M39" s="10" t="str">
        <f aca="false">IF($N39="","",N(INDEX('NHẬP ĐƠN HÀNG'!$R$6:$R$505,$N39)))</f>
        <v/>
      </c>
      <c r="N39" s="0" t="str">
        <f aca="false">IFERROR(MATCH(34,'NHẬP ĐƠN HÀNG'!$Z$6:$Z$505,0),"")</f>
        <v/>
      </c>
    </row>
    <row r="40" customFormat="false" ht="15" hidden="false" customHeight="false" outlineLevel="0" collapsed="false">
      <c r="A40" s="16" t="str">
        <f aca="false">IF($N40="","",35)</f>
        <v/>
      </c>
      <c r="B40" s="34" t="str">
        <f aca="false">IF($N40="","",IF(INDEX('NHẬP ĐƠN HÀNG'!$B$6:$B$505,$N40)="","",INDEX('NHẬP ĐƠN HÀNG'!$B$6:$B$505,$N40)))</f>
        <v/>
      </c>
      <c r="C40" s="16" t="str">
        <f aca="false">IF($N40="","",IF(INDEX('NHẬP ĐƠN HÀNG'!$C$6:$C$505,$N40)="","",INDEX('NHẬP ĐƠN HÀNG'!$C$6:$C$505,$N40)))</f>
        <v/>
      </c>
      <c r="D40" s="16" t="str">
        <f aca="false">IF($N40="","",IF(INDEX('NHẬP ĐƠN HÀNG'!$E$6:$E$505,$N40)="","",INDEX('NHẬP ĐƠN HÀNG'!$E$6:$E$505,$N40)))</f>
        <v/>
      </c>
      <c r="E40" s="16" t="str">
        <f aca="false">IF($N40="","",IF(INDEX('NHẬP ĐƠN HÀNG'!$F$6:$F$505,$N40)="","",INDEX('NHẬP ĐƠN HÀNG'!$F$6:$F$505,$N40)))</f>
        <v/>
      </c>
      <c r="F40" s="16" t="str">
        <f aca="false">IF($N40="","",IF(INDEX('NHẬP ĐƠN HÀNG'!$H$6:$H$505,$N40)="","",INDEX('NHẬP ĐƠN HÀNG'!$H$6:$H$505,$N40)))</f>
        <v/>
      </c>
      <c r="G40" s="10" t="str">
        <f aca="false">IF($N40="","",N(INDEX('NHẬP ĐƠN HÀNG'!$I$6:$I$505,$N40)))</f>
        <v/>
      </c>
      <c r="H40" s="10" t="str">
        <f aca="false">IF($N40="","",N(INDEX('NHẬP ĐƠN HÀNG'!$L$6:$L$505,$N40)))</f>
        <v/>
      </c>
      <c r="I40" s="11" t="str">
        <f aca="false">IF($N40="","",N(INDEX('NHẬP ĐƠN HÀNG'!$N$6:$N$505,$N40)))</f>
        <v/>
      </c>
      <c r="J40" s="10" t="str">
        <f aca="false">IF($N40="","",N(INDEX('NHẬP ĐƠN HÀNG'!$O$6:$O$505,$N40)))</f>
        <v/>
      </c>
      <c r="K40" s="10" t="str">
        <f aca="false">IF($N40="","",N(INDEX('NHẬP ĐƠN HÀNG'!$P$6:$P$505,$N40)))</f>
        <v/>
      </c>
      <c r="L40" s="10" t="str">
        <f aca="false">IF($N40="","",N(INDEX('NHẬP ĐƠN HÀNG'!$Q$6:$Q$505,$N40)))</f>
        <v/>
      </c>
      <c r="M40" s="10" t="str">
        <f aca="false">IF($N40="","",N(INDEX('NHẬP ĐƠN HÀNG'!$R$6:$R$505,$N40)))</f>
        <v/>
      </c>
      <c r="N40" s="0" t="str">
        <f aca="false">IFERROR(MATCH(35,'NHẬP ĐƠN HÀNG'!$Z$6:$Z$505,0),"")</f>
        <v/>
      </c>
    </row>
    <row r="41" customFormat="false" ht="15" hidden="false" customHeight="false" outlineLevel="0" collapsed="false">
      <c r="A41" s="16" t="str">
        <f aca="false">IF($N41="","",36)</f>
        <v/>
      </c>
      <c r="B41" s="34" t="str">
        <f aca="false">IF($N41="","",IF(INDEX('NHẬP ĐƠN HÀNG'!$B$6:$B$505,$N41)="","",INDEX('NHẬP ĐƠN HÀNG'!$B$6:$B$505,$N41)))</f>
        <v/>
      </c>
      <c r="C41" s="16" t="str">
        <f aca="false">IF($N41="","",IF(INDEX('NHẬP ĐƠN HÀNG'!$C$6:$C$505,$N41)="","",INDEX('NHẬP ĐƠN HÀNG'!$C$6:$C$505,$N41)))</f>
        <v/>
      </c>
      <c r="D41" s="16" t="str">
        <f aca="false">IF($N41="","",IF(INDEX('NHẬP ĐƠN HÀNG'!$E$6:$E$505,$N41)="","",INDEX('NHẬP ĐƠN HÀNG'!$E$6:$E$505,$N41)))</f>
        <v/>
      </c>
      <c r="E41" s="16" t="str">
        <f aca="false">IF($N41="","",IF(INDEX('NHẬP ĐƠN HÀNG'!$F$6:$F$505,$N41)="","",INDEX('NHẬP ĐƠN HÀNG'!$F$6:$F$505,$N41)))</f>
        <v/>
      </c>
      <c r="F41" s="16" t="str">
        <f aca="false">IF($N41="","",IF(INDEX('NHẬP ĐƠN HÀNG'!$H$6:$H$505,$N41)="","",INDEX('NHẬP ĐƠN HÀNG'!$H$6:$H$505,$N41)))</f>
        <v/>
      </c>
      <c r="G41" s="10" t="str">
        <f aca="false">IF($N41="","",N(INDEX('NHẬP ĐƠN HÀNG'!$I$6:$I$505,$N41)))</f>
        <v/>
      </c>
      <c r="H41" s="10" t="str">
        <f aca="false">IF($N41="","",N(INDEX('NHẬP ĐƠN HÀNG'!$L$6:$L$505,$N41)))</f>
        <v/>
      </c>
      <c r="I41" s="11" t="str">
        <f aca="false">IF($N41="","",N(INDEX('NHẬP ĐƠN HÀNG'!$N$6:$N$505,$N41)))</f>
        <v/>
      </c>
      <c r="J41" s="10" t="str">
        <f aca="false">IF($N41="","",N(INDEX('NHẬP ĐƠN HÀNG'!$O$6:$O$505,$N41)))</f>
        <v/>
      </c>
      <c r="K41" s="10" t="str">
        <f aca="false">IF($N41="","",N(INDEX('NHẬP ĐƠN HÀNG'!$P$6:$P$505,$N41)))</f>
        <v/>
      </c>
      <c r="L41" s="10" t="str">
        <f aca="false">IF($N41="","",N(INDEX('NHẬP ĐƠN HÀNG'!$Q$6:$Q$505,$N41)))</f>
        <v/>
      </c>
      <c r="M41" s="10" t="str">
        <f aca="false">IF($N41="","",N(INDEX('NHẬP ĐƠN HÀNG'!$R$6:$R$505,$N41)))</f>
        <v/>
      </c>
      <c r="N41" s="0" t="str">
        <f aca="false">IFERROR(MATCH(36,'NHẬP ĐƠN HÀNG'!$Z$6:$Z$505,0),"")</f>
        <v/>
      </c>
    </row>
    <row r="42" customFormat="false" ht="15" hidden="false" customHeight="false" outlineLevel="0" collapsed="false">
      <c r="A42" s="16" t="str">
        <f aca="false">IF($N42="","",37)</f>
        <v/>
      </c>
      <c r="B42" s="34" t="str">
        <f aca="false">IF($N42="","",IF(INDEX('NHẬP ĐƠN HÀNG'!$B$6:$B$505,$N42)="","",INDEX('NHẬP ĐƠN HÀNG'!$B$6:$B$505,$N42)))</f>
        <v/>
      </c>
      <c r="C42" s="16" t="str">
        <f aca="false">IF($N42="","",IF(INDEX('NHẬP ĐƠN HÀNG'!$C$6:$C$505,$N42)="","",INDEX('NHẬP ĐƠN HÀNG'!$C$6:$C$505,$N42)))</f>
        <v/>
      </c>
      <c r="D42" s="16" t="str">
        <f aca="false">IF($N42="","",IF(INDEX('NHẬP ĐƠN HÀNG'!$E$6:$E$505,$N42)="","",INDEX('NHẬP ĐƠN HÀNG'!$E$6:$E$505,$N42)))</f>
        <v/>
      </c>
      <c r="E42" s="16" t="str">
        <f aca="false">IF($N42="","",IF(INDEX('NHẬP ĐƠN HÀNG'!$F$6:$F$505,$N42)="","",INDEX('NHẬP ĐƠN HÀNG'!$F$6:$F$505,$N42)))</f>
        <v/>
      </c>
      <c r="F42" s="16" t="str">
        <f aca="false">IF($N42="","",IF(INDEX('NHẬP ĐƠN HÀNG'!$H$6:$H$505,$N42)="","",INDEX('NHẬP ĐƠN HÀNG'!$H$6:$H$505,$N42)))</f>
        <v/>
      </c>
      <c r="G42" s="10" t="str">
        <f aca="false">IF($N42="","",N(INDEX('NHẬP ĐƠN HÀNG'!$I$6:$I$505,$N42)))</f>
        <v/>
      </c>
      <c r="H42" s="10" t="str">
        <f aca="false">IF($N42="","",N(INDEX('NHẬP ĐƠN HÀNG'!$L$6:$L$505,$N42)))</f>
        <v/>
      </c>
      <c r="I42" s="11" t="str">
        <f aca="false">IF($N42="","",N(INDEX('NHẬP ĐƠN HÀNG'!$N$6:$N$505,$N42)))</f>
        <v/>
      </c>
      <c r="J42" s="10" t="str">
        <f aca="false">IF($N42="","",N(INDEX('NHẬP ĐƠN HÀNG'!$O$6:$O$505,$N42)))</f>
        <v/>
      </c>
      <c r="K42" s="10" t="str">
        <f aca="false">IF($N42="","",N(INDEX('NHẬP ĐƠN HÀNG'!$P$6:$P$505,$N42)))</f>
        <v/>
      </c>
      <c r="L42" s="10" t="str">
        <f aca="false">IF($N42="","",N(INDEX('NHẬP ĐƠN HÀNG'!$Q$6:$Q$505,$N42)))</f>
        <v/>
      </c>
      <c r="M42" s="10" t="str">
        <f aca="false">IF($N42="","",N(INDEX('NHẬP ĐƠN HÀNG'!$R$6:$R$505,$N42)))</f>
        <v/>
      </c>
      <c r="N42" s="0" t="str">
        <f aca="false">IFERROR(MATCH(37,'NHẬP ĐƠN HÀNG'!$Z$6:$Z$505,0),"")</f>
        <v/>
      </c>
    </row>
    <row r="43" customFormat="false" ht="15" hidden="false" customHeight="false" outlineLevel="0" collapsed="false">
      <c r="A43" s="16" t="str">
        <f aca="false">IF($N43="","",38)</f>
        <v/>
      </c>
      <c r="B43" s="34" t="str">
        <f aca="false">IF($N43="","",IF(INDEX('NHẬP ĐƠN HÀNG'!$B$6:$B$505,$N43)="","",INDEX('NHẬP ĐƠN HÀNG'!$B$6:$B$505,$N43)))</f>
        <v/>
      </c>
      <c r="C43" s="16" t="str">
        <f aca="false">IF($N43="","",IF(INDEX('NHẬP ĐƠN HÀNG'!$C$6:$C$505,$N43)="","",INDEX('NHẬP ĐƠN HÀNG'!$C$6:$C$505,$N43)))</f>
        <v/>
      </c>
      <c r="D43" s="16" t="str">
        <f aca="false">IF($N43="","",IF(INDEX('NHẬP ĐƠN HÀNG'!$E$6:$E$505,$N43)="","",INDEX('NHẬP ĐƠN HÀNG'!$E$6:$E$505,$N43)))</f>
        <v/>
      </c>
      <c r="E43" s="16" t="str">
        <f aca="false">IF($N43="","",IF(INDEX('NHẬP ĐƠN HÀNG'!$F$6:$F$505,$N43)="","",INDEX('NHẬP ĐƠN HÀNG'!$F$6:$F$505,$N43)))</f>
        <v/>
      </c>
      <c r="F43" s="16" t="str">
        <f aca="false">IF($N43="","",IF(INDEX('NHẬP ĐƠN HÀNG'!$H$6:$H$505,$N43)="","",INDEX('NHẬP ĐƠN HÀNG'!$H$6:$H$505,$N43)))</f>
        <v/>
      </c>
      <c r="G43" s="10" t="str">
        <f aca="false">IF($N43="","",N(INDEX('NHẬP ĐƠN HÀNG'!$I$6:$I$505,$N43)))</f>
        <v/>
      </c>
      <c r="H43" s="10" t="str">
        <f aca="false">IF($N43="","",N(INDEX('NHẬP ĐƠN HÀNG'!$L$6:$L$505,$N43)))</f>
        <v/>
      </c>
      <c r="I43" s="11" t="str">
        <f aca="false">IF($N43="","",N(INDEX('NHẬP ĐƠN HÀNG'!$N$6:$N$505,$N43)))</f>
        <v/>
      </c>
      <c r="J43" s="10" t="str">
        <f aca="false">IF($N43="","",N(INDEX('NHẬP ĐƠN HÀNG'!$O$6:$O$505,$N43)))</f>
        <v/>
      </c>
      <c r="K43" s="10" t="str">
        <f aca="false">IF($N43="","",N(INDEX('NHẬP ĐƠN HÀNG'!$P$6:$P$505,$N43)))</f>
        <v/>
      </c>
      <c r="L43" s="10" t="str">
        <f aca="false">IF($N43="","",N(INDEX('NHẬP ĐƠN HÀNG'!$Q$6:$Q$505,$N43)))</f>
        <v/>
      </c>
      <c r="M43" s="10" t="str">
        <f aca="false">IF($N43="","",N(INDEX('NHẬP ĐƠN HÀNG'!$R$6:$R$505,$N43)))</f>
        <v/>
      </c>
      <c r="N43" s="0" t="str">
        <f aca="false">IFERROR(MATCH(38,'NHẬP ĐƠN HÀNG'!$Z$6:$Z$505,0),"")</f>
        <v/>
      </c>
    </row>
    <row r="44" customFormat="false" ht="15" hidden="false" customHeight="false" outlineLevel="0" collapsed="false">
      <c r="A44" s="16" t="str">
        <f aca="false">IF($N44="","",39)</f>
        <v/>
      </c>
      <c r="B44" s="34" t="str">
        <f aca="false">IF($N44="","",IF(INDEX('NHẬP ĐƠN HÀNG'!$B$6:$B$505,$N44)="","",INDEX('NHẬP ĐƠN HÀNG'!$B$6:$B$505,$N44)))</f>
        <v/>
      </c>
      <c r="C44" s="16" t="str">
        <f aca="false">IF($N44="","",IF(INDEX('NHẬP ĐƠN HÀNG'!$C$6:$C$505,$N44)="","",INDEX('NHẬP ĐƠN HÀNG'!$C$6:$C$505,$N44)))</f>
        <v/>
      </c>
      <c r="D44" s="16" t="str">
        <f aca="false">IF($N44="","",IF(INDEX('NHẬP ĐƠN HÀNG'!$E$6:$E$505,$N44)="","",INDEX('NHẬP ĐƠN HÀNG'!$E$6:$E$505,$N44)))</f>
        <v/>
      </c>
      <c r="E44" s="16" t="str">
        <f aca="false">IF($N44="","",IF(INDEX('NHẬP ĐƠN HÀNG'!$F$6:$F$505,$N44)="","",INDEX('NHẬP ĐƠN HÀNG'!$F$6:$F$505,$N44)))</f>
        <v/>
      </c>
      <c r="F44" s="16" t="str">
        <f aca="false">IF($N44="","",IF(INDEX('NHẬP ĐƠN HÀNG'!$H$6:$H$505,$N44)="","",INDEX('NHẬP ĐƠN HÀNG'!$H$6:$H$505,$N44)))</f>
        <v/>
      </c>
      <c r="G44" s="10" t="str">
        <f aca="false">IF($N44="","",N(INDEX('NHẬP ĐƠN HÀNG'!$I$6:$I$505,$N44)))</f>
        <v/>
      </c>
      <c r="H44" s="10" t="str">
        <f aca="false">IF($N44="","",N(INDEX('NHẬP ĐƠN HÀNG'!$L$6:$L$505,$N44)))</f>
        <v/>
      </c>
      <c r="I44" s="11" t="str">
        <f aca="false">IF($N44="","",N(INDEX('NHẬP ĐƠN HÀNG'!$N$6:$N$505,$N44)))</f>
        <v/>
      </c>
      <c r="J44" s="10" t="str">
        <f aca="false">IF($N44="","",N(INDEX('NHẬP ĐƠN HÀNG'!$O$6:$O$505,$N44)))</f>
        <v/>
      </c>
      <c r="K44" s="10" t="str">
        <f aca="false">IF($N44="","",N(INDEX('NHẬP ĐƠN HÀNG'!$P$6:$P$505,$N44)))</f>
        <v/>
      </c>
      <c r="L44" s="10" t="str">
        <f aca="false">IF($N44="","",N(INDEX('NHẬP ĐƠN HÀNG'!$Q$6:$Q$505,$N44)))</f>
        <v/>
      </c>
      <c r="M44" s="10" t="str">
        <f aca="false">IF($N44="","",N(INDEX('NHẬP ĐƠN HÀNG'!$R$6:$R$505,$N44)))</f>
        <v/>
      </c>
      <c r="N44" s="0" t="str">
        <f aca="false">IFERROR(MATCH(39,'NHẬP ĐƠN HÀNG'!$Z$6:$Z$505,0),"")</f>
        <v/>
      </c>
    </row>
    <row r="45" customFormat="false" ht="15" hidden="false" customHeight="false" outlineLevel="0" collapsed="false">
      <c r="A45" s="16" t="str">
        <f aca="false">IF($N45="","",40)</f>
        <v/>
      </c>
      <c r="B45" s="34" t="str">
        <f aca="false">IF($N45="","",IF(INDEX('NHẬP ĐƠN HÀNG'!$B$6:$B$505,$N45)="","",INDEX('NHẬP ĐƠN HÀNG'!$B$6:$B$505,$N45)))</f>
        <v/>
      </c>
      <c r="C45" s="16" t="str">
        <f aca="false">IF($N45="","",IF(INDEX('NHẬP ĐƠN HÀNG'!$C$6:$C$505,$N45)="","",INDEX('NHẬP ĐƠN HÀNG'!$C$6:$C$505,$N45)))</f>
        <v/>
      </c>
      <c r="D45" s="16" t="str">
        <f aca="false">IF($N45="","",IF(INDEX('NHẬP ĐƠN HÀNG'!$E$6:$E$505,$N45)="","",INDEX('NHẬP ĐƠN HÀNG'!$E$6:$E$505,$N45)))</f>
        <v/>
      </c>
      <c r="E45" s="16" t="str">
        <f aca="false">IF($N45="","",IF(INDEX('NHẬP ĐƠN HÀNG'!$F$6:$F$505,$N45)="","",INDEX('NHẬP ĐƠN HÀNG'!$F$6:$F$505,$N45)))</f>
        <v/>
      </c>
      <c r="F45" s="16" t="str">
        <f aca="false">IF($N45="","",IF(INDEX('NHẬP ĐƠN HÀNG'!$H$6:$H$505,$N45)="","",INDEX('NHẬP ĐƠN HÀNG'!$H$6:$H$505,$N45)))</f>
        <v/>
      </c>
      <c r="G45" s="10" t="str">
        <f aca="false">IF($N45="","",N(INDEX('NHẬP ĐƠN HÀNG'!$I$6:$I$505,$N45)))</f>
        <v/>
      </c>
      <c r="H45" s="10" t="str">
        <f aca="false">IF($N45="","",N(INDEX('NHẬP ĐƠN HÀNG'!$L$6:$L$505,$N45)))</f>
        <v/>
      </c>
      <c r="I45" s="11" t="str">
        <f aca="false">IF($N45="","",N(INDEX('NHẬP ĐƠN HÀNG'!$N$6:$N$505,$N45)))</f>
        <v/>
      </c>
      <c r="J45" s="10" t="str">
        <f aca="false">IF($N45="","",N(INDEX('NHẬP ĐƠN HÀNG'!$O$6:$O$505,$N45)))</f>
        <v/>
      </c>
      <c r="K45" s="10" t="str">
        <f aca="false">IF($N45="","",N(INDEX('NHẬP ĐƠN HÀNG'!$P$6:$P$505,$N45)))</f>
        <v/>
      </c>
      <c r="L45" s="10" t="str">
        <f aca="false">IF($N45="","",N(INDEX('NHẬP ĐƠN HÀNG'!$Q$6:$Q$505,$N45)))</f>
        <v/>
      </c>
      <c r="M45" s="10" t="str">
        <f aca="false">IF($N45="","",N(INDEX('NHẬP ĐƠN HÀNG'!$R$6:$R$505,$N45)))</f>
        <v/>
      </c>
      <c r="N45" s="0" t="str">
        <f aca="false">IFERROR(MATCH(40,'NHẬP ĐƠN HÀNG'!$Z$6:$Z$505,0),"")</f>
        <v/>
      </c>
    </row>
    <row r="46" customFormat="false" ht="15" hidden="false" customHeight="false" outlineLevel="0" collapsed="false">
      <c r="A46" s="16" t="str">
        <f aca="false">IF($N46="","",41)</f>
        <v/>
      </c>
      <c r="B46" s="34" t="str">
        <f aca="false">IF($N46="","",IF(INDEX('NHẬP ĐƠN HÀNG'!$B$6:$B$505,$N46)="","",INDEX('NHẬP ĐƠN HÀNG'!$B$6:$B$505,$N46)))</f>
        <v/>
      </c>
      <c r="C46" s="16" t="str">
        <f aca="false">IF($N46="","",IF(INDEX('NHẬP ĐƠN HÀNG'!$C$6:$C$505,$N46)="","",INDEX('NHẬP ĐƠN HÀNG'!$C$6:$C$505,$N46)))</f>
        <v/>
      </c>
      <c r="D46" s="16" t="str">
        <f aca="false">IF($N46="","",IF(INDEX('NHẬP ĐƠN HÀNG'!$E$6:$E$505,$N46)="","",INDEX('NHẬP ĐƠN HÀNG'!$E$6:$E$505,$N46)))</f>
        <v/>
      </c>
      <c r="E46" s="16" t="str">
        <f aca="false">IF($N46="","",IF(INDEX('NHẬP ĐƠN HÀNG'!$F$6:$F$505,$N46)="","",INDEX('NHẬP ĐƠN HÀNG'!$F$6:$F$505,$N46)))</f>
        <v/>
      </c>
      <c r="F46" s="16" t="str">
        <f aca="false">IF($N46="","",IF(INDEX('NHẬP ĐƠN HÀNG'!$H$6:$H$505,$N46)="","",INDEX('NHẬP ĐƠN HÀNG'!$H$6:$H$505,$N46)))</f>
        <v/>
      </c>
      <c r="G46" s="10" t="str">
        <f aca="false">IF($N46="","",N(INDEX('NHẬP ĐƠN HÀNG'!$I$6:$I$505,$N46)))</f>
        <v/>
      </c>
      <c r="H46" s="10" t="str">
        <f aca="false">IF($N46="","",N(INDEX('NHẬP ĐƠN HÀNG'!$L$6:$L$505,$N46)))</f>
        <v/>
      </c>
      <c r="I46" s="11" t="str">
        <f aca="false">IF($N46="","",N(INDEX('NHẬP ĐƠN HÀNG'!$N$6:$N$505,$N46)))</f>
        <v/>
      </c>
      <c r="J46" s="10" t="str">
        <f aca="false">IF($N46="","",N(INDEX('NHẬP ĐƠN HÀNG'!$O$6:$O$505,$N46)))</f>
        <v/>
      </c>
      <c r="K46" s="10" t="str">
        <f aca="false">IF($N46="","",N(INDEX('NHẬP ĐƠN HÀNG'!$P$6:$P$505,$N46)))</f>
        <v/>
      </c>
      <c r="L46" s="10" t="str">
        <f aca="false">IF($N46="","",N(INDEX('NHẬP ĐƠN HÀNG'!$Q$6:$Q$505,$N46)))</f>
        <v/>
      </c>
      <c r="M46" s="10" t="str">
        <f aca="false">IF($N46="","",N(INDEX('NHẬP ĐƠN HÀNG'!$R$6:$R$505,$N46)))</f>
        <v/>
      </c>
      <c r="N46" s="0" t="str">
        <f aca="false">IFERROR(MATCH(41,'NHẬP ĐƠN HÀNG'!$Z$6:$Z$505,0),"")</f>
        <v/>
      </c>
    </row>
    <row r="47" customFormat="false" ht="15" hidden="false" customHeight="false" outlineLevel="0" collapsed="false">
      <c r="A47" s="16" t="str">
        <f aca="false">IF($N47="","",42)</f>
        <v/>
      </c>
      <c r="B47" s="34" t="str">
        <f aca="false">IF($N47="","",IF(INDEX('NHẬP ĐƠN HÀNG'!$B$6:$B$505,$N47)="","",INDEX('NHẬP ĐƠN HÀNG'!$B$6:$B$505,$N47)))</f>
        <v/>
      </c>
      <c r="C47" s="16" t="str">
        <f aca="false">IF($N47="","",IF(INDEX('NHẬP ĐƠN HÀNG'!$C$6:$C$505,$N47)="","",INDEX('NHẬP ĐƠN HÀNG'!$C$6:$C$505,$N47)))</f>
        <v/>
      </c>
      <c r="D47" s="16" t="str">
        <f aca="false">IF($N47="","",IF(INDEX('NHẬP ĐƠN HÀNG'!$E$6:$E$505,$N47)="","",INDEX('NHẬP ĐƠN HÀNG'!$E$6:$E$505,$N47)))</f>
        <v/>
      </c>
      <c r="E47" s="16" t="str">
        <f aca="false">IF($N47="","",IF(INDEX('NHẬP ĐƠN HÀNG'!$F$6:$F$505,$N47)="","",INDEX('NHẬP ĐƠN HÀNG'!$F$6:$F$505,$N47)))</f>
        <v/>
      </c>
      <c r="F47" s="16" t="str">
        <f aca="false">IF($N47="","",IF(INDEX('NHẬP ĐƠN HÀNG'!$H$6:$H$505,$N47)="","",INDEX('NHẬP ĐƠN HÀNG'!$H$6:$H$505,$N47)))</f>
        <v/>
      </c>
      <c r="G47" s="10" t="str">
        <f aca="false">IF($N47="","",N(INDEX('NHẬP ĐƠN HÀNG'!$I$6:$I$505,$N47)))</f>
        <v/>
      </c>
      <c r="H47" s="10" t="str">
        <f aca="false">IF($N47="","",N(INDEX('NHẬP ĐƠN HÀNG'!$L$6:$L$505,$N47)))</f>
        <v/>
      </c>
      <c r="I47" s="11" t="str">
        <f aca="false">IF($N47="","",N(INDEX('NHẬP ĐƠN HÀNG'!$N$6:$N$505,$N47)))</f>
        <v/>
      </c>
      <c r="J47" s="10" t="str">
        <f aca="false">IF($N47="","",N(INDEX('NHẬP ĐƠN HÀNG'!$O$6:$O$505,$N47)))</f>
        <v/>
      </c>
      <c r="K47" s="10" t="str">
        <f aca="false">IF($N47="","",N(INDEX('NHẬP ĐƠN HÀNG'!$P$6:$P$505,$N47)))</f>
        <v/>
      </c>
      <c r="L47" s="10" t="str">
        <f aca="false">IF($N47="","",N(INDEX('NHẬP ĐƠN HÀNG'!$Q$6:$Q$505,$N47)))</f>
        <v/>
      </c>
      <c r="M47" s="10" t="str">
        <f aca="false">IF($N47="","",N(INDEX('NHẬP ĐƠN HÀNG'!$R$6:$R$505,$N47)))</f>
        <v/>
      </c>
      <c r="N47" s="0" t="str">
        <f aca="false">IFERROR(MATCH(42,'NHẬP ĐƠN HÀNG'!$Z$6:$Z$505,0),"")</f>
        <v/>
      </c>
    </row>
    <row r="48" customFormat="false" ht="15" hidden="false" customHeight="false" outlineLevel="0" collapsed="false">
      <c r="A48" s="16" t="str">
        <f aca="false">IF($N48="","",43)</f>
        <v/>
      </c>
      <c r="B48" s="34" t="str">
        <f aca="false">IF($N48="","",IF(INDEX('NHẬP ĐƠN HÀNG'!$B$6:$B$505,$N48)="","",INDEX('NHẬP ĐƠN HÀNG'!$B$6:$B$505,$N48)))</f>
        <v/>
      </c>
      <c r="C48" s="16" t="str">
        <f aca="false">IF($N48="","",IF(INDEX('NHẬP ĐƠN HÀNG'!$C$6:$C$505,$N48)="","",INDEX('NHẬP ĐƠN HÀNG'!$C$6:$C$505,$N48)))</f>
        <v/>
      </c>
      <c r="D48" s="16" t="str">
        <f aca="false">IF($N48="","",IF(INDEX('NHẬP ĐƠN HÀNG'!$E$6:$E$505,$N48)="","",INDEX('NHẬP ĐƠN HÀNG'!$E$6:$E$505,$N48)))</f>
        <v/>
      </c>
      <c r="E48" s="16" t="str">
        <f aca="false">IF($N48="","",IF(INDEX('NHẬP ĐƠN HÀNG'!$F$6:$F$505,$N48)="","",INDEX('NHẬP ĐƠN HÀNG'!$F$6:$F$505,$N48)))</f>
        <v/>
      </c>
      <c r="F48" s="16" t="str">
        <f aca="false">IF($N48="","",IF(INDEX('NHẬP ĐƠN HÀNG'!$H$6:$H$505,$N48)="","",INDEX('NHẬP ĐƠN HÀNG'!$H$6:$H$505,$N48)))</f>
        <v/>
      </c>
      <c r="G48" s="10" t="str">
        <f aca="false">IF($N48="","",N(INDEX('NHẬP ĐƠN HÀNG'!$I$6:$I$505,$N48)))</f>
        <v/>
      </c>
      <c r="H48" s="10" t="str">
        <f aca="false">IF($N48="","",N(INDEX('NHẬP ĐƠN HÀNG'!$L$6:$L$505,$N48)))</f>
        <v/>
      </c>
      <c r="I48" s="11" t="str">
        <f aca="false">IF($N48="","",N(INDEX('NHẬP ĐƠN HÀNG'!$N$6:$N$505,$N48)))</f>
        <v/>
      </c>
      <c r="J48" s="10" t="str">
        <f aca="false">IF($N48="","",N(INDEX('NHẬP ĐƠN HÀNG'!$O$6:$O$505,$N48)))</f>
        <v/>
      </c>
      <c r="K48" s="10" t="str">
        <f aca="false">IF($N48="","",N(INDEX('NHẬP ĐƠN HÀNG'!$P$6:$P$505,$N48)))</f>
        <v/>
      </c>
      <c r="L48" s="10" t="str">
        <f aca="false">IF($N48="","",N(INDEX('NHẬP ĐƠN HÀNG'!$Q$6:$Q$505,$N48)))</f>
        <v/>
      </c>
      <c r="M48" s="10" t="str">
        <f aca="false">IF($N48="","",N(INDEX('NHẬP ĐƠN HÀNG'!$R$6:$R$505,$N48)))</f>
        <v/>
      </c>
      <c r="N48" s="0" t="str">
        <f aca="false">IFERROR(MATCH(43,'NHẬP ĐƠN HÀNG'!$Z$6:$Z$505,0),"")</f>
        <v/>
      </c>
    </row>
    <row r="49" customFormat="false" ht="15" hidden="false" customHeight="false" outlineLevel="0" collapsed="false">
      <c r="A49" s="16" t="str">
        <f aca="false">IF($N49="","",44)</f>
        <v/>
      </c>
      <c r="B49" s="34" t="str">
        <f aca="false">IF($N49="","",IF(INDEX('NHẬP ĐƠN HÀNG'!$B$6:$B$505,$N49)="","",INDEX('NHẬP ĐƠN HÀNG'!$B$6:$B$505,$N49)))</f>
        <v/>
      </c>
      <c r="C49" s="16" t="str">
        <f aca="false">IF($N49="","",IF(INDEX('NHẬP ĐƠN HÀNG'!$C$6:$C$505,$N49)="","",INDEX('NHẬP ĐƠN HÀNG'!$C$6:$C$505,$N49)))</f>
        <v/>
      </c>
      <c r="D49" s="16" t="str">
        <f aca="false">IF($N49="","",IF(INDEX('NHẬP ĐƠN HÀNG'!$E$6:$E$505,$N49)="","",INDEX('NHẬP ĐƠN HÀNG'!$E$6:$E$505,$N49)))</f>
        <v/>
      </c>
      <c r="E49" s="16" t="str">
        <f aca="false">IF($N49="","",IF(INDEX('NHẬP ĐƠN HÀNG'!$F$6:$F$505,$N49)="","",INDEX('NHẬP ĐƠN HÀNG'!$F$6:$F$505,$N49)))</f>
        <v/>
      </c>
      <c r="F49" s="16" t="str">
        <f aca="false">IF($N49="","",IF(INDEX('NHẬP ĐƠN HÀNG'!$H$6:$H$505,$N49)="","",INDEX('NHẬP ĐƠN HÀNG'!$H$6:$H$505,$N49)))</f>
        <v/>
      </c>
      <c r="G49" s="10" t="str">
        <f aca="false">IF($N49="","",N(INDEX('NHẬP ĐƠN HÀNG'!$I$6:$I$505,$N49)))</f>
        <v/>
      </c>
      <c r="H49" s="10" t="str">
        <f aca="false">IF($N49="","",N(INDEX('NHẬP ĐƠN HÀNG'!$L$6:$L$505,$N49)))</f>
        <v/>
      </c>
      <c r="I49" s="11" t="str">
        <f aca="false">IF($N49="","",N(INDEX('NHẬP ĐƠN HÀNG'!$N$6:$N$505,$N49)))</f>
        <v/>
      </c>
      <c r="J49" s="10" t="str">
        <f aca="false">IF($N49="","",N(INDEX('NHẬP ĐƠN HÀNG'!$O$6:$O$505,$N49)))</f>
        <v/>
      </c>
      <c r="K49" s="10" t="str">
        <f aca="false">IF($N49="","",N(INDEX('NHẬP ĐƠN HÀNG'!$P$6:$P$505,$N49)))</f>
        <v/>
      </c>
      <c r="L49" s="10" t="str">
        <f aca="false">IF($N49="","",N(INDEX('NHẬP ĐƠN HÀNG'!$Q$6:$Q$505,$N49)))</f>
        <v/>
      </c>
      <c r="M49" s="10" t="str">
        <f aca="false">IF($N49="","",N(INDEX('NHẬP ĐƠN HÀNG'!$R$6:$R$505,$N49)))</f>
        <v/>
      </c>
      <c r="N49" s="0" t="str">
        <f aca="false">IFERROR(MATCH(44,'NHẬP ĐƠN HÀNG'!$Z$6:$Z$505,0),"")</f>
        <v/>
      </c>
    </row>
    <row r="50" customFormat="false" ht="15" hidden="false" customHeight="false" outlineLevel="0" collapsed="false">
      <c r="A50" s="16" t="str">
        <f aca="false">IF($N50="","",45)</f>
        <v/>
      </c>
      <c r="B50" s="34" t="str">
        <f aca="false">IF($N50="","",IF(INDEX('NHẬP ĐƠN HÀNG'!$B$6:$B$505,$N50)="","",INDEX('NHẬP ĐƠN HÀNG'!$B$6:$B$505,$N50)))</f>
        <v/>
      </c>
      <c r="C50" s="16" t="str">
        <f aca="false">IF($N50="","",IF(INDEX('NHẬP ĐƠN HÀNG'!$C$6:$C$505,$N50)="","",INDEX('NHẬP ĐƠN HÀNG'!$C$6:$C$505,$N50)))</f>
        <v/>
      </c>
      <c r="D50" s="16" t="str">
        <f aca="false">IF($N50="","",IF(INDEX('NHẬP ĐƠN HÀNG'!$E$6:$E$505,$N50)="","",INDEX('NHẬP ĐƠN HÀNG'!$E$6:$E$505,$N50)))</f>
        <v/>
      </c>
      <c r="E50" s="16" t="str">
        <f aca="false">IF($N50="","",IF(INDEX('NHẬP ĐƠN HÀNG'!$F$6:$F$505,$N50)="","",INDEX('NHẬP ĐƠN HÀNG'!$F$6:$F$505,$N50)))</f>
        <v/>
      </c>
      <c r="F50" s="16" t="str">
        <f aca="false">IF($N50="","",IF(INDEX('NHẬP ĐƠN HÀNG'!$H$6:$H$505,$N50)="","",INDEX('NHẬP ĐƠN HÀNG'!$H$6:$H$505,$N50)))</f>
        <v/>
      </c>
      <c r="G50" s="10" t="str">
        <f aca="false">IF($N50="","",N(INDEX('NHẬP ĐƠN HÀNG'!$I$6:$I$505,$N50)))</f>
        <v/>
      </c>
      <c r="H50" s="10" t="str">
        <f aca="false">IF($N50="","",N(INDEX('NHẬP ĐƠN HÀNG'!$L$6:$L$505,$N50)))</f>
        <v/>
      </c>
      <c r="I50" s="11" t="str">
        <f aca="false">IF($N50="","",N(INDEX('NHẬP ĐƠN HÀNG'!$N$6:$N$505,$N50)))</f>
        <v/>
      </c>
      <c r="J50" s="10" t="str">
        <f aca="false">IF($N50="","",N(INDEX('NHẬP ĐƠN HÀNG'!$O$6:$O$505,$N50)))</f>
        <v/>
      </c>
      <c r="K50" s="10" t="str">
        <f aca="false">IF($N50="","",N(INDEX('NHẬP ĐƠN HÀNG'!$P$6:$P$505,$N50)))</f>
        <v/>
      </c>
      <c r="L50" s="10" t="str">
        <f aca="false">IF($N50="","",N(INDEX('NHẬP ĐƠN HÀNG'!$Q$6:$Q$505,$N50)))</f>
        <v/>
      </c>
      <c r="M50" s="10" t="str">
        <f aca="false">IF($N50="","",N(INDEX('NHẬP ĐƠN HÀNG'!$R$6:$R$505,$N50)))</f>
        <v/>
      </c>
      <c r="N50" s="0" t="str">
        <f aca="false">IFERROR(MATCH(45,'NHẬP ĐƠN HÀNG'!$Z$6:$Z$505,0),"")</f>
        <v/>
      </c>
    </row>
    <row r="51" customFormat="false" ht="15" hidden="false" customHeight="false" outlineLevel="0" collapsed="false">
      <c r="A51" s="16" t="str">
        <f aca="false">IF($N51="","",46)</f>
        <v/>
      </c>
      <c r="B51" s="34" t="str">
        <f aca="false">IF($N51="","",IF(INDEX('NHẬP ĐƠN HÀNG'!$B$6:$B$505,$N51)="","",INDEX('NHẬP ĐƠN HÀNG'!$B$6:$B$505,$N51)))</f>
        <v/>
      </c>
      <c r="C51" s="16" t="str">
        <f aca="false">IF($N51="","",IF(INDEX('NHẬP ĐƠN HÀNG'!$C$6:$C$505,$N51)="","",INDEX('NHẬP ĐƠN HÀNG'!$C$6:$C$505,$N51)))</f>
        <v/>
      </c>
      <c r="D51" s="16" t="str">
        <f aca="false">IF($N51="","",IF(INDEX('NHẬP ĐƠN HÀNG'!$E$6:$E$505,$N51)="","",INDEX('NHẬP ĐƠN HÀNG'!$E$6:$E$505,$N51)))</f>
        <v/>
      </c>
      <c r="E51" s="16" t="str">
        <f aca="false">IF($N51="","",IF(INDEX('NHẬP ĐƠN HÀNG'!$F$6:$F$505,$N51)="","",INDEX('NHẬP ĐƠN HÀNG'!$F$6:$F$505,$N51)))</f>
        <v/>
      </c>
      <c r="F51" s="16" t="str">
        <f aca="false">IF($N51="","",IF(INDEX('NHẬP ĐƠN HÀNG'!$H$6:$H$505,$N51)="","",INDEX('NHẬP ĐƠN HÀNG'!$H$6:$H$505,$N51)))</f>
        <v/>
      </c>
      <c r="G51" s="10" t="str">
        <f aca="false">IF($N51="","",N(INDEX('NHẬP ĐƠN HÀNG'!$I$6:$I$505,$N51)))</f>
        <v/>
      </c>
      <c r="H51" s="10" t="str">
        <f aca="false">IF($N51="","",N(INDEX('NHẬP ĐƠN HÀNG'!$L$6:$L$505,$N51)))</f>
        <v/>
      </c>
      <c r="I51" s="11" t="str">
        <f aca="false">IF($N51="","",N(INDEX('NHẬP ĐƠN HÀNG'!$N$6:$N$505,$N51)))</f>
        <v/>
      </c>
      <c r="J51" s="10" t="str">
        <f aca="false">IF($N51="","",N(INDEX('NHẬP ĐƠN HÀNG'!$O$6:$O$505,$N51)))</f>
        <v/>
      </c>
      <c r="K51" s="10" t="str">
        <f aca="false">IF($N51="","",N(INDEX('NHẬP ĐƠN HÀNG'!$P$6:$P$505,$N51)))</f>
        <v/>
      </c>
      <c r="L51" s="10" t="str">
        <f aca="false">IF($N51="","",N(INDEX('NHẬP ĐƠN HÀNG'!$Q$6:$Q$505,$N51)))</f>
        <v/>
      </c>
      <c r="M51" s="10" t="str">
        <f aca="false">IF($N51="","",N(INDEX('NHẬP ĐƠN HÀNG'!$R$6:$R$505,$N51)))</f>
        <v/>
      </c>
      <c r="N51" s="0" t="str">
        <f aca="false">IFERROR(MATCH(46,'NHẬP ĐƠN HÀNG'!$Z$6:$Z$505,0),"")</f>
        <v/>
      </c>
    </row>
    <row r="52" customFormat="false" ht="15" hidden="false" customHeight="false" outlineLevel="0" collapsed="false">
      <c r="A52" s="16" t="str">
        <f aca="false">IF($N52="","",47)</f>
        <v/>
      </c>
      <c r="B52" s="34" t="str">
        <f aca="false">IF($N52="","",IF(INDEX('NHẬP ĐƠN HÀNG'!$B$6:$B$505,$N52)="","",INDEX('NHẬP ĐƠN HÀNG'!$B$6:$B$505,$N52)))</f>
        <v/>
      </c>
      <c r="C52" s="16" t="str">
        <f aca="false">IF($N52="","",IF(INDEX('NHẬP ĐƠN HÀNG'!$C$6:$C$505,$N52)="","",INDEX('NHẬP ĐƠN HÀNG'!$C$6:$C$505,$N52)))</f>
        <v/>
      </c>
      <c r="D52" s="16" t="str">
        <f aca="false">IF($N52="","",IF(INDEX('NHẬP ĐƠN HÀNG'!$E$6:$E$505,$N52)="","",INDEX('NHẬP ĐƠN HÀNG'!$E$6:$E$505,$N52)))</f>
        <v/>
      </c>
      <c r="E52" s="16" t="str">
        <f aca="false">IF($N52="","",IF(INDEX('NHẬP ĐƠN HÀNG'!$F$6:$F$505,$N52)="","",INDEX('NHẬP ĐƠN HÀNG'!$F$6:$F$505,$N52)))</f>
        <v/>
      </c>
      <c r="F52" s="16" t="str">
        <f aca="false">IF($N52="","",IF(INDEX('NHẬP ĐƠN HÀNG'!$H$6:$H$505,$N52)="","",INDEX('NHẬP ĐƠN HÀNG'!$H$6:$H$505,$N52)))</f>
        <v/>
      </c>
      <c r="G52" s="10" t="str">
        <f aca="false">IF($N52="","",N(INDEX('NHẬP ĐƠN HÀNG'!$I$6:$I$505,$N52)))</f>
        <v/>
      </c>
      <c r="H52" s="10" t="str">
        <f aca="false">IF($N52="","",N(INDEX('NHẬP ĐƠN HÀNG'!$L$6:$L$505,$N52)))</f>
        <v/>
      </c>
      <c r="I52" s="11" t="str">
        <f aca="false">IF($N52="","",N(INDEX('NHẬP ĐƠN HÀNG'!$N$6:$N$505,$N52)))</f>
        <v/>
      </c>
      <c r="J52" s="10" t="str">
        <f aca="false">IF($N52="","",N(INDEX('NHẬP ĐƠN HÀNG'!$O$6:$O$505,$N52)))</f>
        <v/>
      </c>
      <c r="K52" s="10" t="str">
        <f aca="false">IF($N52="","",N(INDEX('NHẬP ĐƠN HÀNG'!$P$6:$P$505,$N52)))</f>
        <v/>
      </c>
      <c r="L52" s="10" t="str">
        <f aca="false">IF($N52="","",N(INDEX('NHẬP ĐƠN HÀNG'!$Q$6:$Q$505,$N52)))</f>
        <v/>
      </c>
      <c r="M52" s="10" t="str">
        <f aca="false">IF($N52="","",N(INDEX('NHẬP ĐƠN HÀNG'!$R$6:$R$505,$N52)))</f>
        <v/>
      </c>
      <c r="N52" s="0" t="str">
        <f aca="false">IFERROR(MATCH(47,'NHẬP ĐƠN HÀNG'!$Z$6:$Z$505,0),"")</f>
        <v/>
      </c>
    </row>
    <row r="53" customFormat="false" ht="15" hidden="false" customHeight="false" outlineLevel="0" collapsed="false">
      <c r="A53" s="16" t="str">
        <f aca="false">IF($N53="","",48)</f>
        <v/>
      </c>
      <c r="B53" s="34" t="str">
        <f aca="false">IF($N53="","",IF(INDEX('NHẬP ĐƠN HÀNG'!$B$6:$B$505,$N53)="","",INDEX('NHẬP ĐƠN HÀNG'!$B$6:$B$505,$N53)))</f>
        <v/>
      </c>
      <c r="C53" s="16" t="str">
        <f aca="false">IF($N53="","",IF(INDEX('NHẬP ĐƠN HÀNG'!$C$6:$C$505,$N53)="","",INDEX('NHẬP ĐƠN HÀNG'!$C$6:$C$505,$N53)))</f>
        <v/>
      </c>
      <c r="D53" s="16" t="str">
        <f aca="false">IF($N53="","",IF(INDEX('NHẬP ĐƠN HÀNG'!$E$6:$E$505,$N53)="","",INDEX('NHẬP ĐƠN HÀNG'!$E$6:$E$505,$N53)))</f>
        <v/>
      </c>
      <c r="E53" s="16" t="str">
        <f aca="false">IF($N53="","",IF(INDEX('NHẬP ĐƠN HÀNG'!$F$6:$F$505,$N53)="","",INDEX('NHẬP ĐƠN HÀNG'!$F$6:$F$505,$N53)))</f>
        <v/>
      </c>
      <c r="F53" s="16" t="str">
        <f aca="false">IF($N53="","",IF(INDEX('NHẬP ĐƠN HÀNG'!$H$6:$H$505,$N53)="","",INDEX('NHẬP ĐƠN HÀNG'!$H$6:$H$505,$N53)))</f>
        <v/>
      </c>
      <c r="G53" s="10" t="str">
        <f aca="false">IF($N53="","",N(INDEX('NHẬP ĐƠN HÀNG'!$I$6:$I$505,$N53)))</f>
        <v/>
      </c>
      <c r="H53" s="10" t="str">
        <f aca="false">IF($N53="","",N(INDEX('NHẬP ĐƠN HÀNG'!$L$6:$L$505,$N53)))</f>
        <v/>
      </c>
      <c r="I53" s="11" t="str">
        <f aca="false">IF($N53="","",N(INDEX('NHẬP ĐƠN HÀNG'!$N$6:$N$505,$N53)))</f>
        <v/>
      </c>
      <c r="J53" s="10" t="str">
        <f aca="false">IF($N53="","",N(INDEX('NHẬP ĐƠN HÀNG'!$O$6:$O$505,$N53)))</f>
        <v/>
      </c>
      <c r="K53" s="10" t="str">
        <f aca="false">IF($N53="","",N(INDEX('NHẬP ĐƠN HÀNG'!$P$6:$P$505,$N53)))</f>
        <v/>
      </c>
      <c r="L53" s="10" t="str">
        <f aca="false">IF($N53="","",N(INDEX('NHẬP ĐƠN HÀNG'!$Q$6:$Q$505,$N53)))</f>
        <v/>
      </c>
      <c r="M53" s="10" t="str">
        <f aca="false">IF($N53="","",N(INDEX('NHẬP ĐƠN HÀNG'!$R$6:$R$505,$N53)))</f>
        <v/>
      </c>
      <c r="N53" s="0" t="str">
        <f aca="false">IFERROR(MATCH(48,'NHẬP ĐƠN HÀNG'!$Z$6:$Z$505,0),"")</f>
        <v/>
      </c>
    </row>
    <row r="54" customFormat="false" ht="15" hidden="false" customHeight="false" outlineLevel="0" collapsed="false">
      <c r="A54" s="16" t="str">
        <f aca="false">IF($N54="","",49)</f>
        <v/>
      </c>
      <c r="B54" s="34" t="str">
        <f aca="false">IF($N54="","",IF(INDEX('NHẬP ĐƠN HÀNG'!$B$6:$B$505,$N54)="","",INDEX('NHẬP ĐƠN HÀNG'!$B$6:$B$505,$N54)))</f>
        <v/>
      </c>
      <c r="C54" s="16" t="str">
        <f aca="false">IF($N54="","",IF(INDEX('NHẬP ĐƠN HÀNG'!$C$6:$C$505,$N54)="","",INDEX('NHẬP ĐƠN HÀNG'!$C$6:$C$505,$N54)))</f>
        <v/>
      </c>
      <c r="D54" s="16" t="str">
        <f aca="false">IF($N54="","",IF(INDEX('NHẬP ĐƠN HÀNG'!$E$6:$E$505,$N54)="","",INDEX('NHẬP ĐƠN HÀNG'!$E$6:$E$505,$N54)))</f>
        <v/>
      </c>
      <c r="E54" s="16" t="str">
        <f aca="false">IF($N54="","",IF(INDEX('NHẬP ĐƠN HÀNG'!$F$6:$F$505,$N54)="","",INDEX('NHẬP ĐƠN HÀNG'!$F$6:$F$505,$N54)))</f>
        <v/>
      </c>
      <c r="F54" s="16" t="str">
        <f aca="false">IF($N54="","",IF(INDEX('NHẬP ĐƠN HÀNG'!$H$6:$H$505,$N54)="","",INDEX('NHẬP ĐƠN HÀNG'!$H$6:$H$505,$N54)))</f>
        <v/>
      </c>
      <c r="G54" s="10" t="str">
        <f aca="false">IF($N54="","",N(INDEX('NHẬP ĐƠN HÀNG'!$I$6:$I$505,$N54)))</f>
        <v/>
      </c>
      <c r="H54" s="10" t="str">
        <f aca="false">IF($N54="","",N(INDEX('NHẬP ĐƠN HÀNG'!$L$6:$L$505,$N54)))</f>
        <v/>
      </c>
      <c r="I54" s="11" t="str">
        <f aca="false">IF($N54="","",N(INDEX('NHẬP ĐƠN HÀNG'!$N$6:$N$505,$N54)))</f>
        <v/>
      </c>
      <c r="J54" s="10" t="str">
        <f aca="false">IF($N54="","",N(INDEX('NHẬP ĐƠN HÀNG'!$O$6:$O$505,$N54)))</f>
        <v/>
      </c>
      <c r="K54" s="10" t="str">
        <f aca="false">IF($N54="","",N(INDEX('NHẬP ĐƠN HÀNG'!$P$6:$P$505,$N54)))</f>
        <v/>
      </c>
      <c r="L54" s="10" t="str">
        <f aca="false">IF($N54="","",N(INDEX('NHẬP ĐƠN HÀNG'!$Q$6:$Q$505,$N54)))</f>
        <v/>
      </c>
      <c r="M54" s="10" t="str">
        <f aca="false">IF($N54="","",N(INDEX('NHẬP ĐƠN HÀNG'!$R$6:$R$505,$N54)))</f>
        <v/>
      </c>
      <c r="N54" s="0" t="str">
        <f aca="false">IFERROR(MATCH(49,'NHẬP ĐƠN HÀNG'!$Z$6:$Z$505,0),"")</f>
        <v/>
      </c>
    </row>
    <row r="55" customFormat="false" ht="15" hidden="false" customHeight="false" outlineLevel="0" collapsed="false">
      <c r="A55" s="16" t="str">
        <f aca="false">IF($N55="","",50)</f>
        <v/>
      </c>
      <c r="B55" s="34" t="str">
        <f aca="false">IF($N55="","",IF(INDEX('NHẬP ĐƠN HÀNG'!$B$6:$B$505,$N55)="","",INDEX('NHẬP ĐƠN HÀNG'!$B$6:$B$505,$N55)))</f>
        <v/>
      </c>
      <c r="C55" s="16" t="str">
        <f aca="false">IF($N55="","",IF(INDEX('NHẬP ĐƠN HÀNG'!$C$6:$C$505,$N55)="","",INDEX('NHẬP ĐƠN HÀNG'!$C$6:$C$505,$N55)))</f>
        <v/>
      </c>
      <c r="D55" s="16" t="str">
        <f aca="false">IF($N55="","",IF(INDEX('NHẬP ĐƠN HÀNG'!$E$6:$E$505,$N55)="","",INDEX('NHẬP ĐƠN HÀNG'!$E$6:$E$505,$N55)))</f>
        <v/>
      </c>
      <c r="E55" s="16" t="str">
        <f aca="false">IF($N55="","",IF(INDEX('NHẬP ĐƠN HÀNG'!$F$6:$F$505,$N55)="","",INDEX('NHẬP ĐƠN HÀNG'!$F$6:$F$505,$N55)))</f>
        <v/>
      </c>
      <c r="F55" s="16" t="str">
        <f aca="false">IF($N55="","",IF(INDEX('NHẬP ĐƠN HÀNG'!$H$6:$H$505,$N55)="","",INDEX('NHẬP ĐƠN HÀNG'!$H$6:$H$505,$N55)))</f>
        <v/>
      </c>
      <c r="G55" s="10" t="str">
        <f aca="false">IF($N55="","",N(INDEX('NHẬP ĐƠN HÀNG'!$I$6:$I$505,$N55)))</f>
        <v/>
      </c>
      <c r="H55" s="10" t="str">
        <f aca="false">IF($N55="","",N(INDEX('NHẬP ĐƠN HÀNG'!$L$6:$L$505,$N55)))</f>
        <v/>
      </c>
      <c r="I55" s="11" t="str">
        <f aca="false">IF($N55="","",N(INDEX('NHẬP ĐƠN HÀNG'!$N$6:$N$505,$N55)))</f>
        <v/>
      </c>
      <c r="J55" s="10" t="str">
        <f aca="false">IF($N55="","",N(INDEX('NHẬP ĐƠN HÀNG'!$O$6:$O$505,$N55)))</f>
        <v/>
      </c>
      <c r="K55" s="10" t="str">
        <f aca="false">IF($N55="","",N(INDEX('NHẬP ĐƠN HÀNG'!$P$6:$P$505,$N55)))</f>
        <v/>
      </c>
      <c r="L55" s="10" t="str">
        <f aca="false">IF($N55="","",N(INDEX('NHẬP ĐƠN HÀNG'!$Q$6:$Q$505,$N55)))</f>
        <v/>
      </c>
      <c r="M55" s="10" t="str">
        <f aca="false">IF($N55="","",N(INDEX('NHẬP ĐƠN HÀNG'!$R$6:$R$505,$N55)))</f>
        <v/>
      </c>
      <c r="N55" s="0" t="str">
        <f aca="false">IFERROR(MATCH(50,'NHẬP ĐƠN HÀNG'!$Z$6:$Z$505,0),"")</f>
        <v/>
      </c>
    </row>
    <row r="56" customFormat="false" ht="15" hidden="false" customHeight="false" outlineLevel="0" collapsed="false">
      <c r="A56" s="16" t="str">
        <f aca="false">IF($N56="","",51)</f>
        <v/>
      </c>
      <c r="B56" s="34" t="str">
        <f aca="false">IF($N56="","",IF(INDEX('NHẬP ĐƠN HÀNG'!$B$6:$B$505,$N56)="","",INDEX('NHẬP ĐƠN HÀNG'!$B$6:$B$505,$N56)))</f>
        <v/>
      </c>
      <c r="C56" s="16" t="str">
        <f aca="false">IF($N56="","",IF(INDEX('NHẬP ĐƠN HÀNG'!$C$6:$C$505,$N56)="","",INDEX('NHẬP ĐƠN HÀNG'!$C$6:$C$505,$N56)))</f>
        <v/>
      </c>
      <c r="D56" s="16" t="str">
        <f aca="false">IF($N56="","",IF(INDEX('NHẬP ĐƠN HÀNG'!$E$6:$E$505,$N56)="","",INDEX('NHẬP ĐƠN HÀNG'!$E$6:$E$505,$N56)))</f>
        <v/>
      </c>
      <c r="E56" s="16" t="str">
        <f aca="false">IF($N56="","",IF(INDEX('NHẬP ĐƠN HÀNG'!$F$6:$F$505,$N56)="","",INDEX('NHẬP ĐƠN HÀNG'!$F$6:$F$505,$N56)))</f>
        <v/>
      </c>
      <c r="F56" s="16" t="str">
        <f aca="false">IF($N56="","",IF(INDEX('NHẬP ĐƠN HÀNG'!$H$6:$H$505,$N56)="","",INDEX('NHẬP ĐƠN HÀNG'!$H$6:$H$505,$N56)))</f>
        <v/>
      </c>
      <c r="G56" s="10" t="str">
        <f aca="false">IF($N56="","",N(INDEX('NHẬP ĐƠN HÀNG'!$I$6:$I$505,$N56)))</f>
        <v/>
      </c>
      <c r="H56" s="10" t="str">
        <f aca="false">IF($N56="","",N(INDEX('NHẬP ĐƠN HÀNG'!$L$6:$L$505,$N56)))</f>
        <v/>
      </c>
      <c r="I56" s="11" t="str">
        <f aca="false">IF($N56="","",N(INDEX('NHẬP ĐƠN HÀNG'!$N$6:$N$505,$N56)))</f>
        <v/>
      </c>
      <c r="J56" s="10" t="str">
        <f aca="false">IF($N56="","",N(INDEX('NHẬP ĐƠN HÀNG'!$O$6:$O$505,$N56)))</f>
        <v/>
      </c>
      <c r="K56" s="10" t="str">
        <f aca="false">IF($N56="","",N(INDEX('NHẬP ĐƠN HÀNG'!$P$6:$P$505,$N56)))</f>
        <v/>
      </c>
      <c r="L56" s="10" t="str">
        <f aca="false">IF($N56="","",N(INDEX('NHẬP ĐƠN HÀNG'!$Q$6:$Q$505,$N56)))</f>
        <v/>
      </c>
      <c r="M56" s="10" t="str">
        <f aca="false">IF($N56="","",N(INDEX('NHẬP ĐƠN HÀNG'!$R$6:$R$505,$N56)))</f>
        <v/>
      </c>
      <c r="N56" s="0" t="str">
        <f aca="false">IFERROR(MATCH(51,'NHẬP ĐƠN HÀNG'!$Z$6:$Z$505,0),"")</f>
        <v/>
      </c>
    </row>
    <row r="57" customFormat="false" ht="15" hidden="false" customHeight="false" outlineLevel="0" collapsed="false">
      <c r="A57" s="16" t="str">
        <f aca="false">IF($N57="","",52)</f>
        <v/>
      </c>
      <c r="B57" s="34" t="str">
        <f aca="false">IF($N57="","",IF(INDEX('NHẬP ĐƠN HÀNG'!$B$6:$B$505,$N57)="","",INDEX('NHẬP ĐƠN HÀNG'!$B$6:$B$505,$N57)))</f>
        <v/>
      </c>
      <c r="C57" s="16" t="str">
        <f aca="false">IF($N57="","",IF(INDEX('NHẬP ĐƠN HÀNG'!$C$6:$C$505,$N57)="","",INDEX('NHẬP ĐƠN HÀNG'!$C$6:$C$505,$N57)))</f>
        <v/>
      </c>
      <c r="D57" s="16" t="str">
        <f aca="false">IF($N57="","",IF(INDEX('NHẬP ĐƠN HÀNG'!$E$6:$E$505,$N57)="","",INDEX('NHẬP ĐƠN HÀNG'!$E$6:$E$505,$N57)))</f>
        <v/>
      </c>
      <c r="E57" s="16" t="str">
        <f aca="false">IF($N57="","",IF(INDEX('NHẬP ĐƠN HÀNG'!$F$6:$F$505,$N57)="","",INDEX('NHẬP ĐƠN HÀNG'!$F$6:$F$505,$N57)))</f>
        <v/>
      </c>
      <c r="F57" s="16" t="str">
        <f aca="false">IF($N57="","",IF(INDEX('NHẬP ĐƠN HÀNG'!$H$6:$H$505,$N57)="","",INDEX('NHẬP ĐƠN HÀNG'!$H$6:$H$505,$N57)))</f>
        <v/>
      </c>
      <c r="G57" s="10" t="str">
        <f aca="false">IF($N57="","",N(INDEX('NHẬP ĐƠN HÀNG'!$I$6:$I$505,$N57)))</f>
        <v/>
      </c>
      <c r="H57" s="10" t="str">
        <f aca="false">IF($N57="","",N(INDEX('NHẬP ĐƠN HÀNG'!$L$6:$L$505,$N57)))</f>
        <v/>
      </c>
      <c r="I57" s="11" t="str">
        <f aca="false">IF($N57="","",N(INDEX('NHẬP ĐƠN HÀNG'!$N$6:$N$505,$N57)))</f>
        <v/>
      </c>
      <c r="J57" s="10" t="str">
        <f aca="false">IF($N57="","",N(INDEX('NHẬP ĐƠN HÀNG'!$O$6:$O$505,$N57)))</f>
        <v/>
      </c>
      <c r="K57" s="10" t="str">
        <f aca="false">IF($N57="","",N(INDEX('NHẬP ĐƠN HÀNG'!$P$6:$P$505,$N57)))</f>
        <v/>
      </c>
      <c r="L57" s="10" t="str">
        <f aca="false">IF($N57="","",N(INDEX('NHẬP ĐƠN HÀNG'!$Q$6:$Q$505,$N57)))</f>
        <v/>
      </c>
      <c r="M57" s="10" t="str">
        <f aca="false">IF($N57="","",N(INDEX('NHẬP ĐƠN HÀNG'!$R$6:$R$505,$N57)))</f>
        <v/>
      </c>
      <c r="N57" s="0" t="str">
        <f aca="false">IFERROR(MATCH(52,'NHẬP ĐƠN HÀNG'!$Z$6:$Z$505,0),"")</f>
        <v/>
      </c>
    </row>
    <row r="58" customFormat="false" ht="15" hidden="false" customHeight="false" outlineLevel="0" collapsed="false">
      <c r="A58" s="16" t="str">
        <f aca="false">IF($N58="","",53)</f>
        <v/>
      </c>
      <c r="B58" s="34" t="str">
        <f aca="false">IF($N58="","",IF(INDEX('NHẬP ĐƠN HÀNG'!$B$6:$B$505,$N58)="","",INDEX('NHẬP ĐƠN HÀNG'!$B$6:$B$505,$N58)))</f>
        <v/>
      </c>
      <c r="C58" s="16" t="str">
        <f aca="false">IF($N58="","",IF(INDEX('NHẬP ĐƠN HÀNG'!$C$6:$C$505,$N58)="","",INDEX('NHẬP ĐƠN HÀNG'!$C$6:$C$505,$N58)))</f>
        <v/>
      </c>
      <c r="D58" s="16" t="str">
        <f aca="false">IF($N58="","",IF(INDEX('NHẬP ĐƠN HÀNG'!$E$6:$E$505,$N58)="","",INDEX('NHẬP ĐƠN HÀNG'!$E$6:$E$505,$N58)))</f>
        <v/>
      </c>
      <c r="E58" s="16" t="str">
        <f aca="false">IF($N58="","",IF(INDEX('NHẬP ĐƠN HÀNG'!$F$6:$F$505,$N58)="","",INDEX('NHẬP ĐƠN HÀNG'!$F$6:$F$505,$N58)))</f>
        <v/>
      </c>
      <c r="F58" s="16" t="str">
        <f aca="false">IF($N58="","",IF(INDEX('NHẬP ĐƠN HÀNG'!$H$6:$H$505,$N58)="","",INDEX('NHẬP ĐƠN HÀNG'!$H$6:$H$505,$N58)))</f>
        <v/>
      </c>
      <c r="G58" s="10" t="str">
        <f aca="false">IF($N58="","",N(INDEX('NHẬP ĐƠN HÀNG'!$I$6:$I$505,$N58)))</f>
        <v/>
      </c>
      <c r="H58" s="10" t="str">
        <f aca="false">IF($N58="","",N(INDEX('NHẬP ĐƠN HÀNG'!$L$6:$L$505,$N58)))</f>
        <v/>
      </c>
      <c r="I58" s="11" t="str">
        <f aca="false">IF($N58="","",N(INDEX('NHẬP ĐƠN HÀNG'!$N$6:$N$505,$N58)))</f>
        <v/>
      </c>
      <c r="J58" s="10" t="str">
        <f aca="false">IF($N58="","",N(INDEX('NHẬP ĐƠN HÀNG'!$O$6:$O$505,$N58)))</f>
        <v/>
      </c>
      <c r="K58" s="10" t="str">
        <f aca="false">IF($N58="","",N(INDEX('NHẬP ĐƠN HÀNG'!$P$6:$P$505,$N58)))</f>
        <v/>
      </c>
      <c r="L58" s="10" t="str">
        <f aca="false">IF($N58="","",N(INDEX('NHẬP ĐƠN HÀNG'!$Q$6:$Q$505,$N58)))</f>
        <v/>
      </c>
      <c r="M58" s="10" t="str">
        <f aca="false">IF($N58="","",N(INDEX('NHẬP ĐƠN HÀNG'!$R$6:$R$505,$N58)))</f>
        <v/>
      </c>
      <c r="N58" s="0" t="str">
        <f aca="false">IFERROR(MATCH(53,'NHẬP ĐƠN HÀNG'!$Z$6:$Z$505,0),"")</f>
        <v/>
      </c>
    </row>
    <row r="59" customFormat="false" ht="15" hidden="false" customHeight="false" outlineLevel="0" collapsed="false">
      <c r="A59" s="16" t="str">
        <f aca="false">IF($N59="","",54)</f>
        <v/>
      </c>
      <c r="B59" s="34" t="str">
        <f aca="false">IF($N59="","",IF(INDEX('NHẬP ĐƠN HÀNG'!$B$6:$B$505,$N59)="","",INDEX('NHẬP ĐƠN HÀNG'!$B$6:$B$505,$N59)))</f>
        <v/>
      </c>
      <c r="C59" s="16" t="str">
        <f aca="false">IF($N59="","",IF(INDEX('NHẬP ĐƠN HÀNG'!$C$6:$C$505,$N59)="","",INDEX('NHẬP ĐƠN HÀNG'!$C$6:$C$505,$N59)))</f>
        <v/>
      </c>
      <c r="D59" s="16" t="str">
        <f aca="false">IF($N59="","",IF(INDEX('NHẬP ĐƠN HÀNG'!$E$6:$E$505,$N59)="","",INDEX('NHẬP ĐƠN HÀNG'!$E$6:$E$505,$N59)))</f>
        <v/>
      </c>
      <c r="E59" s="16" t="str">
        <f aca="false">IF($N59="","",IF(INDEX('NHẬP ĐƠN HÀNG'!$F$6:$F$505,$N59)="","",INDEX('NHẬP ĐƠN HÀNG'!$F$6:$F$505,$N59)))</f>
        <v/>
      </c>
      <c r="F59" s="16" t="str">
        <f aca="false">IF($N59="","",IF(INDEX('NHẬP ĐƠN HÀNG'!$H$6:$H$505,$N59)="","",INDEX('NHẬP ĐƠN HÀNG'!$H$6:$H$505,$N59)))</f>
        <v/>
      </c>
      <c r="G59" s="10" t="str">
        <f aca="false">IF($N59="","",N(INDEX('NHẬP ĐƠN HÀNG'!$I$6:$I$505,$N59)))</f>
        <v/>
      </c>
      <c r="H59" s="10" t="str">
        <f aca="false">IF($N59="","",N(INDEX('NHẬP ĐƠN HÀNG'!$L$6:$L$505,$N59)))</f>
        <v/>
      </c>
      <c r="I59" s="11" t="str">
        <f aca="false">IF($N59="","",N(INDEX('NHẬP ĐƠN HÀNG'!$N$6:$N$505,$N59)))</f>
        <v/>
      </c>
      <c r="J59" s="10" t="str">
        <f aca="false">IF($N59="","",N(INDEX('NHẬP ĐƠN HÀNG'!$O$6:$O$505,$N59)))</f>
        <v/>
      </c>
      <c r="K59" s="10" t="str">
        <f aca="false">IF($N59="","",N(INDEX('NHẬP ĐƠN HÀNG'!$P$6:$P$505,$N59)))</f>
        <v/>
      </c>
      <c r="L59" s="10" t="str">
        <f aca="false">IF($N59="","",N(INDEX('NHẬP ĐƠN HÀNG'!$Q$6:$Q$505,$N59)))</f>
        <v/>
      </c>
      <c r="M59" s="10" t="str">
        <f aca="false">IF($N59="","",N(INDEX('NHẬP ĐƠN HÀNG'!$R$6:$R$505,$N59)))</f>
        <v/>
      </c>
      <c r="N59" s="0" t="str">
        <f aca="false">IFERROR(MATCH(54,'NHẬP ĐƠN HÀNG'!$Z$6:$Z$505,0),"")</f>
        <v/>
      </c>
    </row>
    <row r="60" customFormat="false" ht="15" hidden="false" customHeight="false" outlineLevel="0" collapsed="false">
      <c r="A60" s="16" t="str">
        <f aca="false">IF($N60="","",55)</f>
        <v/>
      </c>
      <c r="B60" s="34" t="str">
        <f aca="false">IF($N60="","",IF(INDEX('NHẬP ĐƠN HÀNG'!$B$6:$B$505,$N60)="","",INDEX('NHẬP ĐƠN HÀNG'!$B$6:$B$505,$N60)))</f>
        <v/>
      </c>
      <c r="C60" s="16" t="str">
        <f aca="false">IF($N60="","",IF(INDEX('NHẬP ĐƠN HÀNG'!$C$6:$C$505,$N60)="","",INDEX('NHẬP ĐƠN HÀNG'!$C$6:$C$505,$N60)))</f>
        <v/>
      </c>
      <c r="D60" s="16" t="str">
        <f aca="false">IF($N60="","",IF(INDEX('NHẬP ĐƠN HÀNG'!$E$6:$E$505,$N60)="","",INDEX('NHẬP ĐƠN HÀNG'!$E$6:$E$505,$N60)))</f>
        <v/>
      </c>
      <c r="E60" s="16" t="str">
        <f aca="false">IF($N60="","",IF(INDEX('NHẬP ĐƠN HÀNG'!$F$6:$F$505,$N60)="","",INDEX('NHẬP ĐƠN HÀNG'!$F$6:$F$505,$N60)))</f>
        <v/>
      </c>
      <c r="F60" s="16" t="str">
        <f aca="false">IF($N60="","",IF(INDEX('NHẬP ĐƠN HÀNG'!$H$6:$H$505,$N60)="","",INDEX('NHẬP ĐƠN HÀNG'!$H$6:$H$505,$N60)))</f>
        <v/>
      </c>
      <c r="G60" s="10" t="str">
        <f aca="false">IF($N60="","",N(INDEX('NHẬP ĐƠN HÀNG'!$I$6:$I$505,$N60)))</f>
        <v/>
      </c>
      <c r="H60" s="10" t="str">
        <f aca="false">IF($N60="","",N(INDEX('NHẬP ĐƠN HÀNG'!$L$6:$L$505,$N60)))</f>
        <v/>
      </c>
      <c r="I60" s="11" t="str">
        <f aca="false">IF($N60="","",N(INDEX('NHẬP ĐƠN HÀNG'!$N$6:$N$505,$N60)))</f>
        <v/>
      </c>
      <c r="J60" s="10" t="str">
        <f aca="false">IF($N60="","",N(INDEX('NHẬP ĐƠN HÀNG'!$O$6:$O$505,$N60)))</f>
        <v/>
      </c>
      <c r="K60" s="10" t="str">
        <f aca="false">IF($N60="","",N(INDEX('NHẬP ĐƠN HÀNG'!$P$6:$P$505,$N60)))</f>
        <v/>
      </c>
      <c r="L60" s="10" t="str">
        <f aca="false">IF($N60="","",N(INDEX('NHẬP ĐƠN HÀNG'!$Q$6:$Q$505,$N60)))</f>
        <v/>
      </c>
      <c r="M60" s="10" t="str">
        <f aca="false">IF($N60="","",N(INDEX('NHẬP ĐƠN HÀNG'!$R$6:$R$505,$N60)))</f>
        <v/>
      </c>
      <c r="N60" s="0" t="str">
        <f aca="false">IFERROR(MATCH(55,'NHẬP ĐƠN HÀNG'!$Z$6:$Z$505,0),"")</f>
        <v/>
      </c>
    </row>
    <row r="61" customFormat="false" ht="15" hidden="false" customHeight="false" outlineLevel="0" collapsed="false">
      <c r="A61" s="16" t="str">
        <f aca="false">IF($N61="","",56)</f>
        <v/>
      </c>
      <c r="B61" s="34" t="str">
        <f aca="false">IF($N61="","",IF(INDEX('NHẬP ĐƠN HÀNG'!$B$6:$B$505,$N61)="","",INDEX('NHẬP ĐƠN HÀNG'!$B$6:$B$505,$N61)))</f>
        <v/>
      </c>
      <c r="C61" s="16" t="str">
        <f aca="false">IF($N61="","",IF(INDEX('NHẬP ĐƠN HÀNG'!$C$6:$C$505,$N61)="","",INDEX('NHẬP ĐƠN HÀNG'!$C$6:$C$505,$N61)))</f>
        <v/>
      </c>
      <c r="D61" s="16" t="str">
        <f aca="false">IF($N61="","",IF(INDEX('NHẬP ĐƠN HÀNG'!$E$6:$E$505,$N61)="","",INDEX('NHẬP ĐƠN HÀNG'!$E$6:$E$505,$N61)))</f>
        <v/>
      </c>
      <c r="E61" s="16" t="str">
        <f aca="false">IF($N61="","",IF(INDEX('NHẬP ĐƠN HÀNG'!$F$6:$F$505,$N61)="","",INDEX('NHẬP ĐƠN HÀNG'!$F$6:$F$505,$N61)))</f>
        <v/>
      </c>
      <c r="F61" s="16" t="str">
        <f aca="false">IF($N61="","",IF(INDEX('NHẬP ĐƠN HÀNG'!$H$6:$H$505,$N61)="","",INDEX('NHẬP ĐƠN HÀNG'!$H$6:$H$505,$N61)))</f>
        <v/>
      </c>
      <c r="G61" s="10" t="str">
        <f aca="false">IF($N61="","",N(INDEX('NHẬP ĐƠN HÀNG'!$I$6:$I$505,$N61)))</f>
        <v/>
      </c>
      <c r="H61" s="10" t="str">
        <f aca="false">IF($N61="","",N(INDEX('NHẬP ĐƠN HÀNG'!$L$6:$L$505,$N61)))</f>
        <v/>
      </c>
      <c r="I61" s="11" t="str">
        <f aca="false">IF($N61="","",N(INDEX('NHẬP ĐƠN HÀNG'!$N$6:$N$505,$N61)))</f>
        <v/>
      </c>
      <c r="J61" s="10" t="str">
        <f aca="false">IF($N61="","",N(INDEX('NHẬP ĐƠN HÀNG'!$O$6:$O$505,$N61)))</f>
        <v/>
      </c>
      <c r="K61" s="10" t="str">
        <f aca="false">IF($N61="","",N(INDEX('NHẬP ĐƠN HÀNG'!$P$6:$P$505,$N61)))</f>
        <v/>
      </c>
      <c r="L61" s="10" t="str">
        <f aca="false">IF($N61="","",N(INDEX('NHẬP ĐƠN HÀNG'!$Q$6:$Q$505,$N61)))</f>
        <v/>
      </c>
      <c r="M61" s="10" t="str">
        <f aca="false">IF($N61="","",N(INDEX('NHẬP ĐƠN HÀNG'!$R$6:$R$505,$N61)))</f>
        <v/>
      </c>
      <c r="N61" s="0" t="str">
        <f aca="false">IFERROR(MATCH(56,'NHẬP ĐƠN HÀNG'!$Z$6:$Z$505,0),"")</f>
        <v/>
      </c>
    </row>
    <row r="62" customFormat="false" ht="15" hidden="false" customHeight="false" outlineLevel="0" collapsed="false">
      <c r="A62" s="16" t="str">
        <f aca="false">IF($N62="","",57)</f>
        <v/>
      </c>
      <c r="B62" s="34" t="str">
        <f aca="false">IF($N62="","",IF(INDEX('NHẬP ĐƠN HÀNG'!$B$6:$B$505,$N62)="","",INDEX('NHẬP ĐƠN HÀNG'!$B$6:$B$505,$N62)))</f>
        <v/>
      </c>
      <c r="C62" s="16" t="str">
        <f aca="false">IF($N62="","",IF(INDEX('NHẬP ĐƠN HÀNG'!$C$6:$C$505,$N62)="","",INDEX('NHẬP ĐƠN HÀNG'!$C$6:$C$505,$N62)))</f>
        <v/>
      </c>
      <c r="D62" s="16" t="str">
        <f aca="false">IF($N62="","",IF(INDEX('NHẬP ĐƠN HÀNG'!$E$6:$E$505,$N62)="","",INDEX('NHẬP ĐƠN HÀNG'!$E$6:$E$505,$N62)))</f>
        <v/>
      </c>
      <c r="E62" s="16" t="str">
        <f aca="false">IF($N62="","",IF(INDEX('NHẬP ĐƠN HÀNG'!$F$6:$F$505,$N62)="","",INDEX('NHẬP ĐƠN HÀNG'!$F$6:$F$505,$N62)))</f>
        <v/>
      </c>
      <c r="F62" s="16" t="str">
        <f aca="false">IF($N62="","",IF(INDEX('NHẬP ĐƠN HÀNG'!$H$6:$H$505,$N62)="","",INDEX('NHẬP ĐƠN HÀNG'!$H$6:$H$505,$N62)))</f>
        <v/>
      </c>
      <c r="G62" s="10" t="str">
        <f aca="false">IF($N62="","",N(INDEX('NHẬP ĐƠN HÀNG'!$I$6:$I$505,$N62)))</f>
        <v/>
      </c>
      <c r="H62" s="10" t="str">
        <f aca="false">IF($N62="","",N(INDEX('NHẬP ĐƠN HÀNG'!$L$6:$L$505,$N62)))</f>
        <v/>
      </c>
      <c r="I62" s="11" t="str">
        <f aca="false">IF($N62="","",N(INDEX('NHẬP ĐƠN HÀNG'!$N$6:$N$505,$N62)))</f>
        <v/>
      </c>
      <c r="J62" s="10" t="str">
        <f aca="false">IF($N62="","",N(INDEX('NHẬP ĐƠN HÀNG'!$O$6:$O$505,$N62)))</f>
        <v/>
      </c>
      <c r="K62" s="10" t="str">
        <f aca="false">IF($N62="","",N(INDEX('NHẬP ĐƠN HÀNG'!$P$6:$P$505,$N62)))</f>
        <v/>
      </c>
      <c r="L62" s="10" t="str">
        <f aca="false">IF($N62="","",N(INDEX('NHẬP ĐƠN HÀNG'!$Q$6:$Q$505,$N62)))</f>
        <v/>
      </c>
      <c r="M62" s="10" t="str">
        <f aca="false">IF($N62="","",N(INDEX('NHẬP ĐƠN HÀNG'!$R$6:$R$505,$N62)))</f>
        <v/>
      </c>
      <c r="N62" s="0" t="str">
        <f aca="false">IFERROR(MATCH(57,'NHẬP ĐƠN HÀNG'!$Z$6:$Z$505,0),"")</f>
        <v/>
      </c>
    </row>
    <row r="63" customFormat="false" ht="15" hidden="false" customHeight="false" outlineLevel="0" collapsed="false">
      <c r="A63" s="16" t="str">
        <f aca="false">IF($N63="","",58)</f>
        <v/>
      </c>
      <c r="B63" s="34" t="str">
        <f aca="false">IF($N63="","",IF(INDEX('NHẬP ĐƠN HÀNG'!$B$6:$B$505,$N63)="","",INDEX('NHẬP ĐƠN HÀNG'!$B$6:$B$505,$N63)))</f>
        <v/>
      </c>
      <c r="C63" s="16" t="str">
        <f aca="false">IF($N63="","",IF(INDEX('NHẬP ĐƠN HÀNG'!$C$6:$C$505,$N63)="","",INDEX('NHẬP ĐƠN HÀNG'!$C$6:$C$505,$N63)))</f>
        <v/>
      </c>
      <c r="D63" s="16" t="str">
        <f aca="false">IF($N63="","",IF(INDEX('NHẬP ĐƠN HÀNG'!$E$6:$E$505,$N63)="","",INDEX('NHẬP ĐƠN HÀNG'!$E$6:$E$505,$N63)))</f>
        <v/>
      </c>
      <c r="E63" s="16" t="str">
        <f aca="false">IF($N63="","",IF(INDEX('NHẬP ĐƠN HÀNG'!$F$6:$F$505,$N63)="","",INDEX('NHẬP ĐƠN HÀNG'!$F$6:$F$505,$N63)))</f>
        <v/>
      </c>
      <c r="F63" s="16" t="str">
        <f aca="false">IF($N63="","",IF(INDEX('NHẬP ĐƠN HÀNG'!$H$6:$H$505,$N63)="","",INDEX('NHẬP ĐƠN HÀNG'!$H$6:$H$505,$N63)))</f>
        <v/>
      </c>
      <c r="G63" s="10" t="str">
        <f aca="false">IF($N63="","",N(INDEX('NHẬP ĐƠN HÀNG'!$I$6:$I$505,$N63)))</f>
        <v/>
      </c>
      <c r="H63" s="10" t="str">
        <f aca="false">IF($N63="","",N(INDEX('NHẬP ĐƠN HÀNG'!$L$6:$L$505,$N63)))</f>
        <v/>
      </c>
      <c r="I63" s="11" t="str">
        <f aca="false">IF($N63="","",N(INDEX('NHẬP ĐƠN HÀNG'!$N$6:$N$505,$N63)))</f>
        <v/>
      </c>
      <c r="J63" s="10" t="str">
        <f aca="false">IF($N63="","",N(INDEX('NHẬP ĐƠN HÀNG'!$O$6:$O$505,$N63)))</f>
        <v/>
      </c>
      <c r="K63" s="10" t="str">
        <f aca="false">IF($N63="","",N(INDEX('NHẬP ĐƠN HÀNG'!$P$6:$P$505,$N63)))</f>
        <v/>
      </c>
      <c r="L63" s="10" t="str">
        <f aca="false">IF($N63="","",N(INDEX('NHẬP ĐƠN HÀNG'!$Q$6:$Q$505,$N63)))</f>
        <v/>
      </c>
      <c r="M63" s="10" t="str">
        <f aca="false">IF($N63="","",N(INDEX('NHẬP ĐƠN HÀNG'!$R$6:$R$505,$N63)))</f>
        <v/>
      </c>
      <c r="N63" s="0" t="str">
        <f aca="false">IFERROR(MATCH(58,'NHẬP ĐƠN HÀNG'!$Z$6:$Z$505,0),"")</f>
        <v/>
      </c>
    </row>
    <row r="64" customFormat="false" ht="15" hidden="false" customHeight="false" outlineLevel="0" collapsed="false">
      <c r="A64" s="16" t="str">
        <f aca="false">IF($N64="","",59)</f>
        <v/>
      </c>
      <c r="B64" s="34" t="str">
        <f aca="false">IF($N64="","",IF(INDEX('NHẬP ĐƠN HÀNG'!$B$6:$B$505,$N64)="","",INDEX('NHẬP ĐƠN HÀNG'!$B$6:$B$505,$N64)))</f>
        <v/>
      </c>
      <c r="C64" s="16" t="str">
        <f aca="false">IF($N64="","",IF(INDEX('NHẬP ĐƠN HÀNG'!$C$6:$C$505,$N64)="","",INDEX('NHẬP ĐƠN HÀNG'!$C$6:$C$505,$N64)))</f>
        <v/>
      </c>
      <c r="D64" s="16" t="str">
        <f aca="false">IF($N64="","",IF(INDEX('NHẬP ĐƠN HÀNG'!$E$6:$E$505,$N64)="","",INDEX('NHẬP ĐƠN HÀNG'!$E$6:$E$505,$N64)))</f>
        <v/>
      </c>
      <c r="E64" s="16" t="str">
        <f aca="false">IF($N64="","",IF(INDEX('NHẬP ĐƠN HÀNG'!$F$6:$F$505,$N64)="","",INDEX('NHẬP ĐƠN HÀNG'!$F$6:$F$505,$N64)))</f>
        <v/>
      </c>
      <c r="F64" s="16" t="str">
        <f aca="false">IF($N64="","",IF(INDEX('NHẬP ĐƠN HÀNG'!$H$6:$H$505,$N64)="","",INDEX('NHẬP ĐƠN HÀNG'!$H$6:$H$505,$N64)))</f>
        <v/>
      </c>
      <c r="G64" s="10" t="str">
        <f aca="false">IF($N64="","",N(INDEX('NHẬP ĐƠN HÀNG'!$I$6:$I$505,$N64)))</f>
        <v/>
      </c>
      <c r="H64" s="10" t="str">
        <f aca="false">IF($N64="","",N(INDEX('NHẬP ĐƠN HÀNG'!$L$6:$L$505,$N64)))</f>
        <v/>
      </c>
      <c r="I64" s="11" t="str">
        <f aca="false">IF($N64="","",N(INDEX('NHẬP ĐƠN HÀNG'!$N$6:$N$505,$N64)))</f>
        <v/>
      </c>
      <c r="J64" s="10" t="str">
        <f aca="false">IF($N64="","",N(INDEX('NHẬP ĐƠN HÀNG'!$O$6:$O$505,$N64)))</f>
        <v/>
      </c>
      <c r="K64" s="10" t="str">
        <f aca="false">IF($N64="","",N(INDEX('NHẬP ĐƠN HÀNG'!$P$6:$P$505,$N64)))</f>
        <v/>
      </c>
      <c r="L64" s="10" t="str">
        <f aca="false">IF($N64="","",N(INDEX('NHẬP ĐƠN HÀNG'!$Q$6:$Q$505,$N64)))</f>
        <v/>
      </c>
      <c r="M64" s="10" t="str">
        <f aca="false">IF($N64="","",N(INDEX('NHẬP ĐƠN HÀNG'!$R$6:$R$505,$N64)))</f>
        <v/>
      </c>
      <c r="N64" s="0" t="str">
        <f aca="false">IFERROR(MATCH(59,'NHẬP ĐƠN HÀNG'!$Z$6:$Z$505,0),"")</f>
        <v/>
      </c>
    </row>
    <row r="65" customFormat="false" ht="15" hidden="false" customHeight="false" outlineLevel="0" collapsed="false">
      <c r="A65" s="16" t="str">
        <f aca="false">IF($N65="","",60)</f>
        <v/>
      </c>
      <c r="B65" s="34" t="str">
        <f aca="false">IF($N65="","",IF(INDEX('NHẬP ĐƠN HÀNG'!$B$6:$B$505,$N65)="","",INDEX('NHẬP ĐƠN HÀNG'!$B$6:$B$505,$N65)))</f>
        <v/>
      </c>
      <c r="C65" s="16" t="str">
        <f aca="false">IF($N65="","",IF(INDEX('NHẬP ĐƠN HÀNG'!$C$6:$C$505,$N65)="","",INDEX('NHẬP ĐƠN HÀNG'!$C$6:$C$505,$N65)))</f>
        <v/>
      </c>
      <c r="D65" s="16" t="str">
        <f aca="false">IF($N65="","",IF(INDEX('NHẬP ĐƠN HÀNG'!$E$6:$E$505,$N65)="","",INDEX('NHẬP ĐƠN HÀNG'!$E$6:$E$505,$N65)))</f>
        <v/>
      </c>
      <c r="E65" s="16" t="str">
        <f aca="false">IF($N65="","",IF(INDEX('NHẬP ĐƠN HÀNG'!$F$6:$F$505,$N65)="","",INDEX('NHẬP ĐƠN HÀNG'!$F$6:$F$505,$N65)))</f>
        <v/>
      </c>
      <c r="F65" s="16" t="str">
        <f aca="false">IF($N65="","",IF(INDEX('NHẬP ĐƠN HÀNG'!$H$6:$H$505,$N65)="","",INDEX('NHẬP ĐƠN HÀNG'!$H$6:$H$505,$N65)))</f>
        <v/>
      </c>
      <c r="G65" s="10" t="str">
        <f aca="false">IF($N65="","",N(INDEX('NHẬP ĐƠN HÀNG'!$I$6:$I$505,$N65)))</f>
        <v/>
      </c>
      <c r="H65" s="10" t="str">
        <f aca="false">IF($N65="","",N(INDEX('NHẬP ĐƠN HÀNG'!$L$6:$L$505,$N65)))</f>
        <v/>
      </c>
      <c r="I65" s="11" t="str">
        <f aca="false">IF($N65="","",N(INDEX('NHẬP ĐƠN HÀNG'!$N$6:$N$505,$N65)))</f>
        <v/>
      </c>
      <c r="J65" s="10" t="str">
        <f aca="false">IF($N65="","",N(INDEX('NHẬP ĐƠN HÀNG'!$O$6:$O$505,$N65)))</f>
        <v/>
      </c>
      <c r="K65" s="10" t="str">
        <f aca="false">IF($N65="","",N(INDEX('NHẬP ĐƠN HÀNG'!$P$6:$P$505,$N65)))</f>
        <v/>
      </c>
      <c r="L65" s="10" t="str">
        <f aca="false">IF($N65="","",N(INDEX('NHẬP ĐƠN HÀNG'!$Q$6:$Q$505,$N65)))</f>
        <v/>
      </c>
      <c r="M65" s="10" t="str">
        <f aca="false">IF($N65="","",N(INDEX('NHẬP ĐƠN HÀNG'!$R$6:$R$505,$N65)))</f>
        <v/>
      </c>
      <c r="N65" s="0" t="str">
        <f aca="false">IFERROR(MATCH(60,'NHẬP ĐƠN HÀNG'!$Z$6:$Z$505,0),"")</f>
        <v/>
      </c>
    </row>
    <row r="66" customFormat="false" ht="15" hidden="false" customHeight="false" outlineLevel="0" collapsed="false">
      <c r="A66" s="16" t="str">
        <f aca="false">IF($N66="","",61)</f>
        <v/>
      </c>
      <c r="B66" s="34" t="str">
        <f aca="false">IF($N66="","",IF(INDEX('NHẬP ĐƠN HÀNG'!$B$6:$B$505,$N66)="","",INDEX('NHẬP ĐƠN HÀNG'!$B$6:$B$505,$N66)))</f>
        <v/>
      </c>
      <c r="C66" s="16" t="str">
        <f aca="false">IF($N66="","",IF(INDEX('NHẬP ĐƠN HÀNG'!$C$6:$C$505,$N66)="","",INDEX('NHẬP ĐƠN HÀNG'!$C$6:$C$505,$N66)))</f>
        <v/>
      </c>
      <c r="D66" s="16" t="str">
        <f aca="false">IF($N66="","",IF(INDEX('NHẬP ĐƠN HÀNG'!$E$6:$E$505,$N66)="","",INDEX('NHẬP ĐƠN HÀNG'!$E$6:$E$505,$N66)))</f>
        <v/>
      </c>
      <c r="E66" s="16" t="str">
        <f aca="false">IF($N66="","",IF(INDEX('NHẬP ĐƠN HÀNG'!$F$6:$F$505,$N66)="","",INDEX('NHẬP ĐƠN HÀNG'!$F$6:$F$505,$N66)))</f>
        <v/>
      </c>
      <c r="F66" s="16" t="str">
        <f aca="false">IF($N66="","",IF(INDEX('NHẬP ĐƠN HÀNG'!$H$6:$H$505,$N66)="","",INDEX('NHẬP ĐƠN HÀNG'!$H$6:$H$505,$N66)))</f>
        <v/>
      </c>
      <c r="G66" s="10" t="str">
        <f aca="false">IF($N66="","",N(INDEX('NHẬP ĐƠN HÀNG'!$I$6:$I$505,$N66)))</f>
        <v/>
      </c>
      <c r="H66" s="10" t="str">
        <f aca="false">IF($N66="","",N(INDEX('NHẬP ĐƠN HÀNG'!$L$6:$L$505,$N66)))</f>
        <v/>
      </c>
      <c r="I66" s="11" t="str">
        <f aca="false">IF($N66="","",N(INDEX('NHẬP ĐƠN HÀNG'!$N$6:$N$505,$N66)))</f>
        <v/>
      </c>
      <c r="J66" s="10" t="str">
        <f aca="false">IF($N66="","",N(INDEX('NHẬP ĐƠN HÀNG'!$O$6:$O$505,$N66)))</f>
        <v/>
      </c>
      <c r="K66" s="10" t="str">
        <f aca="false">IF($N66="","",N(INDEX('NHẬP ĐƠN HÀNG'!$P$6:$P$505,$N66)))</f>
        <v/>
      </c>
      <c r="L66" s="10" t="str">
        <f aca="false">IF($N66="","",N(INDEX('NHẬP ĐƠN HÀNG'!$Q$6:$Q$505,$N66)))</f>
        <v/>
      </c>
      <c r="M66" s="10" t="str">
        <f aca="false">IF($N66="","",N(INDEX('NHẬP ĐƠN HÀNG'!$R$6:$R$505,$N66)))</f>
        <v/>
      </c>
      <c r="N66" s="0" t="str">
        <f aca="false">IFERROR(MATCH(61,'NHẬP ĐƠN HÀNG'!$Z$6:$Z$505,0),"")</f>
        <v/>
      </c>
    </row>
    <row r="67" customFormat="false" ht="15" hidden="false" customHeight="false" outlineLevel="0" collapsed="false">
      <c r="A67" s="16" t="str">
        <f aca="false">IF($N67="","",62)</f>
        <v/>
      </c>
      <c r="B67" s="34" t="str">
        <f aca="false">IF($N67="","",IF(INDEX('NHẬP ĐƠN HÀNG'!$B$6:$B$505,$N67)="","",INDEX('NHẬP ĐƠN HÀNG'!$B$6:$B$505,$N67)))</f>
        <v/>
      </c>
      <c r="C67" s="16" t="str">
        <f aca="false">IF($N67="","",IF(INDEX('NHẬP ĐƠN HÀNG'!$C$6:$C$505,$N67)="","",INDEX('NHẬP ĐƠN HÀNG'!$C$6:$C$505,$N67)))</f>
        <v/>
      </c>
      <c r="D67" s="16" t="str">
        <f aca="false">IF($N67="","",IF(INDEX('NHẬP ĐƠN HÀNG'!$E$6:$E$505,$N67)="","",INDEX('NHẬP ĐƠN HÀNG'!$E$6:$E$505,$N67)))</f>
        <v/>
      </c>
      <c r="E67" s="16" t="str">
        <f aca="false">IF($N67="","",IF(INDEX('NHẬP ĐƠN HÀNG'!$F$6:$F$505,$N67)="","",INDEX('NHẬP ĐƠN HÀNG'!$F$6:$F$505,$N67)))</f>
        <v/>
      </c>
      <c r="F67" s="16" t="str">
        <f aca="false">IF($N67="","",IF(INDEX('NHẬP ĐƠN HÀNG'!$H$6:$H$505,$N67)="","",INDEX('NHẬP ĐƠN HÀNG'!$H$6:$H$505,$N67)))</f>
        <v/>
      </c>
      <c r="G67" s="10" t="str">
        <f aca="false">IF($N67="","",N(INDEX('NHẬP ĐƠN HÀNG'!$I$6:$I$505,$N67)))</f>
        <v/>
      </c>
      <c r="H67" s="10" t="str">
        <f aca="false">IF($N67="","",N(INDEX('NHẬP ĐƠN HÀNG'!$L$6:$L$505,$N67)))</f>
        <v/>
      </c>
      <c r="I67" s="11" t="str">
        <f aca="false">IF($N67="","",N(INDEX('NHẬP ĐƠN HÀNG'!$N$6:$N$505,$N67)))</f>
        <v/>
      </c>
      <c r="J67" s="10" t="str">
        <f aca="false">IF($N67="","",N(INDEX('NHẬP ĐƠN HÀNG'!$O$6:$O$505,$N67)))</f>
        <v/>
      </c>
      <c r="K67" s="10" t="str">
        <f aca="false">IF($N67="","",N(INDEX('NHẬP ĐƠN HÀNG'!$P$6:$P$505,$N67)))</f>
        <v/>
      </c>
      <c r="L67" s="10" t="str">
        <f aca="false">IF($N67="","",N(INDEX('NHẬP ĐƠN HÀNG'!$Q$6:$Q$505,$N67)))</f>
        <v/>
      </c>
      <c r="M67" s="10" t="str">
        <f aca="false">IF($N67="","",N(INDEX('NHẬP ĐƠN HÀNG'!$R$6:$R$505,$N67)))</f>
        <v/>
      </c>
      <c r="N67" s="0" t="str">
        <f aca="false">IFERROR(MATCH(62,'NHẬP ĐƠN HÀNG'!$Z$6:$Z$505,0),"")</f>
        <v/>
      </c>
    </row>
    <row r="68" customFormat="false" ht="15" hidden="false" customHeight="false" outlineLevel="0" collapsed="false">
      <c r="A68" s="16" t="str">
        <f aca="false">IF($N68="","",63)</f>
        <v/>
      </c>
      <c r="B68" s="34" t="str">
        <f aca="false">IF($N68="","",IF(INDEX('NHẬP ĐƠN HÀNG'!$B$6:$B$505,$N68)="","",INDEX('NHẬP ĐƠN HÀNG'!$B$6:$B$505,$N68)))</f>
        <v/>
      </c>
      <c r="C68" s="16" t="str">
        <f aca="false">IF($N68="","",IF(INDEX('NHẬP ĐƠN HÀNG'!$C$6:$C$505,$N68)="","",INDEX('NHẬP ĐƠN HÀNG'!$C$6:$C$505,$N68)))</f>
        <v/>
      </c>
      <c r="D68" s="16" t="str">
        <f aca="false">IF($N68="","",IF(INDEX('NHẬP ĐƠN HÀNG'!$E$6:$E$505,$N68)="","",INDEX('NHẬP ĐƠN HÀNG'!$E$6:$E$505,$N68)))</f>
        <v/>
      </c>
      <c r="E68" s="16" t="str">
        <f aca="false">IF($N68="","",IF(INDEX('NHẬP ĐƠN HÀNG'!$F$6:$F$505,$N68)="","",INDEX('NHẬP ĐƠN HÀNG'!$F$6:$F$505,$N68)))</f>
        <v/>
      </c>
      <c r="F68" s="16" t="str">
        <f aca="false">IF($N68="","",IF(INDEX('NHẬP ĐƠN HÀNG'!$H$6:$H$505,$N68)="","",INDEX('NHẬP ĐƠN HÀNG'!$H$6:$H$505,$N68)))</f>
        <v/>
      </c>
      <c r="G68" s="10" t="str">
        <f aca="false">IF($N68="","",N(INDEX('NHẬP ĐƠN HÀNG'!$I$6:$I$505,$N68)))</f>
        <v/>
      </c>
      <c r="H68" s="10" t="str">
        <f aca="false">IF($N68="","",N(INDEX('NHẬP ĐƠN HÀNG'!$L$6:$L$505,$N68)))</f>
        <v/>
      </c>
      <c r="I68" s="11" t="str">
        <f aca="false">IF($N68="","",N(INDEX('NHẬP ĐƠN HÀNG'!$N$6:$N$505,$N68)))</f>
        <v/>
      </c>
      <c r="J68" s="10" t="str">
        <f aca="false">IF($N68="","",N(INDEX('NHẬP ĐƠN HÀNG'!$O$6:$O$505,$N68)))</f>
        <v/>
      </c>
      <c r="K68" s="10" t="str">
        <f aca="false">IF($N68="","",N(INDEX('NHẬP ĐƠN HÀNG'!$P$6:$P$505,$N68)))</f>
        <v/>
      </c>
      <c r="L68" s="10" t="str">
        <f aca="false">IF($N68="","",N(INDEX('NHẬP ĐƠN HÀNG'!$Q$6:$Q$505,$N68)))</f>
        <v/>
      </c>
      <c r="M68" s="10" t="str">
        <f aca="false">IF($N68="","",N(INDEX('NHẬP ĐƠN HÀNG'!$R$6:$R$505,$N68)))</f>
        <v/>
      </c>
      <c r="N68" s="0" t="str">
        <f aca="false">IFERROR(MATCH(63,'NHẬP ĐƠN HÀNG'!$Z$6:$Z$505,0),"")</f>
        <v/>
      </c>
    </row>
    <row r="69" customFormat="false" ht="15" hidden="false" customHeight="false" outlineLevel="0" collapsed="false">
      <c r="A69" s="16" t="str">
        <f aca="false">IF($N69="","",64)</f>
        <v/>
      </c>
      <c r="B69" s="34" t="str">
        <f aca="false">IF($N69="","",IF(INDEX('NHẬP ĐƠN HÀNG'!$B$6:$B$505,$N69)="","",INDEX('NHẬP ĐƠN HÀNG'!$B$6:$B$505,$N69)))</f>
        <v/>
      </c>
      <c r="C69" s="16" t="str">
        <f aca="false">IF($N69="","",IF(INDEX('NHẬP ĐƠN HÀNG'!$C$6:$C$505,$N69)="","",INDEX('NHẬP ĐƠN HÀNG'!$C$6:$C$505,$N69)))</f>
        <v/>
      </c>
      <c r="D69" s="16" t="str">
        <f aca="false">IF($N69="","",IF(INDEX('NHẬP ĐƠN HÀNG'!$E$6:$E$505,$N69)="","",INDEX('NHẬP ĐƠN HÀNG'!$E$6:$E$505,$N69)))</f>
        <v/>
      </c>
      <c r="E69" s="16" t="str">
        <f aca="false">IF($N69="","",IF(INDEX('NHẬP ĐƠN HÀNG'!$F$6:$F$505,$N69)="","",INDEX('NHẬP ĐƠN HÀNG'!$F$6:$F$505,$N69)))</f>
        <v/>
      </c>
      <c r="F69" s="16" t="str">
        <f aca="false">IF($N69="","",IF(INDEX('NHẬP ĐƠN HÀNG'!$H$6:$H$505,$N69)="","",INDEX('NHẬP ĐƠN HÀNG'!$H$6:$H$505,$N69)))</f>
        <v/>
      </c>
      <c r="G69" s="10" t="str">
        <f aca="false">IF($N69="","",N(INDEX('NHẬP ĐƠN HÀNG'!$I$6:$I$505,$N69)))</f>
        <v/>
      </c>
      <c r="H69" s="10" t="str">
        <f aca="false">IF($N69="","",N(INDEX('NHẬP ĐƠN HÀNG'!$L$6:$L$505,$N69)))</f>
        <v/>
      </c>
      <c r="I69" s="11" t="str">
        <f aca="false">IF($N69="","",N(INDEX('NHẬP ĐƠN HÀNG'!$N$6:$N$505,$N69)))</f>
        <v/>
      </c>
      <c r="J69" s="10" t="str">
        <f aca="false">IF($N69="","",N(INDEX('NHẬP ĐƠN HÀNG'!$O$6:$O$505,$N69)))</f>
        <v/>
      </c>
      <c r="K69" s="10" t="str">
        <f aca="false">IF($N69="","",N(INDEX('NHẬP ĐƠN HÀNG'!$P$6:$P$505,$N69)))</f>
        <v/>
      </c>
      <c r="L69" s="10" t="str">
        <f aca="false">IF($N69="","",N(INDEX('NHẬP ĐƠN HÀNG'!$Q$6:$Q$505,$N69)))</f>
        <v/>
      </c>
      <c r="M69" s="10" t="str">
        <f aca="false">IF($N69="","",N(INDEX('NHẬP ĐƠN HÀNG'!$R$6:$R$505,$N69)))</f>
        <v/>
      </c>
      <c r="N69" s="0" t="str">
        <f aca="false">IFERROR(MATCH(64,'NHẬP ĐƠN HÀNG'!$Z$6:$Z$505,0),"")</f>
        <v/>
      </c>
    </row>
    <row r="70" customFormat="false" ht="15" hidden="false" customHeight="false" outlineLevel="0" collapsed="false">
      <c r="A70" s="16" t="str">
        <f aca="false">IF($N70="","",65)</f>
        <v/>
      </c>
      <c r="B70" s="34" t="str">
        <f aca="false">IF($N70="","",IF(INDEX('NHẬP ĐƠN HÀNG'!$B$6:$B$505,$N70)="","",INDEX('NHẬP ĐƠN HÀNG'!$B$6:$B$505,$N70)))</f>
        <v/>
      </c>
      <c r="C70" s="16" t="str">
        <f aca="false">IF($N70="","",IF(INDEX('NHẬP ĐƠN HÀNG'!$C$6:$C$505,$N70)="","",INDEX('NHẬP ĐƠN HÀNG'!$C$6:$C$505,$N70)))</f>
        <v/>
      </c>
      <c r="D70" s="16" t="str">
        <f aca="false">IF($N70="","",IF(INDEX('NHẬP ĐƠN HÀNG'!$E$6:$E$505,$N70)="","",INDEX('NHẬP ĐƠN HÀNG'!$E$6:$E$505,$N70)))</f>
        <v/>
      </c>
      <c r="E70" s="16" t="str">
        <f aca="false">IF($N70="","",IF(INDEX('NHẬP ĐƠN HÀNG'!$F$6:$F$505,$N70)="","",INDEX('NHẬP ĐƠN HÀNG'!$F$6:$F$505,$N70)))</f>
        <v/>
      </c>
      <c r="F70" s="16" t="str">
        <f aca="false">IF($N70="","",IF(INDEX('NHẬP ĐƠN HÀNG'!$H$6:$H$505,$N70)="","",INDEX('NHẬP ĐƠN HÀNG'!$H$6:$H$505,$N70)))</f>
        <v/>
      </c>
      <c r="G70" s="10" t="str">
        <f aca="false">IF($N70="","",N(INDEX('NHẬP ĐƠN HÀNG'!$I$6:$I$505,$N70)))</f>
        <v/>
      </c>
      <c r="H70" s="10" t="str">
        <f aca="false">IF($N70="","",N(INDEX('NHẬP ĐƠN HÀNG'!$L$6:$L$505,$N70)))</f>
        <v/>
      </c>
      <c r="I70" s="11" t="str">
        <f aca="false">IF($N70="","",N(INDEX('NHẬP ĐƠN HÀNG'!$N$6:$N$505,$N70)))</f>
        <v/>
      </c>
      <c r="J70" s="10" t="str">
        <f aca="false">IF($N70="","",N(INDEX('NHẬP ĐƠN HÀNG'!$O$6:$O$505,$N70)))</f>
        <v/>
      </c>
      <c r="K70" s="10" t="str">
        <f aca="false">IF($N70="","",N(INDEX('NHẬP ĐƠN HÀNG'!$P$6:$P$505,$N70)))</f>
        <v/>
      </c>
      <c r="L70" s="10" t="str">
        <f aca="false">IF($N70="","",N(INDEX('NHẬP ĐƠN HÀNG'!$Q$6:$Q$505,$N70)))</f>
        <v/>
      </c>
      <c r="M70" s="10" t="str">
        <f aca="false">IF($N70="","",N(INDEX('NHẬP ĐƠN HÀNG'!$R$6:$R$505,$N70)))</f>
        <v/>
      </c>
      <c r="N70" s="0" t="str">
        <f aca="false">IFERROR(MATCH(65,'NHẬP ĐƠN HÀNG'!$Z$6:$Z$505,0),"")</f>
        <v/>
      </c>
    </row>
    <row r="71" customFormat="false" ht="15" hidden="false" customHeight="false" outlineLevel="0" collapsed="false">
      <c r="A71" s="16" t="str">
        <f aca="false">IF($N71="","",66)</f>
        <v/>
      </c>
      <c r="B71" s="34" t="str">
        <f aca="false">IF($N71="","",IF(INDEX('NHẬP ĐƠN HÀNG'!$B$6:$B$505,$N71)="","",INDEX('NHẬP ĐƠN HÀNG'!$B$6:$B$505,$N71)))</f>
        <v/>
      </c>
      <c r="C71" s="16" t="str">
        <f aca="false">IF($N71="","",IF(INDEX('NHẬP ĐƠN HÀNG'!$C$6:$C$505,$N71)="","",INDEX('NHẬP ĐƠN HÀNG'!$C$6:$C$505,$N71)))</f>
        <v/>
      </c>
      <c r="D71" s="16" t="str">
        <f aca="false">IF($N71="","",IF(INDEX('NHẬP ĐƠN HÀNG'!$E$6:$E$505,$N71)="","",INDEX('NHẬP ĐƠN HÀNG'!$E$6:$E$505,$N71)))</f>
        <v/>
      </c>
      <c r="E71" s="16" t="str">
        <f aca="false">IF($N71="","",IF(INDEX('NHẬP ĐƠN HÀNG'!$F$6:$F$505,$N71)="","",INDEX('NHẬP ĐƠN HÀNG'!$F$6:$F$505,$N71)))</f>
        <v/>
      </c>
      <c r="F71" s="16" t="str">
        <f aca="false">IF($N71="","",IF(INDEX('NHẬP ĐƠN HÀNG'!$H$6:$H$505,$N71)="","",INDEX('NHẬP ĐƠN HÀNG'!$H$6:$H$505,$N71)))</f>
        <v/>
      </c>
      <c r="G71" s="10" t="str">
        <f aca="false">IF($N71="","",N(INDEX('NHẬP ĐƠN HÀNG'!$I$6:$I$505,$N71)))</f>
        <v/>
      </c>
      <c r="H71" s="10" t="str">
        <f aca="false">IF($N71="","",N(INDEX('NHẬP ĐƠN HÀNG'!$L$6:$L$505,$N71)))</f>
        <v/>
      </c>
      <c r="I71" s="11" t="str">
        <f aca="false">IF($N71="","",N(INDEX('NHẬP ĐƠN HÀNG'!$N$6:$N$505,$N71)))</f>
        <v/>
      </c>
      <c r="J71" s="10" t="str">
        <f aca="false">IF($N71="","",N(INDEX('NHẬP ĐƠN HÀNG'!$O$6:$O$505,$N71)))</f>
        <v/>
      </c>
      <c r="K71" s="10" t="str">
        <f aca="false">IF($N71="","",N(INDEX('NHẬP ĐƠN HÀNG'!$P$6:$P$505,$N71)))</f>
        <v/>
      </c>
      <c r="L71" s="10" t="str">
        <f aca="false">IF($N71="","",N(INDEX('NHẬP ĐƠN HÀNG'!$Q$6:$Q$505,$N71)))</f>
        <v/>
      </c>
      <c r="M71" s="10" t="str">
        <f aca="false">IF($N71="","",N(INDEX('NHẬP ĐƠN HÀNG'!$R$6:$R$505,$N71)))</f>
        <v/>
      </c>
      <c r="N71" s="0" t="str">
        <f aca="false">IFERROR(MATCH(66,'NHẬP ĐƠN HÀNG'!$Z$6:$Z$505,0),"")</f>
        <v/>
      </c>
    </row>
    <row r="72" customFormat="false" ht="15" hidden="false" customHeight="false" outlineLevel="0" collapsed="false">
      <c r="A72" s="16" t="str">
        <f aca="false">IF($N72="","",67)</f>
        <v/>
      </c>
      <c r="B72" s="34" t="str">
        <f aca="false">IF($N72="","",IF(INDEX('NHẬP ĐƠN HÀNG'!$B$6:$B$505,$N72)="","",INDEX('NHẬP ĐƠN HÀNG'!$B$6:$B$505,$N72)))</f>
        <v/>
      </c>
      <c r="C72" s="16" t="str">
        <f aca="false">IF($N72="","",IF(INDEX('NHẬP ĐƠN HÀNG'!$C$6:$C$505,$N72)="","",INDEX('NHẬP ĐƠN HÀNG'!$C$6:$C$505,$N72)))</f>
        <v/>
      </c>
      <c r="D72" s="16" t="str">
        <f aca="false">IF($N72="","",IF(INDEX('NHẬP ĐƠN HÀNG'!$E$6:$E$505,$N72)="","",INDEX('NHẬP ĐƠN HÀNG'!$E$6:$E$505,$N72)))</f>
        <v/>
      </c>
      <c r="E72" s="16" t="str">
        <f aca="false">IF($N72="","",IF(INDEX('NHẬP ĐƠN HÀNG'!$F$6:$F$505,$N72)="","",INDEX('NHẬP ĐƠN HÀNG'!$F$6:$F$505,$N72)))</f>
        <v/>
      </c>
      <c r="F72" s="16" t="str">
        <f aca="false">IF($N72="","",IF(INDEX('NHẬP ĐƠN HÀNG'!$H$6:$H$505,$N72)="","",INDEX('NHẬP ĐƠN HÀNG'!$H$6:$H$505,$N72)))</f>
        <v/>
      </c>
      <c r="G72" s="10" t="str">
        <f aca="false">IF($N72="","",N(INDEX('NHẬP ĐƠN HÀNG'!$I$6:$I$505,$N72)))</f>
        <v/>
      </c>
      <c r="H72" s="10" t="str">
        <f aca="false">IF($N72="","",N(INDEX('NHẬP ĐƠN HÀNG'!$L$6:$L$505,$N72)))</f>
        <v/>
      </c>
      <c r="I72" s="11" t="str">
        <f aca="false">IF($N72="","",N(INDEX('NHẬP ĐƠN HÀNG'!$N$6:$N$505,$N72)))</f>
        <v/>
      </c>
      <c r="J72" s="10" t="str">
        <f aca="false">IF($N72="","",N(INDEX('NHẬP ĐƠN HÀNG'!$O$6:$O$505,$N72)))</f>
        <v/>
      </c>
      <c r="K72" s="10" t="str">
        <f aca="false">IF($N72="","",N(INDEX('NHẬP ĐƠN HÀNG'!$P$6:$P$505,$N72)))</f>
        <v/>
      </c>
      <c r="L72" s="10" t="str">
        <f aca="false">IF($N72="","",N(INDEX('NHẬP ĐƠN HÀNG'!$Q$6:$Q$505,$N72)))</f>
        <v/>
      </c>
      <c r="M72" s="10" t="str">
        <f aca="false">IF($N72="","",N(INDEX('NHẬP ĐƠN HÀNG'!$R$6:$R$505,$N72)))</f>
        <v/>
      </c>
      <c r="N72" s="0" t="str">
        <f aca="false">IFERROR(MATCH(67,'NHẬP ĐƠN HÀNG'!$Z$6:$Z$505,0),"")</f>
        <v/>
      </c>
    </row>
    <row r="73" customFormat="false" ht="15" hidden="false" customHeight="false" outlineLevel="0" collapsed="false">
      <c r="A73" s="16" t="str">
        <f aca="false">IF($N73="","",68)</f>
        <v/>
      </c>
      <c r="B73" s="34" t="str">
        <f aca="false">IF($N73="","",IF(INDEX('NHẬP ĐƠN HÀNG'!$B$6:$B$505,$N73)="","",INDEX('NHẬP ĐƠN HÀNG'!$B$6:$B$505,$N73)))</f>
        <v/>
      </c>
      <c r="C73" s="16" t="str">
        <f aca="false">IF($N73="","",IF(INDEX('NHẬP ĐƠN HÀNG'!$C$6:$C$505,$N73)="","",INDEX('NHẬP ĐƠN HÀNG'!$C$6:$C$505,$N73)))</f>
        <v/>
      </c>
      <c r="D73" s="16" t="str">
        <f aca="false">IF($N73="","",IF(INDEX('NHẬP ĐƠN HÀNG'!$E$6:$E$505,$N73)="","",INDEX('NHẬP ĐƠN HÀNG'!$E$6:$E$505,$N73)))</f>
        <v/>
      </c>
      <c r="E73" s="16" t="str">
        <f aca="false">IF($N73="","",IF(INDEX('NHẬP ĐƠN HÀNG'!$F$6:$F$505,$N73)="","",INDEX('NHẬP ĐƠN HÀNG'!$F$6:$F$505,$N73)))</f>
        <v/>
      </c>
      <c r="F73" s="16" t="str">
        <f aca="false">IF($N73="","",IF(INDEX('NHẬP ĐƠN HÀNG'!$H$6:$H$505,$N73)="","",INDEX('NHẬP ĐƠN HÀNG'!$H$6:$H$505,$N73)))</f>
        <v/>
      </c>
      <c r="G73" s="10" t="str">
        <f aca="false">IF($N73="","",N(INDEX('NHẬP ĐƠN HÀNG'!$I$6:$I$505,$N73)))</f>
        <v/>
      </c>
      <c r="H73" s="10" t="str">
        <f aca="false">IF($N73="","",N(INDEX('NHẬP ĐƠN HÀNG'!$L$6:$L$505,$N73)))</f>
        <v/>
      </c>
      <c r="I73" s="11" t="str">
        <f aca="false">IF($N73="","",N(INDEX('NHẬP ĐƠN HÀNG'!$N$6:$N$505,$N73)))</f>
        <v/>
      </c>
      <c r="J73" s="10" t="str">
        <f aca="false">IF($N73="","",N(INDEX('NHẬP ĐƠN HÀNG'!$O$6:$O$505,$N73)))</f>
        <v/>
      </c>
      <c r="K73" s="10" t="str">
        <f aca="false">IF($N73="","",N(INDEX('NHẬP ĐƠN HÀNG'!$P$6:$P$505,$N73)))</f>
        <v/>
      </c>
      <c r="L73" s="10" t="str">
        <f aca="false">IF($N73="","",N(INDEX('NHẬP ĐƠN HÀNG'!$Q$6:$Q$505,$N73)))</f>
        <v/>
      </c>
      <c r="M73" s="10" t="str">
        <f aca="false">IF($N73="","",N(INDEX('NHẬP ĐƠN HÀNG'!$R$6:$R$505,$N73)))</f>
        <v/>
      </c>
      <c r="N73" s="0" t="str">
        <f aca="false">IFERROR(MATCH(68,'NHẬP ĐƠN HÀNG'!$Z$6:$Z$505,0),"")</f>
        <v/>
      </c>
    </row>
    <row r="74" customFormat="false" ht="15" hidden="false" customHeight="false" outlineLevel="0" collapsed="false">
      <c r="A74" s="16" t="str">
        <f aca="false">IF($N74="","",69)</f>
        <v/>
      </c>
      <c r="B74" s="34" t="str">
        <f aca="false">IF($N74="","",IF(INDEX('NHẬP ĐƠN HÀNG'!$B$6:$B$505,$N74)="","",INDEX('NHẬP ĐƠN HÀNG'!$B$6:$B$505,$N74)))</f>
        <v/>
      </c>
      <c r="C74" s="16" t="str">
        <f aca="false">IF($N74="","",IF(INDEX('NHẬP ĐƠN HÀNG'!$C$6:$C$505,$N74)="","",INDEX('NHẬP ĐƠN HÀNG'!$C$6:$C$505,$N74)))</f>
        <v/>
      </c>
      <c r="D74" s="16" t="str">
        <f aca="false">IF($N74="","",IF(INDEX('NHẬP ĐƠN HÀNG'!$E$6:$E$505,$N74)="","",INDEX('NHẬP ĐƠN HÀNG'!$E$6:$E$505,$N74)))</f>
        <v/>
      </c>
      <c r="E74" s="16" t="str">
        <f aca="false">IF($N74="","",IF(INDEX('NHẬP ĐƠN HÀNG'!$F$6:$F$505,$N74)="","",INDEX('NHẬP ĐƠN HÀNG'!$F$6:$F$505,$N74)))</f>
        <v/>
      </c>
      <c r="F74" s="16" t="str">
        <f aca="false">IF($N74="","",IF(INDEX('NHẬP ĐƠN HÀNG'!$H$6:$H$505,$N74)="","",INDEX('NHẬP ĐƠN HÀNG'!$H$6:$H$505,$N74)))</f>
        <v/>
      </c>
      <c r="G74" s="10" t="str">
        <f aca="false">IF($N74="","",N(INDEX('NHẬP ĐƠN HÀNG'!$I$6:$I$505,$N74)))</f>
        <v/>
      </c>
      <c r="H74" s="10" t="str">
        <f aca="false">IF($N74="","",N(INDEX('NHẬP ĐƠN HÀNG'!$L$6:$L$505,$N74)))</f>
        <v/>
      </c>
      <c r="I74" s="11" t="str">
        <f aca="false">IF($N74="","",N(INDEX('NHẬP ĐƠN HÀNG'!$N$6:$N$505,$N74)))</f>
        <v/>
      </c>
      <c r="J74" s="10" t="str">
        <f aca="false">IF($N74="","",N(INDEX('NHẬP ĐƠN HÀNG'!$O$6:$O$505,$N74)))</f>
        <v/>
      </c>
      <c r="K74" s="10" t="str">
        <f aca="false">IF($N74="","",N(INDEX('NHẬP ĐƠN HÀNG'!$P$6:$P$505,$N74)))</f>
        <v/>
      </c>
      <c r="L74" s="10" t="str">
        <f aca="false">IF($N74="","",N(INDEX('NHẬP ĐƠN HÀNG'!$Q$6:$Q$505,$N74)))</f>
        <v/>
      </c>
      <c r="M74" s="10" t="str">
        <f aca="false">IF($N74="","",N(INDEX('NHẬP ĐƠN HÀNG'!$R$6:$R$505,$N74)))</f>
        <v/>
      </c>
      <c r="N74" s="0" t="str">
        <f aca="false">IFERROR(MATCH(69,'NHẬP ĐƠN HÀNG'!$Z$6:$Z$505,0),"")</f>
        <v/>
      </c>
    </row>
    <row r="75" customFormat="false" ht="15" hidden="false" customHeight="false" outlineLevel="0" collapsed="false">
      <c r="A75" s="16" t="str">
        <f aca="false">IF($N75="","",70)</f>
        <v/>
      </c>
      <c r="B75" s="34" t="str">
        <f aca="false">IF($N75="","",IF(INDEX('NHẬP ĐƠN HÀNG'!$B$6:$B$505,$N75)="","",INDEX('NHẬP ĐƠN HÀNG'!$B$6:$B$505,$N75)))</f>
        <v/>
      </c>
      <c r="C75" s="16" t="str">
        <f aca="false">IF($N75="","",IF(INDEX('NHẬP ĐƠN HÀNG'!$C$6:$C$505,$N75)="","",INDEX('NHẬP ĐƠN HÀNG'!$C$6:$C$505,$N75)))</f>
        <v/>
      </c>
      <c r="D75" s="16" t="str">
        <f aca="false">IF($N75="","",IF(INDEX('NHẬP ĐƠN HÀNG'!$E$6:$E$505,$N75)="","",INDEX('NHẬP ĐƠN HÀNG'!$E$6:$E$505,$N75)))</f>
        <v/>
      </c>
      <c r="E75" s="16" t="str">
        <f aca="false">IF($N75="","",IF(INDEX('NHẬP ĐƠN HÀNG'!$F$6:$F$505,$N75)="","",INDEX('NHẬP ĐƠN HÀNG'!$F$6:$F$505,$N75)))</f>
        <v/>
      </c>
      <c r="F75" s="16" t="str">
        <f aca="false">IF($N75="","",IF(INDEX('NHẬP ĐƠN HÀNG'!$H$6:$H$505,$N75)="","",INDEX('NHẬP ĐƠN HÀNG'!$H$6:$H$505,$N75)))</f>
        <v/>
      </c>
      <c r="G75" s="10" t="str">
        <f aca="false">IF($N75="","",N(INDEX('NHẬP ĐƠN HÀNG'!$I$6:$I$505,$N75)))</f>
        <v/>
      </c>
      <c r="H75" s="10" t="str">
        <f aca="false">IF($N75="","",N(INDEX('NHẬP ĐƠN HÀNG'!$L$6:$L$505,$N75)))</f>
        <v/>
      </c>
      <c r="I75" s="11" t="str">
        <f aca="false">IF($N75="","",N(INDEX('NHẬP ĐƠN HÀNG'!$N$6:$N$505,$N75)))</f>
        <v/>
      </c>
      <c r="J75" s="10" t="str">
        <f aca="false">IF($N75="","",N(INDEX('NHẬP ĐƠN HÀNG'!$O$6:$O$505,$N75)))</f>
        <v/>
      </c>
      <c r="K75" s="10" t="str">
        <f aca="false">IF($N75="","",N(INDEX('NHẬP ĐƠN HÀNG'!$P$6:$P$505,$N75)))</f>
        <v/>
      </c>
      <c r="L75" s="10" t="str">
        <f aca="false">IF($N75="","",N(INDEX('NHẬP ĐƠN HÀNG'!$Q$6:$Q$505,$N75)))</f>
        <v/>
      </c>
      <c r="M75" s="10" t="str">
        <f aca="false">IF($N75="","",N(INDEX('NHẬP ĐƠN HÀNG'!$R$6:$R$505,$N75)))</f>
        <v/>
      </c>
      <c r="N75" s="0" t="str">
        <f aca="false">IFERROR(MATCH(70,'NHẬP ĐƠN HÀNG'!$Z$6:$Z$505,0),"")</f>
        <v/>
      </c>
    </row>
    <row r="76" customFormat="false" ht="15" hidden="false" customHeight="false" outlineLevel="0" collapsed="false">
      <c r="A76" s="16" t="str">
        <f aca="false">IF($N76="","",71)</f>
        <v/>
      </c>
      <c r="B76" s="34" t="str">
        <f aca="false">IF($N76="","",IF(INDEX('NHẬP ĐƠN HÀNG'!$B$6:$B$505,$N76)="","",INDEX('NHẬP ĐƠN HÀNG'!$B$6:$B$505,$N76)))</f>
        <v/>
      </c>
      <c r="C76" s="16" t="str">
        <f aca="false">IF($N76="","",IF(INDEX('NHẬP ĐƠN HÀNG'!$C$6:$C$505,$N76)="","",INDEX('NHẬP ĐƠN HÀNG'!$C$6:$C$505,$N76)))</f>
        <v/>
      </c>
      <c r="D76" s="16" t="str">
        <f aca="false">IF($N76="","",IF(INDEX('NHẬP ĐƠN HÀNG'!$E$6:$E$505,$N76)="","",INDEX('NHẬP ĐƠN HÀNG'!$E$6:$E$505,$N76)))</f>
        <v/>
      </c>
      <c r="E76" s="16" t="str">
        <f aca="false">IF($N76="","",IF(INDEX('NHẬP ĐƠN HÀNG'!$F$6:$F$505,$N76)="","",INDEX('NHẬP ĐƠN HÀNG'!$F$6:$F$505,$N76)))</f>
        <v/>
      </c>
      <c r="F76" s="16" t="str">
        <f aca="false">IF($N76="","",IF(INDEX('NHẬP ĐƠN HÀNG'!$H$6:$H$505,$N76)="","",INDEX('NHẬP ĐƠN HÀNG'!$H$6:$H$505,$N76)))</f>
        <v/>
      </c>
      <c r="G76" s="10" t="str">
        <f aca="false">IF($N76="","",N(INDEX('NHẬP ĐƠN HÀNG'!$I$6:$I$505,$N76)))</f>
        <v/>
      </c>
      <c r="H76" s="10" t="str">
        <f aca="false">IF($N76="","",N(INDEX('NHẬP ĐƠN HÀNG'!$L$6:$L$505,$N76)))</f>
        <v/>
      </c>
      <c r="I76" s="11" t="str">
        <f aca="false">IF($N76="","",N(INDEX('NHẬP ĐƠN HÀNG'!$N$6:$N$505,$N76)))</f>
        <v/>
      </c>
      <c r="J76" s="10" t="str">
        <f aca="false">IF($N76="","",N(INDEX('NHẬP ĐƠN HÀNG'!$O$6:$O$505,$N76)))</f>
        <v/>
      </c>
      <c r="K76" s="10" t="str">
        <f aca="false">IF($N76="","",N(INDEX('NHẬP ĐƠN HÀNG'!$P$6:$P$505,$N76)))</f>
        <v/>
      </c>
      <c r="L76" s="10" t="str">
        <f aca="false">IF($N76="","",N(INDEX('NHẬP ĐƠN HÀNG'!$Q$6:$Q$505,$N76)))</f>
        <v/>
      </c>
      <c r="M76" s="10" t="str">
        <f aca="false">IF($N76="","",N(INDEX('NHẬP ĐƠN HÀNG'!$R$6:$R$505,$N76)))</f>
        <v/>
      </c>
      <c r="N76" s="0" t="str">
        <f aca="false">IFERROR(MATCH(71,'NHẬP ĐƠN HÀNG'!$Z$6:$Z$505,0),"")</f>
        <v/>
      </c>
    </row>
    <row r="77" customFormat="false" ht="15" hidden="false" customHeight="false" outlineLevel="0" collapsed="false">
      <c r="A77" s="16" t="str">
        <f aca="false">IF($N77="","",72)</f>
        <v/>
      </c>
      <c r="B77" s="34" t="str">
        <f aca="false">IF($N77="","",IF(INDEX('NHẬP ĐƠN HÀNG'!$B$6:$B$505,$N77)="","",INDEX('NHẬP ĐƠN HÀNG'!$B$6:$B$505,$N77)))</f>
        <v/>
      </c>
      <c r="C77" s="16" t="str">
        <f aca="false">IF($N77="","",IF(INDEX('NHẬP ĐƠN HÀNG'!$C$6:$C$505,$N77)="","",INDEX('NHẬP ĐƠN HÀNG'!$C$6:$C$505,$N77)))</f>
        <v/>
      </c>
      <c r="D77" s="16" t="str">
        <f aca="false">IF($N77="","",IF(INDEX('NHẬP ĐƠN HÀNG'!$E$6:$E$505,$N77)="","",INDEX('NHẬP ĐƠN HÀNG'!$E$6:$E$505,$N77)))</f>
        <v/>
      </c>
      <c r="E77" s="16" t="str">
        <f aca="false">IF($N77="","",IF(INDEX('NHẬP ĐƠN HÀNG'!$F$6:$F$505,$N77)="","",INDEX('NHẬP ĐƠN HÀNG'!$F$6:$F$505,$N77)))</f>
        <v/>
      </c>
      <c r="F77" s="16" t="str">
        <f aca="false">IF($N77="","",IF(INDEX('NHẬP ĐƠN HÀNG'!$H$6:$H$505,$N77)="","",INDEX('NHẬP ĐƠN HÀNG'!$H$6:$H$505,$N77)))</f>
        <v/>
      </c>
      <c r="G77" s="10" t="str">
        <f aca="false">IF($N77="","",N(INDEX('NHẬP ĐƠN HÀNG'!$I$6:$I$505,$N77)))</f>
        <v/>
      </c>
      <c r="H77" s="10" t="str">
        <f aca="false">IF($N77="","",N(INDEX('NHẬP ĐƠN HÀNG'!$L$6:$L$505,$N77)))</f>
        <v/>
      </c>
      <c r="I77" s="11" t="str">
        <f aca="false">IF($N77="","",N(INDEX('NHẬP ĐƠN HÀNG'!$N$6:$N$505,$N77)))</f>
        <v/>
      </c>
      <c r="J77" s="10" t="str">
        <f aca="false">IF($N77="","",N(INDEX('NHẬP ĐƠN HÀNG'!$O$6:$O$505,$N77)))</f>
        <v/>
      </c>
      <c r="K77" s="10" t="str">
        <f aca="false">IF($N77="","",N(INDEX('NHẬP ĐƠN HÀNG'!$P$6:$P$505,$N77)))</f>
        <v/>
      </c>
      <c r="L77" s="10" t="str">
        <f aca="false">IF($N77="","",N(INDEX('NHẬP ĐƠN HÀNG'!$Q$6:$Q$505,$N77)))</f>
        <v/>
      </c>
      <c r="M77" s="10" t="str">
        <f aca="false">IF($N77="","",N(INDEX('NHẬP ĐƠN HÀNG'!$R$6:$R$505,$N77)))</f>
        <v/>
      </c>
      <c r="N77" s="0" t="str">
        <f aca="false">IFERROR(MATCH(72,'NHẬP ĐƠN HÀNG'!$Z$6:$Z$505,0),"")</f>
        <v/>
      </c>
    </row>
    <row r="78" customFormat="false" ht="15" hidden="false" customHeight="false" outlineLevel="0" collapsed="false">
      <c r="A78" s="16" t="str">
        <f aca="false">IF($N78="","",73)</f>
        <v/>
      </c>
      <c r="B78" s="34" t="str">
        <f aca="false">IF($N78="","",IF(INDEX('NHẬP ĐƠN HÀNG'!$B$6:$B$505,$N78)="","",INDEX('NHẬP ĐƠN HÀNG'!$B$6:$B$505,$N78)))</f>
        <v/>
      </c>
      <c r="C78" s="16" t="str">
        <f aca="false">IF($N78="","",IF(INDEX('NHẬP ĐƠN HÀNG'!$C$6:$C$505,$N78)="","",INDEX('NHẬP ĐƠN HÀNG'!$C$6:$C$505,$N78)))</f>
        <v/>
      </c>
      <c r="D78" s="16" t="str">
        <f aca="false">IF($N78="","",IF(INDEX('NHẬP ĐƠN HÀNG'!$E$6:$E$505,$N78)="","",INDEX('NHẬP ĐƠN HÀNG'!$E$6:$E$505,$N78)))</f>
        <v/>
      </c>
      <c r="E78" s="16" t="str">
        <f aca="false">IF($N78="","",IF(INDEX('NHẬP ĐƠN HÀNG'!$F$6:$F$505,$N78)="","",INDEX('NHẬP ĐƠN HÀNG'!$F$6:$F$505,$N78)))</f>
        <v/>
      </c>
      <c r="F78" s="16" t="str">
        <f aca="false">IF($N78="","",IF(INDEX('NHẬP ĐƠN HÀNG'!$H$6:$H$505,$N78)="","",INDEX('NHẬP ĐƠN HÀNG'!$H$6:$H$505,$N78)))</f>
        <v/>
      </c>
      <c r="G78" s="10" t="str">
        <f aca="false">IF($N78="","",N(INDEX('NHẬP ĐƠN HÀNG'!$I$6:$I$505,$N78)))</f>
        <v/>
      </c>
      <c r="H78" s="10" t="str">
        <f aca="false">IF($N78="","",N(INDEX('NHẬP ĐƠN HÀNG'!$L$6:$L$505,$N78)))</f>
        <v/>
      </c>
      <c r="I78" s="11" t="str">
        <f aca="false">IF($N78="","",N(INDEX('NHẬP ĐƠN HÀNG'!$N$6:$N$505,$N78)))</f>
        <v/>
      </c>
      <c r="J78" s="10" t="str">
        <f aca="false">IF($N78="","",N(INDEX('NHẬP ĐƠN HÀNG'!$O$6:$O$505,$N78)))</f>
        <v/>
      </c>
      <c r="K78" s="10" t="str">
        <f aca="false">IF($N78="","",N(INDEX('NHẬP ĐƠN HÀNG'!$P$6:$P$505,$N78)))</f>
        <v/>
      </c>
      <c r="L78" s="10" t="str">
        <f aca="false">IF($N78="","",N(INDEX('NHẬP ĐƠN HÀNG'!$Q$6:$Q$505,$N78)))</f>
        <v/>
      </c>
      <c r="M78" s="10" t="str">
        <f aca="false">IF($N78="","",N(INDEX('NHẬP ĐƠN HÀNG'!$R$6:$R$505,$N78)))</f>
        <v/>
      </c>
      <c r="N78" s="0" t="str">
        <f aca="false">IFERROR(MATCH(73,'NHẬP ĐƠN HÀNG'!$Z$6:$Z$505,0),"")</f>
        <v/>
      </c>
    </row>
    <row r="79" customFormat="false" ht="15" hidden="false" customHeight="false" outlineLevel="0" collapsed="false">
      <c r="A79" s="16" t="str">
        <f aca="false">IF($N79="","",74)</f>
        <v/>
      </c>
      <c r="B79" s="34" t="str">
        <f aca="false">IF($N79="","",IF(INDEX('NHẬP ĐƠN HÀNG'!$B$6:$B$505,$N79)="","",INDEX('NHẬP ĐƠN HÀNG'!$B$6:$B$505,$N79)))</f>
        <v/>
      </c>
      <c r="C79" s="16" t="str">
        <f aca="false">IF($N79="","",IF(INDEX('NHẬP ĐƠN HÀNG'!$C$6:$C$505,$N79)="","",INDEX('NHẬP ĐƠN HÀNG'!$C$6:$C$505,$N79)))</f>
        <v/>
      </c>
      <c r="D79" s="16" t="str">
        <f aca="false">IF($N79="","",IF(INDEX('NHẬP ĐƠN HÀNG'!$E$6:$E$505,$N79)="","",INDEX('NHẬP ĐƠN HÀNG'!$E$6:$E$505,$N79)))</f>
        <v/>
      </c>
      <c r="E79" s="16" t="str">
        <f aca="false">IF($N79="","",IF(INDEX('NHẬP ĐƠN HÀNG'!$F$6:$F$505,$N79)="","",INDEX('NHẬP ĐƠN HÀNG'!$F$6:$F$505,$N79)))</f>
        <v/>
      </c>
      <c r="F79" s="16" t="str">
        <f aca="false">IF($N79="","",IF(INDEX('NHẬP ĐƠN HÀNG'!$H$6:$H$505,$N79)="","",INDEX('NHẬP ĐƠN HÀNG'!$H$6:$H$505,$N79)))</f>
        <v/>
      </c>
      <c r="G79" s="10" t="str">
        <f aca="false">IF($N79="","",N(INDEX('NHẬP ĐƠN HÀNG'!$I$6:$I$505,$N79)))</f>
        <v/>
      </c>
      <c r="H79" s="10" t="str">
        <f aca="false">IF($N79="","",N(INDEX('NHẬP ĐƠN HÀNG'!$L$6:$L$505,$N79)))</f>
        <v/>
      </c>
      <c r="I79" s="11" t="str">
        <f aca="false">IF($N79="","",N(INDEX('NHẬP ĐƠN HÀNG'!$N$6:$N$505,$N79)))</f>
        <v/>
      </c>
      <c r="J79" s="10" t="str">
        <f aca="false">IF($N79="","",N(INDEX('NHẬP ĐƠN HÀNG'!$O$6:$O$505,$N79)))</f>
        <v/>
      </c>
      <c r="K79" s="10" t="str">
        <f aca="false">IF($N79="","",N(INDEX('NHẬP ĐƠN HÀNG'!$P$6:$P$505,$N79)))</f>
        <v/>
      </c>
      <c r="L79" s="10" t="str">
        <f aca="false">IF($N79="","",N(INDEX('NHẬP ĐƠN HÀNG'!$Q$6:$Q$505,$N79)))</f>
        <v/>
      </c>
      <c r="M79" s="10" t="str">
        <f aca="false">IF($N79="","",N(INDEX('NHẬP ĐƠN HÀNG'!$R$6:$R$505,$N79)))</f>
        <v/>
      </c>
      <c r="N79" s="0" t="str">
        <f aca="false">IFERROR(MATCH(74,'NHẬP ĐƠN HÀNG'!$Z$6:$Z$505,0),"")</f>
        <v/>
      </c>
    </row>
    <row r="80" customFormat="false" ht="15" hidden="false" customHeight="false" outlineLevel="0" collapsed="false">
      <c r="A80" s="16" t="str">
        <f aca="false">IF($N80="","",75)</f>
        <v/>
      </c>
      <c r="B80" s="34" t="str">
        <f aca="false">IF($N80="","",IF(INDEX('NHẬP ĐƠN HÀNG'!$B$6:$B$505,$N80)="","",INDEX('NHẬP ĐƠN HÀNG'!$B$6:$B$505,$N80)))</f>
        <v/>
      </c>
      <c r="C80" s="16" t="str">
        <f aca="false">IF($N80="","",IF(INDEX('NHẬP ĐƠN HÀNG'!$C$6:$C$505,$N80)="","",INDEX('NHẬP ĐƠN HÀNG'!$C$6:$C$505,$N80)))</f>
        <v/>
      </c>
      <c r="D80" s="16" t="str">
        <f aca="false">IF($N80="","",IF(INDEX('NHẬP ĐƠN HÀNG'!$E$6:$E$505,$N80)="","",INDEX('NHẬP ĐƠN HÀNG'!$E$6:$E$505,$N80)))</f>
        <v/>
      </c>
      <c r="E80" s="16" t="str">
        <f aca="false">IF($N80="","",IF(INDEX('NHẬP ĐƠN HÀNG'!$F$6:$F$505,$N80)="","",INDEX('NHẬP ĐƠN HÀNG'!$F$6:$F$505,$N80)))</f>
        <v/>
      </c>
      <c r="F80" s="16" t="str">
        <f aca="false">IF($N80="","",IF(INDEX('NHẬP ĐƠN HÀNG'!$H$6:$H$505,$N80)="","",INDEX('NHẬP ĐƠN HÀNG'!$H$6:$H$505,$N80)))</f>
        <v/>
      </c>
      <c r="G80" s="10" t="str">
        <f aca="false">IF($N80="","",N(INDEX('NHẬP ĐƠN HÀNG'!$I$6:$I$505,$N80)))</f>
        <v/>
      </c>
      <c r="H80" s="10" t="str">
        <f aca="false">IF($N80="","",N(INDEX('NHẬP ĐƠN HÀNG'!$L$6:$L$505,$N80)))</f>
        <v/>
      </c>
      <c r="I80" s="11" t="str">
        <f aca="false">IF($N80="","",N(INDEX('NHẬP ĐƠN HÀNG'!$N$6:$N$505,$N80)))</f>
        <v/>
      </c>
      <c r="J80" s="10" t="str">
        <f aca="false">IF($N80="","",N(INDEX('NHẬP ĐƠN HÀNG'!$O$6:$O$505,$N80)))</f>
        <v/>
      </c>
      <c r="K80" s="10" t="str">
        <f aca="false">IF($N80="","",N(INDEX('NHẬP ĐƠN HÀNG'!$P$6:$P$505,$N80)))</f>
        <v/>
      </c>
      <c r="L80" s="10" t="str">
        <f aca="false">IF($N80="","",N(INDEX('NHẬP ĐƠN HÀNG'!$Q$6:$Q$505,$N80)))</f>
        <v/>
      </c>
      <c r="M80" s="10" t="str">
        <f aca="false">IF($N80="","",N(INDEX('NHẬP ĐƠN HÀNG'!$R$6:$R$505,$N80)))</f>
        <v/>
      </c>
      <c r="N80" s="0" t="str">
        <f aca="false">IFERROR(MATCH(75,'NHẬP ĐƠN HÀNG'!$Z$6:$Z$505,0),"")</f>
        <v/>
      </c>
    </row>
    <row r="81" customFormat="false" ht="15" hidden="false" customHeight="false" outlineLevel="0" collapsed="false">
      <c r="A81" s="16" t="str">
        <f aca="false">IF($N81="","",76)</f>
        <v/>
      </c>
      <c r="B81" s="34" t="str">
        <f aca="false">IF($N81="","",IF(INDEX('NHẬP ĐƠN HÀNG'!$B$6:$B$505,$N81)="","",INDEX('NHẬP ĐƠN HÀNG'!$B$6:$B$505,$N81)))</f>
        <v/>
      </c>
      <c r="C81" s="16" t="str">
        <f aca="false">IF($N81="","",IF(INDEX('NHẬP ĐƠN HÀNG'!$C$6:$C$505,$N81)="","",INDEX('NHẬP ĐƠN HÀNG'!$C$6:$C$505,$N81)))</f>
        <v/>
      </c>
      <c r="D81" s="16" t="str">
        <f aca="false">IF($N81="","",IF(INDEX('NHẬP ĐƠN HÀNG'!$E$6:$E$505,$N81)="","",INDEX('NHẬP ĐƠN HÀNG'!$E$6:$E$505,$N81)))</f>
        <v/>
      </c>
      <c r="E81" s="16" t="str">
        <f aca="false">IF($N81="","",IF(INDEX('NHẬP ĐƠN HÀNG'!$F$6:$F$505,$N81)="","",INDEX('NHẬP ĐƠN HÀNG'!$F$6:$F$505,$N81)))</f>
        <v/>
      </c>
      <c r="F81" s="16" t="str">
        <f aca="false">IF($N81="","",IF(INDEX('NHẬP ĐƠN HÀNG'!$H$6:$H$505,$N81)="","",INDEX('NHẬP ĐƠN HÀNG'!$H$6:$H$505,$N81)))</f>
        <v/>
      </c>
      <c r="G81" s="10" t="str">
        <f aca="false">IF($N81="","",N(INDEX('NHẬP ĐƠN HÀNG'!$I$6:$I$505,$N81)))</f>
        <v/>
      </c>
      <c r="H81" s="10" t="str">
        <f aca="false">IF($N81="","",N(INDEX('NHẬP ĐƠN HÀNG'!$L$6:$L$505,$N81)))</f>
        <v/>
      </c>
      <c r="I81" s="11" t="str">
        <f aca="false">IF($N81="","",N(INDEX('NHẬP ĐƠN HÀNG'!$N$6:$N$505,$N81)))</f>
        <v/>
      </c>
      <c r="J81" s="10" t="str">
        <f aca="false">IF($N81="","",N(INDEX('NHẬP ĐƠN HÀNG'!$O$6:$O$505,$N81)))</f>
        <v/>
      </c>
      <c r="K81" s="10" t="str">
        <f aca="false">IF($N81="","",N(INDEX('NHẬP ĐƠN HÀNG'!$P$6:$P$505,$N81)))</f>
        <v/>
      </c>
      <c r="L81" s="10" t="str">
        <f aca="false">IF($N81="","",N(INDEX('NHẬP ĐƠN HÀNG'!$Q$6:$Q$505,$N81)))</f>
        <v/>
      </c>
      <c r="M81" s="10" t="str">
        <f aca="false">IF($N81="","",N(INDEX('NHẬP ĐƠN HÀNG'!$R$6:$R$505,$N81)))</f>
        <v/>
      </c>
      <c r="N81" s="0" t="str">
        <f aca="false">IFERROR(MATCH(76,'NHẬP ĐƠN HÀNG'!$Z$6:$Z$505,0),"")</f>
        <v/>
      </c>
    </row>
    <row r="82" customFormat="false" ht="15" hidden="false" customHeight="false" outlineLevel="0" collapsed="false">
      <c r="A82" s="16" t="str">
        <f aca="false">IF($N82="","",77)</f>
        <v/>
      </c>
      <c r="B82" s="34" t="str">
        <f aca="false">IF($N82="","",IF(INDEX('NHẬP ĐƠN HÀNG'!$B$6:$B$505,$N82)="","",INDEX('NHẬP ĐƠN HÀNG'!$B$6:$B$505,$N82)))</f>
        <v/>
      </c>
      <c r="C82" s="16" t="str">
        <f aca="false">IF($N82="","",IF(INDEX('NHẬP ĐƠN HÀNG'!$C$6:$C$505,$N82)="","",INDEX('NHẬP ĐƠN HÀNG'!$C$6:$C$505,$N82)))</f>
        <v/>
      </c>
      <c r="D82" s="16" t="str">
        <f aca="false">IF($N82="","",IF(INDEX('NHẬP ĐƠN HÀNG'!$E$6:$E$505,$N82)="","",INDEX('NHẬP ĐƠN HÀNG'!$E$6:$E$505,$N82)))</f>
        <v/>
      </c>
      <c r="E82" s="16" t="str">
        <f aca="false">IF($N82="","",IF(INDEX('NHẬP ĐƠN HÀNG'!$F$6:$F$505,$N82)="","",INDEX('NHẬP ĐƠN HÀNG'!$F$6:$F$505,$N82)))</f>
        <v/>
      </c>
      <c r="F82" s="16" t="str">
        <f aca="false">IF($N82="","",IF(INDEX('NHẬP ĐƠN HÀNG'!$H$6:$H$505,$N82)="","",INDEX('NHẬP ĐƠN HÀNG'!$H$6:$H$505,$N82)))</f>
        <v/>
      </c>
      <c r="G82" s="10" t="str">
        <f aca="false">IF($N82="","",N(INDEX('NHẬP ĐƠN HÀNG'!$I$6:$I$505,$N82)))</f>
        <v/>
      </c>
      <c r="H82" s="10" t="str">
        <f aca="false">IF($N82="","",N(INDEX('NHẬP ĐƠN HÀNG'!$L$6:$L$505,$N82)))</f>
        <v/>
      </c>
      <c r="I82" s="11" t="str">
        <f aca="false">IF($N82="","",N(INDEX('NHẬP ĐƠN HÀNG'!$N$6:$N$505,$N82)))</f>
        <v/>
      </c>
      <c r="J82" s="10" t="str">
        <f aca="false">IF($N82="","",N(INDEX('NHẬP ĐƠN HÀNG'!$O$6:$O$505,$N82)))</f>
        <v/>
      </c>
      <c r="K82" s="10" t="str">
        <f aca="false">IF($N82="","",N(INDEX('NHẬP ĐƠN HÀNG'!$P$6:$P$505,$N82)))</f>
        <v/>
      </c>
      <c r="L82" s="10" t="str">
        <f aca="false">IF($N82="","",N(INDEX('NHẬP ĐƠN HÀNG'!$Q$6:$Q$505,$N82)))</f>
        <v/>
      </c>
      <c r="M82" s="10" t="str">
        <f aca="false">IF($N82="","",N(INDEX('NHẬP ĐƠN HÀNG'!$R$6:$R$505,$N82)))</f>
        <v/>
      </c>
      <c r="N82" s="0" t="str">
        <f aca="false">IFERROR(MATCH(77,'NHẬP ĐƠN HÀNG'!$Z$6:$Z$505,0),"")</f>
        <v/>
      </c>
    </row>
    <row r="83" customFormat="false" ht="15" hidden="false" customHeight="false" outlineLevel="0" collapsed="false">
      <c r="A83" s="16" t="str">
        <f aca="false">IF($N83="","",78)</f>
        <v/>
      </c>
      <c r="B83" s="34" t="str">
        <f aca="false">IF($N83="","",IF(INDEX('NHẬP ĐƠN HÀNG'!$B$6:$B$505,$N83)="","",INDEX('NHẬP ĐƠN HÀNG'!$B$6:$B$505,$N83)))</f>
        <v/>
      </c>
      <c r="C83" s="16" t="str">
        <f aca="false">IF($N83="","",IF(INDEX('NHẬP ĐƠN HÀNG'!$C$6:$C$505,$N83)="","",INDEX('NHẬP ĐƠN HÀNG'!$C$6:$C$505,$N83)))</f>
        <v/>
      </c>
      <c r="D83" s="16" t="str">
        <f aca="false">IF($N83="","",IF(INDEX('NHẬP ĐƠN HÀNG'!$E$6:$E$505,$N83)="","",INDEX('NHẬP ĐƠN HÀNG'!$E$6:$E$505,$N83)))</f>
        <v/>
      </c>
      <c r="E83" s="16" t="str">
        <f aca="false">IF($N83="","",IF(INDEX('NHẬP ĐƠN HÀNG'!$F$6:$F$505,$N83)="","",INDEX('NHẬP ĐƠN HÀNG'!$F$6:$F$505,$N83)))</f>
        <v/>
      </c>
      <c r="F83" s="16" t="str">
        <f aca="false">IF($N83="","",IF(INDEX('NHẬP ĐƠN HÀNG'!$H$6:$H$505,$N83)="","",INDEX('NHẬP ĐƠN HÀNG'!$H$6:$H$505,$N83)))</f>
        <v/>
      </c>
      <c r="G83" s="10" t="str">
        <f aca="false">IF($N83="","",N(INDEX('NHẬP ĐƠN HÀNG'!$I$6:$I$505,$N83)))</f>
        <v/>
      </c>
      <c r="H83" s="10" t="str">
        <f aca="false">IF($N83="","",N(INDEX('NHẬP ĐƠN HÀNG'!$L$6:$L$505,$N83)))</f>
        <v/>
      </c>
      <c r="I83" s="11" t="str">
        <f aca="false">IF($N83="","",N(INDEX('NHẬP ĐƠN HÀNG'!$N$6:$N$505,$N83)))</f>
        <v/>
      </c>
      <c r="J83" s="10" t="str">
        <f aca="false">IF($N83="","",N(INDEX('NHẬP ĐƠN HÀNG'!$O$6:$O$505,$N83)))</f>
        <v/>
      </c>
      <c r="K83" s="10" t="str">
        <f aca="false">IF($N83="","",N(INDEX('NHẬP ĐƠN HÀNG'!$P$6:$P$505,$N83)))</f>
        <v/>
      </c>
      <c r="L83" s="10" t="str">
        <f aca="false">IF($N83="","",N(INDEX('NHẬP ĐƠN HÀNG'!$Q$6:$Q$505,$N83)))</f>
        <v/>
      </c>
      <c r="M83" s="10" t="str">
        <f aca="false">IF($N83="","",N(INDEX('NHẬP ĐƠN HÀNG'!$R$6:$R$505,$N83)))</f>
        <v/>
      </c>
      <c r="N83" s="0" t="str">
        <f aca="false">IFERROR(MATCH(78,'NHẬP ĐƠN HÀNG'!$Z$6:$Z$505,0),"")</f>
        <v/>
      </c>
    </row>
    <row r="84" customFormat="false" ht="15" hidden="false" customHeight="false" outlineLevel="0" collapsed="false">
      <c r="A84" s="16" t="str">
        <f aca="false">IF($N84="","",79)</f>
        <v/>
      </c>
      <c r="B84" s="34" t="str">
        <f aca="false">IF($N84="","",IF(INDEX('NHẬP ĐƠN HÀNG'!$B$6:$B$505,$N84)="","",INDEX('NHẬP ĐƠN HÀNG'!$B$6:$B$505,$N84)))</f>
        <v/>
      </c>
      <c r="C84" s="16" t="str">
        <f aca="false">IF($N84="","",IF(INDEX('NHẬP ĐƠN HÀNG'!$C$6:$C$505,$N84)="","",INDEX('NHẬP ĐƠN HÀNG'!$C$6:$C$505,$N84)))</f>
        <v/>
      </c>
      <c r="D84" s="16" t="str">
        <f aca="false">IF($N84="","",IF(INDEX('NHẬP ĐƠN HÀNG'!$E$6:$E$505,$N84)="","",INDEX('NHẬP ĐƠN HÀNG'!$E$6:$E$505,$N84)))</f>
        <v/>
      </c>
      <c r="E84" s="16" t="str">
        <f aca="false">IF($N84="","",IF(INDEX('NHẬP ĐƠN HÀNG'!$F$6:$F$505,$N84)="","",INDEX('NHẬP ĐƠN HÀNG'!$F$6:$F$505,$N84)))</f>
        <v/>
      </c>
      <c r="F84" s="16" t="str">
        <f aca="false">IF($N84="","",IF(INDEX('NHẬP ĐƠN HÀNG'!$H$6:$H$505,$N84)="","",INDEX('NHẬP ĐƠN HÀNG'!$H$6:$H$505,$N84)))</f>
        <v/>
      </c>
      <c r="G84" s="10" t="str">
        <f aca="false">IF($N84="","",N(INDEX('NHẬP ĐƠN HÀNG'!$I$6:$I$505,$N84)))</f>
        <v/>
      </c>
      <c r="H84" s="10" t="str">
        <f aca="false">IF($N84="","",N(INDEX('NHẬP ĐƠN HÀNG'!$L$6:$L$505,$N84)))</f>
        <v/>
      </c>
      <c r="I84" s="11" t="str">
        <f aca="false">IF($N84="","",N(INDEX('NHẬP ĐƠN HÀNG'!$N$6:$N$505,$N84)))</f>
        <v/>
      </c>
      <c r="J84" s="10" t="str">
        <f aca="false">IF($N84="","",N(INDEX('NHẬP ĐƠN HÀNG'!$O$6:$O$505,$N84)))</f>
        <v/>
      </c>
      <c r="K84" s="10" t="str">
        <f aca="false">IF($N84="","",N(INDEX('NHẬP ĐƠN HÀNG'!$P$6:$P$505,$N84)))</f>
        <v/>
      </c>
      <c r="L84" s="10" t="str">
        <f aca="false">IF($N84="","",N(INDEX('NHẬP ĐƠN HÀNG'!$Q$6:$Q$505,$N84)))</f>
        <v/>
      </c>
      <c r="M84" s="10" t="str">
        <f aca="false">IF($N84="","",N(INDEX('NHẬP ĐƠN HÀNG'!$R$6:$R$505,$N84)))</f>
        <v/>
      </c>
      <c r="N84" s="0" t="str">
        <f aca="false">IFERROR(MATCH(79,'NHẬP ĐƠN HÀNG'!$Z$6:$Z$505,0),"")</f>
        <v/>
      </c>
    </row>
    <row r="85" customFormat="false" ht="15" hidden="false" customHeight="false" outlineLevel="0" collapsed="false">
      <c r="A85" s="16" t="str">
        <f aca="false">IF($N85="","",80)</f>
        <v/>
      </c>
      <c r="B85" s="34" t="str">
        <f aca="false">IF($N85="","",IF(INDEX('NHẬP ĐƠN HÀNG'!$B$6:$B$505,$N85)="","",INDEX('NHẬP ĐƠN HÀNG'!$B$6:$B$505,$N85)))</f>
        <v/>
      </c>
      <c r="C85" s="16" t="str">
        <f aca="false">IF($N85="","",IF(INDEX('NHẬP ĐƠN HÀNG'!$C$6:$C$505,$N85)="","",INDEX('NHẬP ĐƠN HÀNG'!$C$6:$C$505,$N85)))</f>
        <v/>
      </c>
      <c r="D85" s="16" t="str">
        <f aca="false">IF($N85="","",IF(INDEX('NHẬP ĐƠN HÀNG'!$E$6:$E$505,$N85)="","",INDEX('NHẬP ĐƠN HÀNG'!$E$6:$E$505,$N85)))</f>
        <v/>
      </c>
      <c r="E85" s="16" t="str">
        <f aca="false">IF($N85="","",IF(INDEX('NHẬP ĐƠN HÀNG'!$F$6:$F$505,$N85)="","",INDEX('NHẬP ĐƠN HÀNG'!$F$6:$F$505,$N85)))</f>
        <v/>
      </c>
      <c r="F85" s="16" t="str">
        <f aca="false">IF($N85="","",IF(INDEX('NHẬP ĐƠN HÀNG'!$H$6:$H$505,$N85)="","",INDEX('NHẬP ĐƠN HÀNG'!$H$6:$H$505,$N85)))</f>
        <v/>
      </c>
      <c r="G85" s="10" t="str">
        <f aca="false">IF($N85="","",N(INDEX('NHẬP ĐƠN HÀNG'!$I$6:$I$505,$N85)))</f>
        <v/>
      </c>
      <c r="H85" s="10" t="str">
        <f aca="false">IF($N85="","",N(INDEX('NHẬP ĐƠN HÀNG'!$L$6:$L$505,$N85)))</f>
        <v/>
      </c>
      <c r="I85" s="11" t="str">
        <f aca="false">IF($N85="","",N(INDEX('NHẬP ĐƠN HÀNG'!$N$6:$N$505,$N85)))</f>
        <v/>
      </c>
      <c r="J85" s="10" t="str">
        <f aca="false">IF($N85="","",N(INDEX('NHẬP ĐƠN HÀNG'!$O$6:$O$505,$N85)))</f>
        <v/>
      </c>
      <c r="K85" s="10" t="str">
        <f aca="false">IF($N85="","",N(INDEX('NHẬP ĐƠN HÀNG'!$P$6:$P$505,$N85)))</f>
        <v/>
      </c>
      <c r="L85" s="10" t="str">
        <f aca="false">IF($N85="","",N(INDEX('NHẬP ĐƠN HÀNG'!$Q$6:$Q$505,$N85)))</f>
        <v/>
      </c>
      <c r="M85" s="10" t="str">
        <f aca="false">IF($N85="","",N(INDEX('NHẬP ĐƠN HÀNG'!$R$6:$R$505,$N85)))</f>
        <v/>
      </c>
      <c r="N85" s="0" t="str">
        <f aca="false">IFERROR(MATCH(80,'NHẬP ĐƠN HÀNG'!$Z$6:$Z$505,0),"")</f>
        <v/>
      </c>
    </row>
    <row r="86" customFormat="false" ht="15" hidden="false" customHeight="false" outlineLevel="0" collapsed="false">
      <c r="A86" s="16" t="str">
        <f aca="false">IF($N86="","",81)</f>
        <v/>
      </c>
      <c r="B86" s="34" t="str">
        <f aca="false">IF($N86="","",IF(INDEX('NHẬP ĐƠN HÀNG'!$B$6:$B$505,$N86)="","",INDEX('NHẬP ĐƠN HÀNG'!$B$6:$B$505,$N86)))</f>
        <v/>
      </c>
      <c r="C86" s="16" t="str">
        <f aca="false">IF($N86="","",IF(INDEX('NHẬP ĐƠN HÀNG'!$C$6:$C$505,$N86)="","",INDEX('NHẬP ĐƠN HÀNG'!$C$6:$C$505,$N86)))</f>
        <v/>
      </c>
      <c r="D86" s="16" t="str">
        <f aca="false">IF($N86="","",IF(INDEX('NHẬP ĐƠN HÀNG'!$E$6:$E$505,$N86)="","",INDEX('NHẬP ĐƠN HÀNG'!$E$6:$E$505,$N86)))</f>
        <v/>
      </c>
      <c r="E86" s="16" t="str">
        <f aca="false">IF($N86="","",IF(INDEX('NHẬP ĐƠN HÀNG'!$F$6:$F$505,$N86)="","",INDEX('NHẬP ĐƠN HÀNG'!$F$6:$F$505,$N86)))</f>
        <v/>
      </c>
      <c r="F86" s="16" t="str">
        <f aca="false">IF($N86="","",IF(INDEX('NHẬP ĐƠN HÀNG'!$H$6:$H$505,$N86)="","",INDEX('NHẬP ĐƠN HÀNG'!$H$6:$H$505,$N86)))</f>
        <v/>
      </c>
      <c r="G86" s="10" t="str">
        <f aca="false">IF($N86="","",N(INDEX('NHẬP ĐƠN HÀNG'!$I$6:$I$505,$N86)))</f>
        <v/>
      </c>
      <c r="H86" s="10" t="str">
        <f aca="false">IF($N86="","",N(INDEX('NHẬP ĐƠN HÀNG'!$L$6:$L$505,$N86)))</f>
        <v/>
      </c>
      <c r="I86" s="11" t="str">
        <f aca="false">IF($N86="","",N(INDEX('NHẬP ĐƠN HÀNG'!$N$6:$N$505,$N86)))</f>
        <v/>
      </c>
      <c r="J86" s="10" t="str">
        <f aca="false">IF($N86="","",N(INDEX('NHẬP ĐƠN HÀNG'!$O$6:$O$505,$N86)))</f>
        <v/>
      </c>
      <c r="K86" s="10" t="str">
        <f aca="false">IF($N86="","",N(INDEX('NHẬP ĐƠN HÀNG'!$P$6:$P$505,$N86)))</f>
        <v/>
      </c>
      <c r="L86" s="10" t="str">
        <f aca="false">IF($N86="","",N(INDEX('NHẬP ĐƠN HÀNG'!$Q$6:$Q$505,$N86)))</f>
        <v/>
      </c>
      <c r="M86" s="10" t="str">
        <f aca="false">IF($N86="","",N(INDEX('NHẬP ĐƠN HÀNG'!$R$6:$R$505,$N86)))</f>
        <v/>
      </c>
      <c r="N86" s="0" t="str">
        <f aca="false">IFERROR(MATCH(81,'NHẬP ĐƠN HÀNG'!$Z$6:$Z$505,0),"")</f>
        <v/>
      </c>
    </row>
    <row r="87" customFormat="false" ht="15" hidden="false" customHeight="false" outlineLevel="0" collapsed="false">
      <c r="A87" s="16" t="str">
        <f aca="false">IF($N87="","",82)</f>
        <v/>
      </c>
      <c r="B87" s="34" t="str">
        <f aca="false">IF($N87="","",IF(INDEX('NHẬP ĐƠN HÀNG'!$B$6:$B$505,$N87)="","",INDEX('NHẬP ĐƠN HÀNG'!$B$6:$B$505,$N87)))</f>
        <v/>
      </c>
      <c r="C87" s="16" t="str">
        <f aca="false">IF($N87="","",IF(INDEX('NHẬP ĐƠN HÀNG'!$C$6:$C$505,$N87)="","",INDEX('NHẬP ĐƠN HÀNG'!$C$6:$C$505,$N87)))</f>
        <v/>
      </c>
      <c r="D87" s="16" t="str">
        <f aca="false">IF($N87="","",IF(INDEX('NHẬP ĐƠN HÀNG'!$E$6:$E$505,$N87)="","",INDEX('NHẬP ĐƠN HÀNG'!$E$6:$E$505,$N87)))</f>
        <v/>
      </c>
      <c r="E87" s="16" t="str">
        <f aca="false">IF($N87="","",IF(INDEX('NHẬP ĐƠN HÀNG'!$F$6:$F$505,$N87)="","",INDEX('NHẬP ĐƠN HÀNG'!$F$6:$F$505,$N87)))</f>
        <v/>
      </c>
      <c r="F87" s="16" t="str">
        <f aca="false">IF($N87="","",IF(INDEX('NHẬP ĐƠN HÀNG'!$H$6:$H$505,$N87)="","",INDEX('NHẬP ĐƠN HÀNG'!$H$6:$H$505,$N87)))</f>
        <v/>
      </c>
      <c r="G87" s="10" t="str">
        <f aca="false">IF($N87="","",N(INDEX('NHẬP ĐƠN HÀNG'!$I$6:$I$505,$N87)))</f>
        <v/>
      </c>
      <c r="H87" s="10" t="str">
        <f aca="false">IF($N87="","",N(INDEX('NHẬP ĐƠN HÀNG'!$L$6:$L$505,$N87)))</f>
        <v/>
      </c>
      <c r="I87" s="11" t="str">
        <f aca="false">IF($N87="","",N(INDEX('NHẬP ĐƠN HÀNG'!$N$6:$N$505,$N87)))</f>
        <v/>
      </c>
      <c r="J87" s="10" t="str">
        <f aca="false">IF($N87="","",N(INDEX('NHẬP ĐƠN HÀNG'!$O$6:$O$505,$N87)))</f>
        <v/>
      </c>
      <c r="K87" s="10" t="str">
        <f aca="false">IF($N87="","",N(INDEX('NHẬP ĐƠN HÀNG'!$P$6:$P$505,$N87)))</f>
        <v/>
      </c>
      <c r="L87" s="10" t="str">
        <f aca="false">IF($N87="","",N(INDEX('NHẬP ĐƠN HÀNG'!$Q$6:$Q$505,$N87)))</f>
        <v/>
      </c>
      <c r="M87" s="10" t="str">
        <f aca="false">IF($N87="","",N(INDEX('NHẬP ĐƠN HÀNG'!$R$6:$R$505,$N87)))</f>
        <v/>
      </c>
      <c r="N87" s="0" t="str">
        <f aca="false">IFERROR(MATCH(82,'NHẬP ĐƠN HÀNG'!$Z$6:$Z$505,0),"")</f>
        <v/>
      </c>
    </row>
    <row r="88" customFormat="false" ht="15" hidden="false" customHeight="false" outlineLevel="0" collapsed="false">
      <c r="A88" s="16" t="str">
        <f aca="false">IF($N88="","",83)</f>
        <v/>
      </c>
      <c r="B88" s="34" t="str">
        <f aca="false">IF($N88="","",IF(INDEX('NHẬP ĐƠN HÀNG'!$B$6:$B$505,$N88)="","",INDEX('NHẬP ĐƠN HÀNG'!$B$6:$B$505,$N88)))</f>
        <v/>
      </c>
      <c r="C88" s="16" t="str">
        <f aca="false">IF($N88="","",IF(INDEX('NHẬP ĐƠN HÀNG'!$C$6:$C$505,$N88)="","",INDEX('NHẬP ĐƠN HÀNG'!$C$6:$C$505,$N88)))</f>
        <v/>
      </c>
      <c r="D88" s="16" t="str">
        <f aca="false">IF($N88="","",IF(INDEX('NHẬP ĐƠN HÀNG'!$E$6:$E$505,$N88)="","",INDEX('NHẬP ĐƠN HÀNG'!$E$6:$E$505,$N88)))</f>
        <v/>
      </c>
      <c r="E88" s="16" t="str">
        <f aca="false">IF($N88="","",IF(INDEX('NHẬP ĐƠN HÀNG'!$F$6:$F$505,$N88)="","",INDEX('NHẬP ĐƠN HÀNG'!$F$6:$F$505,$N88)))</f>
        <v/>
      </c>
      <c r="F88" s="16" t="str">
        <f aca="false">IF($N88="","",IF(INDEX('NHẬP ĐƠN HÀNG'!$H$6:$H$505,$N88)="","",INDEX('NHẬP ĐƠN HÀNG'!$H$6:$H$505,$N88)))</f>
        <v/>
      </c>
      <c r="G88" s="10" t="str">
        <f aca="false">IF($N88="","",N(INDEX('NHẬP ĐƠN HÀNG'!$I$6:$I$505,$N88)))</f>
        <v/>
      </c>
      <c r="H88" s="10" t="str">
        <f aca="false">IF($N88="","",N(INDEX('NHẬP ĐƠN HÀNG'!$L$6:$L$505,$N88)))</f>
        <v/>
      </c>
      <c r="I88" s="11" t="str">
        <f aca="false">IF($N88="","",N(INDEX('NHẬP ĐƠN HÀNG'!$N$6:$N$505,$N88)))</f>
        <v/>
      </c>
      <c r="J88" s="10" t="str">
        <f aca="false">IF($N88="","",N(INDEX('NHẬP ĐƠN HÀNG'!$O$6:$O$505,$N88)))</f>
        <v/>
      </c>
      <c r="K88" s="10" t="str">
        <f aca="false">IF($N88="","",N(INDEX('NHẬP ĐƠN HÀNG'!$P$6:$P$505,$N88)))</f>
        <v/>
      </c>
      <c r="L88" s="10" t="str">
        <f aca="false">IF($N88="","",N(INDEX('NHẬP ĐƠN HÀNG'!$Q$6:$Q$505,$N88)))</f>
        <v/>
      </c>
      <c r="M88" s="10" t="str">
        <f aca="false">IF($N88="","",N(INDEX('NHẬP ĐƠN HÀNG'!$R$6:$R$505,$N88)))</f>
        <v/>
      </c>
      <c r="N88" s="0" t="str">
        <f aca="false">IFERROR(MATCH(83,'NHẬP ĐƠN HÀNG'!$Z$6:$Z$505,0),"")</f>
        <v/>
      </c>
    </row>
    <row r="89" customFormat="false" ht="15" hidden="false" customHeight="false" outlineLevel="0" collapsed="false">
      <c r="A89" s="16" t="str">
        <f aca="false">IF($N89="","",84)</f>
        <v/>
      </c>
      <c r="B89" s="34" t="str">
        <f aca="false">IF($N89="","",IF(INDEX('NHẬP ĐƠN HÀNG'!$B$6:$B$505,$N89)="","",INDEX('NHẬP ĐƠN HÀNG'!$B$6:$B$505,$N89)))</f>
        <v/>
      </c>
      <c r="C89" s="16" t="str">
        <f aca="false">IF($N89="","",IF(INDEX('NHẬP ĐƠN HÀNG'!$C$6:$C$505,$N89)="","",INDEX('NHẬP ĐƠN HÀNG'!$C$6:$C$505,$N89)))</f>
        <v/>
      </c>
      <c r="D89" s="16" t="str">
        <f aca="false">IF($N89="","",IF(INDEX('NHẬP ĐƠN HÀNG'!$E$6:$E$505,$N89)="","",INDEX('NHẬP ĐƠN HÀNG'!$E$6:$E$505,$N89)))</f>
        <v/>
      </c>
      <c r="E89" s="16" t="str">
        <f aca="false">IF($N89="","",IF(INDEX('NHẬP ĐƠN HÀNG'!$F$6:$F$505,$N89)="","",INDEX('NHẬP ĐƠN HÀNG'!$F$6:$F$505,$N89)))</f>
        <v/>
      </c>
      <c r="F89" s="16" t="str">
        <f aca="false">IF($N89="","",IF(INDEX('NHẬP ĐƠN HÀNG'!$H$6:$H$505,$N89)="","",INDEX('NHẬP ĐƠN HÀNG'!$H$6:$H$505,$N89)))</f>
        <v/>
      </c>
      <c r="G89" s="10" t="str">
        <f aca="false">IF($N89="","",N(INDEX('NHẬP ĐƠN HÀNG'!$I$6:$I$505,$N89)))</f>
        <v/>
      </c>
      <c r="H89" s="10" t="str">
        <f aca="false">IF($N89="","",N(INDEX('NHẬP ĐƠN HÀNG'!$L$6:$L$505,$N89)))</f>
        <v/>
      </c>
      <c r="I89" s="11" t="str">
        <f aca="false">IF($N89="","",N(INDEX('NHẬP ĐƠN HÀNG'!$N$6:$N$505,$N89)))</f>
        <v/>
      </c>
      <c r="J89" s="10" t="str">
        <f aca="false">IF($N89="","",N(INDEX('NHẬP ĐƠN HÀNG'!$O$6:$O$505,$N89)))</f>
        <v/>
      </c>
      <c r="K89" s="10" t="str">
        <f aca="false">IF($N89="","",N(INDEX('NHẬP ĐƠN HÀNG'!$P$6:$P$505,$N89)))</f>
        <v/>
      </c>
      <c r="L89" s="10" t="str">
        <f aca="false">IF($N89="","",N(INDEX('NHẬP ĐƠN HÀNG'!$Q$6:$Q$505,$N89)))</f>
        <v/>
      </c>
      <c r="M89" s="10" t="str">
        <f aca="false">IF($N89="","",N(INDEX('NHẬP ĐƠN HÀNG'!$R$6:$R$505,$N89)))</f>
        <v/>
      </c>
      <c r="N89" s="0" t="str">
        <f aca="false">IFERROR(MATCH(84,'NHẬP ĐƠN HÀNG'!$Z$6:$Z$505,0),"")</f>
        <v/>
      </c>
    </row>
    <row r="90" customFormat="false" ht="15" hidden="false" customHeight="false" outlineLevel="0" collapsed="false">
      <c r="A90" s="16" t="str">
        <f aca="false">IF($N90="","",85)</f>
        <v/>
      </c>
      <c r="B90" s="34" t="str">
        <f aca="false">IF($N90="","",IF(INDEX('NHẬP ĐƠN HÀNG'!$B$6:$B$505,$N90)="","",INDEX('NHẬP ĐƠN HÀNG'!$B$6:$B$505,$N90)))</f>
        <v/>
      </c>
      <c r="C90" s="16" t="str">
        <f aca="false">IF($N90="","",IF(INDEX('NHẬP ĐƠN HÀNG'!$C$6:$C$505,$N90)="","",INDEX('NHẬP ĐƠN HÀNG'!$C$6:$C$505,$N90)))</f>
        <v/>
      </c>
      <c r="D90" s="16" t="str">
        <f aca="false">IF($N90="","",IF(INDEX('NHẬP ĐƠN HÀNG'!$E$6:$E$505,$N90)="","",INDEX('NHẬP ĐƠN HÀNG'!$E$6:$E$505,$N90)))</f>
        <v/>
      </c>
      <c r="E90" s="16" t="str">
        <f aca="false">IF($N90="","",IF(INDEX('NHẬP ĐƠN HÀNG'!$F$6:$F$505,$N90)="","",INDEX('NHẬP ĐƠN HÀNG'!$F$6:$F$505,$N90)))</f>
        <v/>
      </c>
      <c r="F90" s="16" t="str">
        <f aca="false">IF($N90="","",IF(INDEX('NHẬP ĐƠN HÀNG'!$H$6:$H$505,$N90)="","",INDEX('NHẬP ĐƠN HÀNG'!$H$6:$H$505,$N90)))</f>
        <v/>
      </c>
      <c r="G90" s="10" t="str">
        <f aca="false">IF($N90="","",N(INDEX('NHẬP ĐƠN HÀNG'!$I$6:$I$505,$N90)))</f>
        <v/>
      </c>
      <c r="H90" s="10" t="str">
        <f aca="false">IF($N90="","",N(INDEX('NHẬP ĐƠN HÀNG'!$L$6:$L$505,$N90)))</f>
        <v/>
      </c>
      <c r="I90" s="11" t="str">
        <f aca="false">IF($N90="","",N(INDEX('NHẬP ĐƠN HÀNG'!$N$6:$N$505,$N90)))</f>
        <v/>
      </c>
      <c r="J90" s="10" t="str">
        <f aca="false">IF($N90="","",N(INDEX('NHẬP ĐƠN HÀNG'!$O$6:$O$505,$N90)))</f>
        <v/>
      </c>
      <c r="K90" s="10" t="str">
        <f aca="false">IF($N90="","",N(INDEX('NHẬP ĐƠN HÀNG'!$P$6:$P$505,$N90)))</f>
        <v/>
      </c>
      <c r="L90" s="10" t="str">
        <f aca="false">IF($N90="","",N(INDEX('NHẬP ĐƠN HÀNG'!$Q$6:$Q$505,$N90)))</f>
        <v/>
      </c>
      <c r="M90" s="10" t="str">
        <f aca="false">IF($N90="","",N(INDEX('NHẬP ĐƠN HÀNG'!$R$6:$R$505,$N90)))</f>
        <v/>
      </c>
      <c r="N90" s="0" t="str">
        <f aca="false">IFERROR(MATCH(85,'NHẬP ĐƠN HÀNG'!$Z$6:$Z$505,0),"")</f>
        <v/>
      </c>
    </row>
    <row r="91" customFormat="false" ht="15" hidden="false" customHeight="false" outlineLevel="0" collapsed="false">
      <c r="A91" s="16" t="str">
        <f aca="false">IF($N91="","",86)</f>
        <v/>
      </c>
      <c r="B91" s="34" t="str">
        <f aca="false">IF($N91="","",IF(INDEX('NHẬP ĐƠN HÀNG'!$B$6:$B$505,$N91)="","",INDEX('NHẬP ĐƠN HÀNG'!$B$6:$B$505,$N91)))</f>
        <v/>
      </c>
      <c r="C91" s="16" t="str">
        <f aca="false">IF($N91="","",IF(INDEX('NHẬP ĐƠN HÀNG'!$C$6:$C$505,$N91)="","",INDEX('NHẬP ĐƠN HÀNG'!$C$6:$C$505,$N91)))</f>
        <v/>
      </c>
      <c r="D91" s="16" t="str">
        <f aca="false">IF($N91="","",IF(INDEX('NHẬP ĐƠN HÀNG'!$E$6:$E$505,$N91)="","",INDEX('NHẬP ĐƠN HÀNG'!$E$6:$E$505,$N91)))</f>
        <v/>
      </c>
      <c r="E91" s="16" t="str">
        <f aca="false">IF($N91="","",IF(INDEX('NHẬP ĐƠN HÀNG'!$F$6:$F$505,$N91)="","",INDEX('NHẬP ĐƠN HÀNG'!$F$6:$F$505,$N91)))</f>
        <v/>
      </c>
      <c r="F91" s="16" t="str">
        <f aca="false">IF($N91="","",IF(INDEX('NHẬP ĐƠN HÀNG'!$H$6:$H$505,$N91)="","",INDEX('NHẬP ĐƠN HÀNG'!$H$6:$H$505,$N91)))</f>
        <v/>
      </c>
      <c r="G91" s="10" t="str">
        <f aca="false">IF($N91="","",N(INDEX('NHẬP ĐƠN HÀNG'!$I$6:$I$505,$N91)))</f>
        <v/>
      </c>
      <c r="H91" s="10" t="str">
        <f aca="false">IF($N91="","",N(INDEX('NHẬP ĐƠN HÀNG'!$L$6:$L$505,$N91)))</f>
        <v/>
      </c>
      <c r="I91" s="11" t="str">
        <f aca="false">IF($N91="","",N(INDEX('NHẬP ĐƠN HÀNG'!$N$6:$N$505,$N91)))</f>
        <v/>
      </c>
      <c r="J91" s="10" t="str">
        <f aca="false">IF($N91="","",N(INDEX('NHẬP ĐƠN HÀNG'!$O$6:$O$505,$N91)))</f>
        <v/>
      </c>
      <c r="K91" s="10" t="str">
        <f aca="false">IF($N91="","",N(INDEX('NHẬP ĐƠN HÀNG'!$P$6:$P$505,$N91)))</f>
        <v/>
      </c>
      <c r="L91" s="10" t="str">
        <f aca="false">IF($N91="","",N(INDEX('NHẬP ĐƠN HÀNG'!$Q$6:$Q$505,$N91)))</f>
        <v/>
      </c>
      <c r="M91" s="10" t="str">
        <f aca="false">IF($N91="","",N(INDEX('NHẬP ĐƠN HÀNG'!$R$6:$R$505,$N91)))</f>
        <v/>
      </c>
      <c r="N91" s="0" t="str">
        <f aca="false">IFERROR(MATCH(86,'NHẬP ĐƠN HÀNG'!$Z$6:$Z$505,0),"")</f>
        <v/>
      </c>
    </row>
    <row r="92" customFormat="false" ht="15" hidden="false" customHeight="false" outlineLevel="0" collapsed="false">
      <c r="A92" s="16" t="str">
        <f aca="false">IF($N92="","",87)</f>
        <v/>
      </c>
      <c r="B92" s="34" t="str">
        <f aca="false">IF($N92="","",IF(INDEX('NHẬP ĐƠN HÀNG'!$B$6:$B$505,$N92)="","",INDEX('NHẬP ĐƠN HÀNG'!$B$6:$B$505,$N92)))</f>
        <v/>
      </c>
      <c r="C92" s="16" t="str">
        <f aca="false">IF($N92="","",IF(INDEX('NHẬP ĐƠN HÀNG'!$C$6:$C$505,$N92)="","",INDEX('NHẬP ĐƠN HÀNG'!$C$6:$C$505,$N92)))</f>
        <v/>
      </c>
      <c r="D92" s="16" t="str">
        <f aca="false">IF($N92="","",IF(INDEX('NHẬP ĐƠN HÀNG'!$E$6:$E$505,$N92)="","",INDEX('NHẬP ĐƠN HÀNG'!$E$6:$E$505,$N92)))</f>
        <v/>
      </c>
      <c r="E92" s="16" t="str">
        <f aca="false">IF($N92="","",IF(INDEX('NHẬP ĐƠN HÀNG'!$F$6:$F$505,$N92)="","",INDEX('NHẬP ĐƠN HÀNG'!$F$6:$F$505,$N92)))</f>
        <v/>
      </c>
      <c r="F92" s="16" t="str">
        <f aca="false">IF($N92="","",IF(INDEX('NHẬP ĐƠN HÀNG'!$H$6:$H$505,$N92)="","",INDEX('NHẬP ĐƠN HÀNG'!$H$6:$H$505,$N92)))</f>
        <v/>
      </c>
      <c r="G92" s="10" t="str">
        <f aca="false">IF($N92="","",N(INDEX('NHẬP ĐƠN HÀNG'!$I$6:$I$505,$N92)))</f>
        <v/>
      </c>
      <c r="H92" s="10" t="str">
        <f aca="false">IF($N92="","",N(INDEX('NHẬP ĐƠN HÀNG'!$L$6:$L$505,$N92)))</f>
        <v/>
      </c>
      <c r="I92" s="11" t="str">
        <f aca="false">IF($N92="","",N(INDEX('NHẬP ĐƠN HÀNG'!$N$6:$N$505,$N92)))</f>
        <v/>
      </c>
      <c r="J92" s="10" t="str">
        <f aca="false">IF($N92="","",N(INDEX('NHẬP ĐƠN HÀNG'!$O$6:$O$505,$N92)))</f>
        <v/>
      </c>
      <c r="K92" s="10" t="str">
        <f aca="false">IF($N92="","",N(INDEX('NHẬP ĐƠN HÀNG'!$P$6:$P$505,$N92)))</f>
        <v/>
      </c>
      <c r="L92" s="10" t="str">
        <f aca="false">IF($N92="","",N(INDEX('NHẬP ĐƠN HÀNG'!$Q$6:$Q$505,$N92)))</f>
        <v/>
      </c>
      <c r="M92" s="10" t="str">
        <f aca="false">IF($N92="","",N(INDEX('NHẬP ĐƠN HÀNG'!$R$6:$R$505,$N92)))</f>
        <v/>
      </c>
      <c r="N92" s="0" t="str">
        <f aca="false">IFERROR(MATCH(87,'NHẬP ĐƠN HÀNG'!$Z$6:$Z$505,0),"")</f>
        <v/>
      </c>
    </row>
    <row r="93" customFormat="false" ht="15" hidden="false" customHeight="false" outlineLevel="0" collapsed="false">
      <c r="A93" s="16" t="str">
        <f aca="false">IF($N93="","",88)</f>
        <v/>
      </c>
      <c r="B93" s="34" t="str">
        <f aca="false">IF($N93="","",IF(INDEX('NHẬP ĐƠN HÀNG'!$B$6:$B$505,$N93)="","",INDEX('NHẬP ĐƠN HÀNG'!$B$6:$B$505,$N93)))</f>
        <v/>
      </c>
      <c r="C93" s="16" t="str">
        <f aca="false">IF($N93="","",IF(INDEX('NHẬP ĐƠN HÀNG'!$C$6:$C$505,$N93)="","",INDEX('NHẬP ĐƠN HÀNG'!$C$6:$C$505,$N93)))</f>
        <v/>
      </c>
      <c r="D93" s="16" t="str">
        <f aca="false">IF($N93="","",IF(INDEX('NHẬP ĐƠN HÀNG'!$E$6:$E$505,$N93)="","",INDEX('NHẬP ĐƠN HÀNG'!$E$6:$E$505,$N93)))</f>
        <v/>
      </c>
      <c r="E93" s="16" t="str">
        <f aca="false">IF($N93="","",IF(INDEX('NHẬP ĐƠN HÀNG'!$F$6:$F$505,$N93)="","",INDEX('NHẬP ĐƠN HÀNG'!$F$6:$F$505,$N93)))</f>
        <v/>
      </c>
      <c r="F93" s="16" t="str">
        <f aca="false">IF($N93="","",IF(INDEX('NHẬP ĐƠN HÀNG'!$H$6:$H$505,$N93)="","",INDEX('NHẬP ĐƠN HÀNG'!$H$6:$H$505,$N93)))</f>
        <v/>
      </c>
      <c r="G93" s="10" t="str">
        <f aca="false">IF($N93="","",N(INDEX('NHẬP ĐƠN HÀNG'!$I$6:$I$505,$N93)))</f>
        <v/>
      </c>
      <c r="H93" s="10" t="str">
        <f aca="false">IF($N93="","",N(INDEX('NHẬP ĐƠN HÀNG'!$L$6:$L$505,$N93)))</f>
        <v/>
      </c>
      <c r="I93" s="11" t="str">
        <f aca="false">IF($N93="","",N(INDEX('NHẬP ĐƠN HÀNG'!$N$6:$N$505,$N93)))</f>
        <v/>
      </c>
      <c r="J93" s="10" t="str">
        <f aca="false">IF($N93="","",N(INDEX('NHẬP ĐƠN HÀNG'!$O$6:$O$505,$N93)))</f>
        <v/>
      </c>
      <c r="K93" s="10" t="str">
        <f aca="false">IF($N93="","",N(INDEX('NHẬP ĐƠN HÀNG'!$P$6:$P$505,$N93)))</f>
        <v/>
      </c>
      <c r="L93" s="10" t="str">
        <f aca="false">IF($N93="","",N(INDEX('NHẬP ĐƠN HÀNG'!$Q$6:$Q$505,$N93)))</f>
        <v/>
      </c>
      <c r="M93" s="10" t="str">
        <f aca="false">IF($N93="","",N(INDEX('NHẬP ĐƠN HÀNG'!$R$6:$R$505,$N93)))</f>
        <v/>
      </c>
      <c r="N93" s="0" t="str">
        <f aca="false">IFERROR(MATCH(88,'NHẬP ĐƠN HÀNG'!$Z$6:$Z$505,0),"")</f>
        <v/>
      </c>
    </row>
    <row r="94" customFormat="false" ht="15" hidden="false" customHeight="false" outlineLevel="0" collapsed="false">
      <c r="A94" s="16" t="str">
        <f aca="false">IF($N94="","",89)</f>
        <v/>
      </c>
      <c r="B94" s="34" t="str">
        <f aca="false">IF($N94="","",IF(INDEX('NHẬP ĐƠN HÀNG'!$B$6:$B$505,$N94)="","",INDEX('NHẬP ĐƠN HÀNG'!$B$6:$B$505,$N94)))</f>
        <v/>
      </c>
      <c r="C94" s="16" t="str">
        <f aca="false">IF($N94="","",IF(INDEX('NHẬP ĐƠN HÀNG'!$C$6:$C$505,$N94)="","",INDEX('NHẬP ĐƠN HÀNG'!$C$6:$C$505,$N94)))</f>
        <v/>
      </c>
      <c r="D94" s="16" t="str">
        <f aca="false">IF($N94="","",IF(INDEX('NHẬP ĐƠN HÀNG'!$E$6:$E$505,$N94)="","",INDEX('NHẬP ĐƠN HÀNG'!$E$6:$E$505,$N94)))</f>
        <v/>
      </c>
      <c r="E94" s="16" t="str">
        <f aca="false">IF($N94="","",IF(INDEX('NHẬP ĐƠN HÀNG'!$F$6:$F$505,$N94)="","",INDEX('NHẬP ĐƠN HÀNG'!$F$6:$F$505,$N94)))</f>
        <v/>
      </c>
      <c r="F94" s="16" t="str">
        <f aca="false">IF($N94="","",IF(INDEX('NHẬP ĐƠN HÀNG'!$H$6:$H$505,$N94)="","",INDEX('NHẬP ĐƠN HÀNG'!$H$6:$H$505,$N94)))</f>
        <v/>
      </c>
      <c r="G94" s="10" t="str">
        <f aca="false">IF($N94="","",N(INDEX('NHẬP ĐƠN HÀNG'!$I$6:$I$505,$N94)))</f>
        <v/>
      </c>
      <c r="H94" s="10" t="str">
        <f aca="false">IF($N94="","",N(INDEX('NHẬP ĐƠN HÀNG'!$L$6:$L$505,$N94)))</f>
        <v/>
      </c>
      <c r="I94" s="11" t="str">
        <f aca="false">IF($N94="","",N(INDEX('NHẬP ĐƠN HÀNG'!$N$6:$N$505,$N94)))</f>
        <v/>
      </c>
      <c r="J94" s="10" t="str">
        <f aca="false">IF($N94="","",N(INDEX('NHẬP ĐƠN HÀNG'!$O$6:$O$505,$N94)))</f>
        <v/>
      </c>
      <c r="K94" s="10" t="str">
        <f aca="false">IF($N94="","",N(INDEX('NHẬP ĐƠN HÀNG'!$P$6:$P$505,$N94)))</f>
        <v/>
      </c>
      <c r="L94" s="10" t="str">
        <f aca="false">IF($N94="","",N(INDEX('NHẬP ĐƠN HÀNG'!$Q$6:$Q$505,$N94)))</f>
        <v/>
      </c>
      <c r="M94" s="10" t="str">
        <f aca="false">IF($N94="","",N(INDEX('NHẬP ĐƠN HÀNG'!$R$6:$R$505,$N94)))</f>
        <v/>
      </c>
      <c r="N94" s="0" t="str">
        <f aca="false">IFERROR(MATCH(89,'NHẬP ĐƠN HÀNG'!$Z$6:$Z$505,0),"")</f>
        <v/>
      </c>
    </row>
    <row r="95" customFormat="false" ht="15" hidden="false" customHeight="false" outlineLevel="0" collapsed="false">
      <c r="A95" s="16" t="str">
        <f aca="false">IF($N95="","",90)</f>
        <v/>
      </c>
      <c r="B95" s="34" t="str">
        <f aca="false">IF($N95="","",IF(INDEX('NHẬP ĐƠN HÀNG'!$B$6:$B$505,$N95)="","",INDEX('NHẬP ĐƠN HÀNG'!$B$6:$B$505,$N95)))</f>
        <v/>
      </c>
      <c r="C95" s="16" t="str">
        <f aca="false">IF($N95="","",IF(INDEX('NHẬP ĐƠN HÀNG'!$C$6:$C$505,$N95)="","",INDEX('NHẬP ĐƠN HÀNG'!$C$6:$C$505,$N95)))</f>
        <v/>
      </c>
      <c r="D95" s="16" t="str">
        <f aca="false">IF($N95="","",IF(INDEX('NHẬP ĐƠN HÀNG'!$E$6:$E$505,$N95)="","",INDEX('NHẬP ĐƠN HÀNG'!$E$6:$E$505,$N95)))</f>
        <v/>
      </c>
      <c r="E95" s="16" t="str">
        <f aca="false">IF($N95="","",IF(INDEX('NHẬP ĐƠN HÀNG'!$F$6:$F$505,$N95)="","",INDEX('NHẬP ĐƠN HÀNG'!$F$6:$F$505,$N95)))</f>
        <v/>
      </c>
      <c r="F95" s="16" t="str">
        <f aca="false">IF($N95="","",IF(INDEX('NHẬP ĐƠN HÀNG'!$H$6:$H$505,$N95)="","",INDEX('NHẬP ĐƠN HÀNG'!$H$6:$H$505,$N95)))</f>
        <v/>
      </c>
      <c r="G95" s="10" t="str">
        <f aca="false">IF($N95="","",N(INDEX('NHẬP ĐƠN HÀNG'!$I$6:$I$505,$N95)))</f>
        <v/>
      </c>
      <c r="H95" s="10" t="str">
        <f aca="false">IF($N95="","",N(INDEX('NHẬP ĐƠN HÀNG'!$L$6:$L$505,$N95)))</f>
        <v/>
      </c>
      <c r="I95" s="11" t="str">
        <f aca="false">IF($N95="","",N(INDEX('NHẬP ĐƠN HÀNG'!$N$6:$N$505,$N95)))</f>
        <v/>
      </c>
      <c r="J95" s="10" t="str">
        <f aca="false">IF($N95="","",N(INDEX('NHẬP ĐƠN HÀNG'!$O$6:$O$505,$N95)))</f>
        <v/>
      </c>
      <c r="K95" s="10" t="str">
        <f aca="false">IF($N95="","",N(INDEX('NHẬP ĐƠN HÀNG'!$P$6:$P$505,$N95)))</f>
        <v/>
      </c>
      <c r="L95" s="10" t="str">
        <f aca="false">IF($N95="","",N(INDEX('NHẬP ĐƠN HÀNG'!$Q$6:$Q$505,$N95)))</f>
        <v/>
      </c>
      <c r="M95" s="10" t="str">
        <f aca="false">IF($N95="","",N(INDEX('NHẬP ĐƠN HÀNG'!$R$6:$R$505,$N95)))</f>
        <v/>
      </c>
      <c r="N95" s="0" t="str">
        <f aca="false">IFERROR(MATCH(90,'NHẬP ĐƠN HÀNG'!$Z$6:$Z$505,0),"")</f>
        <v/>
      </c>
    </row>
    <row r="96" customFormat="false" ht="15" hidden="false" customHeight="false" outlineLevel="0" collapsed="false">
      <c r="A96" s="16" t="str">
        <f aca="false">IF($N96="","",91)</f>
        <v/>
      </c>
      <c r="B96" s="34" t="str">
        <f aca="false">IF($N96="","",IF(INDEX('NHẬP ĐƠN HÀNG'!$B$6:$B$505,$N96)="","",INDEX('NHẬP ĐƠN HÀNG'!$B$6:$B$505,$N96)))</f>
        <v/>
      </c>
      <c r="C96" s="16" t="str">
        <f aca="false">IF($N96="","",IF(INDEX('NHẬP ĐƠN HÀNG'!$C$6:$C$505,$N96)="","",INDEX('NHẬP ĐƠN HÀNG'!$C$6:$C$505,$N96)))</f>
        <v/>
      </c>
      <c r="D96" s="16" t="str">
        <f aca="false">IF($N96="","",IF(INDEX('NHẬP ĐƠN HÀNG'!$E$6:$E$505,$N96)="","",INDEX('NHẬP ĐƠN HÀNG'!$E$6:$E$505,$N96)))</f>
        <v/>
      </c>
      <c r="E96" s="16" t="str">
        <f aca="false">IF($N96="","",IF(INDEX('NHẬP ĐƠN HÀNG'!$F$6:$F$505,$N96)="","",INDEX('NHẬP ĐƠN HÀNG'!$F$6:$F$505,$N96)))</f>
        <v/>
      </c>
      <c r="F96" s="16" t="str">
        <f aca="false">IF($N96="","",IF(INDEX('NHẬP ĐƠN HÀNG'!$H$6:$H$505,$N96)="","",INDEX('NHẬP ĐƠN HÀNG'!$H$6:$H$505,$N96)))</f>
        <v/>
      </c>
      <c r="G96" s="10" t="str">
        <f aca="false">IF($N96="","",N(INDEX('NHẬP ĐƠN HÀNG'!$I$6:$I$505,$N96)))</f>
        <v/>
      </c>
      <c r="H96" s="10" t="str">
        <f aca="false">IF($N96="","",N(INDEX('NHẬP ĐƠN HÀNG'!$L$6:$L$505,$N96)))</f>
        <v/>
      </c>
      <c r="I96" s="11" t="str">
        <f aca="false">IF($N96="","",N(INDEX('NHẬP ĐƠN HÀNG'!$N$6:$N$505,$N96)))</f>
        <v/>
      </c>
      <c r="J96" s="10" t="str">
        <f aca="false">IF($N96="","",N(INDEX('NHẬP ĐƠN HÀNG'!$O$6:$O$505,$N96)))</f>
        <v/>
      </c>
      <c r="K96" s="10" t="str">
        <f aca="false">IF($N96="","",N(INDEX('NHẬP ĐƠN HÀNG'!$P$6:$P$505,$N96)))</f>
        <v/>
      </c>
      <c r="L96" s="10" t="str">
        <f aca="false">IF($N96="","",N(INDEX('NHẬP ĐƠN HÀNG'!$Q$6:$Q$505,$N96)))</f>
        <v/>
      </c>
      <c r="M96" s="10" t="str">
        <f aca="false">IF($N96="","",N(INDEX('NHẬP ĐƠN HÀNG'!$R$6:$R$505,$N96)))</f>
        <v/>
      </c>
      <c r="N96" s="0" t="str">
        <f aca="false">IFERROR(MATCH(91,'NHẬP ĐƠN HÀNG'!$Z$6:$Z$505,0),"")</f>
        <v/>
      </c>
    </row>
    <row r="97" customFormat="false" ht="15" hidden="false" customHeight="false" outlineLevel="0" collapsed="false">
      <c r="A97" s="16" t="str">
        <f aca="false">IF($N97="","",92)</f>
        <v/>
      </c>
      <c r="B97" s="34" t="str">
        <f aca="false">IF($N97="","",IF(INDEX('NHẬP ĐƠN HÀNG'!$B$6:$B$505,$N97)="","",INDEX('NHẬP ĐƠN HÀNG'!$B$6:$B$505,$N97)))</f>
        <v/>
      </c>
      <c r="C97" s="16" t="str">
        <f aca="false">IF($N97="","",IF(INDEX('NHẬP ĐƠN HÀNG'!$C$6:$C$505,$N97)="","",INDEX('NHẬP ĐƠN HÀNG'!$C$6:$C$505,$N97)))</f>
        <v/>
      </c>
      <c r="D97" s="16" t="str">
        <f aca="false">IF($N97="","",IF(INDEX('NHẬP ĐƠN HÀNG'!$E$6:$E$505,$N97)="","",INDEX('NHẬP ĐƠN HÀNG'!$E$6:$E$505,$N97)))</f>
        <v/>
      </c>
      <c r="E97" s="16" t="str">
        <f aca="false">IF($N97="","",IF(INDEX('NHẬP ĐƠN HÀNG'!$F$6:$F$505,$N97)="","",INDEX('NHẬP ĐƠN HÀNG'!$F$6:$F$505,$N97)))</f>
        <v/>
      </c>
      <c r="F97" s="16" t="str">
        <f aca="false">IF($N97="","",IF(INDEX('NHẬP ĐƠN HÀNG'!$H$6:$H$505,$N97)="","",INDEX('NHẬP ĐƠN HÀNG'!$H$6:$H$505,$N97)))</f>
        <v/>
      </c>
      <c r="G97" s="10" t="str">
        <f aca="false">IF($N97="","",N(INDEX('NHẬP ĐƠN HÀNG'!$I$6:$I$505,$N97)))</f>
        <v/>
      </c>
      <c r="H97" s="10" t="str">
        <f aca="false">IF($N97="","",N(INDEX('NHẬP ĐƠN HÀNG'!$L$6:$L$505,$N97)))</f>
        <v/>
      </c>
      <c r="I97" s="11" t="str">
        <f aca="false">IF($N97="","",N(INDEX('NHẬP ĐƠN HÀNG'!$N$6:$N$505,$N97)))</f>
        <v/>
      </c>
      <c r="J97" s="10" t="str">
        <f aca="false">IF($N97="","",N(INDEX('NHẬP ĐƠN HÀNG'!$O$6:$O$505,$N97)))</f>
        <v/>
      </c>
      <c r="K97" s="10" t="str">
        <f aca="false">IF($N97="","",N(INDEX('NHẬP ĐƠN HÀNG'!$P$6:$P$505,$N97)))</f>
        <v/>
      </c>
      <c r="L97" s="10" t="str">
        <f aca="false">IF($N97="","",N(INDEX('NHẬP ĐƠN HÀNG'!$Q$6:$Q$505,$N97)))</f>
        <v/>
      </c>
      <c r="M97" s="10" t="str">
        <f aca="false">IF($N97="","",N(INDEX('NHẬP ĐƠN HÀNG'!$R$6:$R$505,$N97)))</f>
        <v/>
      </c>
      <c r="N97" s="0" t="str">
        <f aca="false">IFERROR(MATCH(92,'NHẬP ĐƠN HÀNG'!$Z$6:$Z$505,0),"")</f>
        <v/>
      </c>
    </row>
    <row r="98" customFormat="false" ht="15" hidden="false" customHeight="false" outlineLevel="0" collapsed="false">
      <c r="A98" s="16" t="str">
        <f aca="false">IF($N98="","",93)</f>
        <v/>
      </c>
      <c r="B98" s="34" t="str">
        <f aca="false">IF($N98="","",IF(INDEX('NHẬP ĐƠN HÀNG'!$B$6:$B$505,$N98)="","",INDEX('NHẬP ĐƠN HÀNG'!$B$6:$B$505,$N98)))</f>
        <v/>
      </c>
      <c r="C98" s="16" t="str">
        <f aca="false">IF($N98="","",IF(INDEX('NHẬP ĐƠN HÀNG'!$C$6:$C$505,$N98)="","",INDEX('NHẬP ĐƠN HÀNG'!$C$6:$C$505,$N98)))</f>
        <v/>
      </c>
      <c r="D98" s="16" t="str">
        <f aca="false">IF($N98="","",IF(INDEX('NHẬP ĐƠN HÀNG'!$E$6:$E$505,$N98)="","",INDEX('NHẬP ĐƠN HÀNG'!$E$6:$E$505,$N98)))</f>
        <v/>
      </c>
      <c r="E98" s="16" t="str">
        <f aca="false">IF($N98="","",IF(INDEX('NHẬP ĐƠN HÀNG'!$F$6:$F$505,$N98)="","",INDEX('NHẬP ĐƠN HÀNG'!$F$6:$F$505,$N98)))</f>
        <v/>
      </c>
      <c r="F98" s="16" t="str">
        <f aca="false">IF($N98="","",IF(INDEX('NHẬP ĐƠN HÀNG'!$H$6:$H$505,$N98)="","",INDEX('NHẬP ĐƠN HÀNG'!$H$6:$H$505,$N98)))</f>
        <v/>
      </c>
      <c r="G98" s="10" t="str">
        <f aca="false">IF($N98="","",N(INDEX('NHẬP ĐƠN HÀNG'!$I$6:$I$505,$N98)))</f>
        <v/>
      </c>
      <c r="H98" s="10" t="str">
        <f aca="false">IF($N98="","",N(INDEX('NHẬP ĐƠN HÀNG'!$L$6:$L$505,$N98)))</f>
        <v/>
      </c>
      <c r="I98" s="11" t="str">
        <f aca="false">IF($N98="","",N(INDEX('NHẬP ĐƠN HÀNG'!$N$6:$N$505,$N98)))</f>
        <v/>
      </c>
      <c r="J98" s="10" t="str">
        <f aca="false">IF($N98="","",N(INDEX('NHẬP ĐƠN HÀNG'!$O$6:$O$505,$N98)))</f>
        <v/>
      </c>
      <c r="K98" s="10" t="str">
        <f aca="false">IF($N98="","",N(INDEX('NHẬP ĐƠN HÀNG'!$P$6:$P$505,$N98)))</f>
        <v/>
      </c>
      <c r="L98" s="10" t="str">
        <f aca="false">IF($N98="","",N(INDEX('NHẬP ĐƠN HÀNG'!$Q$6:$Q$505,$N98)))</f>
        <v/>
      </c>
      <c r="M98" s="10" t="str">
        <f aca="false">IF($N98="","",N(INDEX('NHẬP ĐƠN HÀNG'!$R$6:$R$505,$N98)))</f>
        <v/>
      </c>
      <c r="N98" s="0" t="str">
        <f aca="false">IFERROR(MATCH(93,'NHẬP ĐƠN HÀNG'!$Z$6:$Z$505,0),"")</f>
        <v/>
      </c>
    </row>
    <row r="99" customFormat="false" ht="15" hidden="false" customHeight="false" outlineLevel="0" collapsed="false">
      <c r="A99" s="16" t="str">
        <f aca="false">IF($N99="","",94)</f>
        <v/>
      </c>
      <c r="B99" s="34" t="str">
        <f aca="false">IF($N99="","",IF(INDEX('NHẬP ĐƠN HÀNG'!$B$6:$B$505,$N99)="","",INDEX('NHẬP ĐƠN HÀNG'!$B$6:$B$505,$N99)))</f>
        <v/>
      </c>
      <c r="C99" s="16" t="str">
        <f aca="false">IF($N99="","",IF(INDEX('NHẬP ĐƠN HÀNG'!$C$6:$C$505,$N99)="","",INDEX('NHẬP ĐƠN HÀNG'!$C$6:$C$505,$N99)))</f>
        <v/>
      </c>
      <c r="D99" s="16" t="str">
        <f aca="false">IF($N99="","",IF(INDEX('NHẬP ĐƠN HÀNG'!$E$6:$E$505,$N99)="","",INDEX('NHẬP ĐƠN HÀNG'!$E$6:$E$505,$N99)))</f>
        <v/>
      </c>
      <c r="E99" s="16" t="str">
        <f aca="false">IF($N99="","",IF(INDEX('NHẬP ĐƠN HÀNG'!$F$6:$F$505,$N99)="","",INDEX('NHẬP ĐƠN HÀNG'!$F$6:$F$505,$N99)))</f>
        <v/>
      </c>
      <c r="F99" s="16" t="str">
        <f aca="false">IF($N99="","",IF(INDEX('NHẬP ĐƠN HÀNG'!$H$6:$H$505,$N99)="","",INDEX('NHẬP ĐƠN HÀNG'!$H$6:$H$505,$N99)))</f>
        <v/>
      </c>
      <c r="G99" s="10" t="str">
        <f aca="false">IF($N99="","",N(INDEX('NHẬP ĐƠN HÀNG'!$I$6:$I$505,$N99)))</f>
        <v/>
      </c>
      <c r="H99" s="10" t="str">
        <f aca="false">IF($N99="","",N(INDEX('NHẬP ĐƠN HÀNG'!$L$6:$L$505,$N99)))</f>
        <v/>
      </c>
      <c r="I99" s="11" t="str">
        <f aca="false">IF($N99="","",N(INDEX('NHẬP ĐƠN HÀNG'!$N$6:$N$505,$N99)))</f>
        <v/>
      </c>
      <c r="J99" s="10" t="str">
        <f aca="false">IF($N99="","",N(INDEX('NHẬP ĐƠN HÀNG'!$O$6:$O$505,$N99)))</f>
        <v/>
      </c>
      <c r="K99" s="10" t="str">
        <f aca="false">IF($N99="","",N(INDEX('NHẬP ĐƠN HÀNG'!$P$6:$P$505,$N99)))</f>
        <v/>
      </c>
      <c r="L99" s="10" t="str">
        <f aca="false">IF($N99="","",N(INDEX('NHẬP ĐƠN HÀNG'!$Q$6:$Q$505,$N99)))</f>
        <v/>
      </c>
      <c r="M99" s="10" t="str">
        <f aca="false">IF($N99="","",N(INDEX('NHẬP ĐƠN HÀNG'!$R$6:$R$505,$N99)))</f>
        <v/>
      </c>
      <c r="N99" s="0" t="str">
        <f aca="false">IFERROR(MATCH(94,'NHẬP ĐƠN HÀNG'!$Z$6:$Z$505,0),"")</f>
        <v/>
      </c>
    </row>
    <row r="100" customFormat="false" ht="15" hidden="false" customHeight="false" outlineLevel="0" collapsed="false">
      <c r="A100" s="16" t="str">
        <f aca="false">IF($N100="","",95)</f>
        <v/>
      </c>
      <c r="B100" s="34" t="str">
        <f aca="false">IF($N100="","",IF(INDEX('NHẬP ĐƠN HÀNG'!$B$6:$B$505,$N100)="","",INDEX('NHẬP ĐƠN HÀNG'!$B$6:$B$505,$N100)))</f>
        <v/>
      </c>
      <c r="C100" s="16" t="str">
        <f aca="false">IF($N100="","",IF(INDEX('NHẬP ĐƠN HÀNG'!$C$6:$C$505,$N100)="","",INDEX('NHẬP ĐƠN HÀNG'!$C$6:$C$505,$N100)))</f>
        <v/>
      </c>
      <c r="D100" s="16" t="str">
        <f aca="false">IF($N100="","",IF(INDEX('NHẬP ĐƠN HÀNG'!$E$6:$E$505,$N100)="","",INDEX('NHẬP ĐƠN HÀNG'!$E$6:$E$505,$N100)))</f>
        <v/>
      </c>
      <c r="E100" s="16" t="str">
        <f aca="false">IF($N100="","",IF(INDEX('NHẬP ĐƠN HÀNG'!$F$6:$F$505,$N100)="","",INDEX('NHẬP ĐƠN HÀNG'!$F$6:$F$505,$N100)))</f>
        <v/>
      </c>
      <c r="F100" s="16" t="str">
        <f aca="false">IF($N100="","",IF(INDEX('NHẬP ĐƠN HÀNG'!$H$6:$H$505,$N100)="","",INDEX('NHẬP ĐƠN HÀNG'!$H$6:$H$505,$N100)))</f>
        <v/>
      </c>
      <c r="G100" s="10" t="str">
        <f aca="false">IF($N100="","",N(INDEX('NHẬP ĐƠN HÀNG'!$I$6:$I$505,$N100)))</f>
        <v/>
      </c>
      <c r="H100" s="10" t="str">
        <f aca="false">IF($N100="","",N(INDEX('NHẬP ĐƠN HÀNG'!$L$6:$L$505,$N100)))</f>
        <v/>
      </c>
      <c r="I100" s="11" t="str">
        <f aca="false">IF($N100="","",N(INDEX('NHẬP ĐƠN HÀNG'!$N$6:$N$505,$N100)))</f>
        <v/>
      </c>
      <c r="J100" s="10" t="str">
        <f aca="false">IF($N100="","",N(INDEX('NHẬP ĐƠN HÀNG'!$O$6:$O$505,$N100)))</f>
        <v/>
      </c>
      <c r="K100" s="10" t="str">
        <f aca="false">IF($N100="","",N(INDEX('NHẬP ĐƠN HÀNG'!$P$6:$P$505,$N100)))</f>
        <v/>
      </c>
      <c r="L100" s="10" t="str">
        <f aca="false">IF($N100="","",N(INDEX('NHẬP ĐƠN HÀNG'!$Q$6:$Q$505,$N100)))</f>
        <v/>
      </c>
      <c r="M100" s="10" t="str">
        <f aca="false">IF($N100="","",N(INDEX('NHẬP ĐƠN HÀNG'!$R$6:$R$505,$N100)))</f>
        <v/>
      </c>
      <c r="N100" s="0" t="str">
        <f aca="false">IFERROR(MATCH(95,'NHẬP ĐƠN HÀNG'!$Z$6:$Z$505,0),"")</f>
        <v/>
      </c>
    </row>
    <row r="101" customFormat="false" ht="15" hidden="false" customHeight="false" outlineLevel="0" collapsed="false">
      <c r="A101" s="16" t="str">
        <f aca="false">IF($N101="","",96)</f>
        <v/>
      </c>
      <c r="B101" s="34" t="str">
        <f aca="false">IF($N101="","",IF(INDEX('NHẬP ĐƠN HÀNG'!$B$6:$B$505,$N101)="","",INDEX('NHẬP ĐƠN HÀNG'!$B$6:$B$505,$N101)))</f>
        <v/>
      </c>
      <c r="C101" s="16" t="str">
        <f aca="false">IF($N101="","",IF(INDEX('NHẬP ĐƠN HÀNG'!$C$6:$C$505,$N101)="","",INDEX('NHẬP ĐƠN HÀNG'!$C$6:$C$505,$N101)))</f>
        <v/>
      </c>
      <c r="D101" s="16" t="str">
        <f aca="false">IF($N101="","",IF(INDEX('NHẬP ĐƠN HÀNG'!$E$6:$E$505,$N101)="","",INDEX('NHẬP ĐƠN HÀNG'!$E$6:$E$505,$N101)))</f>
        <v/>
      </c>
      <c r="E101" s="16" t="str">
        <f aca="false">IF($N101="","",IF(INDEX('NHẬP ĐƠN HÀNG'!$F$6:$F$505,$N101)="","",INDEX('NHẬP ĐƠN HÀNG'!$F$6:$F$505,$N101)))</f>
        <v/>
      </c>
      <c r="F101" s="16" t="str">
        <f aca="false">IF($N101="","",IF(INDEX('NHẬP ĐƠN HÀNG'!$H$6:$H$505,$N101)="","",INDEX('NHẬP ĐƠN HÀNG'!$H$6:$H$505,$N101)))</f>
        <v/>
      </c>
      <c r="G101" s="10" t="str">
        <f aca="false">IF($N101="","",N(INDEX('NHẬP ĐƠN HÀNG'!$I$6:$I$505,$N101)))</f>
        <v/>
      </c>
      <c r="H101" s="10" t="str">
        <f aca="false">IF($N101="","",N(INDEX('NHẬP ĐƠN HÀNG'!$L$6:$L$505,$N101)))</f>
        <v/>
      </c>
      <c r="I101" s="11" t="str">
        <f aca="false">IF($N101="","",N(INDEX('NHẬP ĐƠN HÀNG'!$N$6:$N$505,$N101)))</f>
        <v/>
      </c>
      <c r="J101" s="10" t="str">
        <f aca="false">IF($N101="","",N(INDEX('NHẬP ĐƠN HÀNG'!$O$6:$O$505,$N101)))</f>
        <v/>
      </c>
      <c r="K101" s="10" t="str">
        <f aca="false">IF($N101="","",N(INDEX('NHẬP ĐƠN HÀNG'!$P$6:$P$505,$N101)))</f>
        <v/>
      </c>
      <c r="L101" s="10" t="str">
        <f aca="false">IF($N101="","",N(INDEX('NHẬP ĐƠN HÀNG'!$Q$6:$Q$505,$N101)))</f>
        <v/>
      </c>
      <c r="M101" s="10" t="str">
        <f aca="false">IF($N101="","",N(INDEX('NHẬP ĐƠN HÀNG'!$R$6:$R$505,$N101)))</f>
        <v/>
      </c>
      <c r="N101" s="0" t="str">
        <f aca="false">IFERROR(MATCH(96,'NHẬP ĐƠN HÀNG'!$Z$6:$Z$505,0),"")</f>
        <v/>
      </c>
    </row>
    <row r="102" customFormat="false" ht="15" hidden="false" customHeight="false" outlineLevel="0" collapsed="false">
      <c r="A102" s="16" t="str">
        <f aca="false">IF($N102="","",97)</f>
        <v/>
      </c>
      <c r="B102" s="34" t="str">
        <f aca="false">IF($N102="","",IF(INDEX('NHẬP ĐƠN HÀNG'!$B$6:$B$505,$N102)="","",INDEX('NHẬP ĐƠN HÀNG'!$B$6:$B$505,$N102)))</f>
        <v/>
      </c>
      <c r="C102" s="16" t="str">
        <f aca="false">IF($N102="","",IF(INDEX('NHẬP ĐƠN HÀNG'!$C$6:$C$505,$N102)="","",INDEX('NHẬP ĐƠN HÀNG'!$C$6:$C$505,$N102)))</f>
        <v/>
      </c>
      <c r="D102" s="16" t="str">
        <f aca="false">IF($N102="","",IF(INDEX('NHẬP ĐƠN HÀNG'!$E$6:$E$505,$N102)="","",INDEX('NHẬP ĐƠN HÀNG'!$E$6:$E$505,$N102)))</f>
        <v/>
      </c>
      <c r="E102" s="16" t="str">
        <f aca="false">IF($N102="","",IF(INDEX('NHẬP ĐƠN HÀNG'!$F$6:$F$505,$N102)="","",INDEX('NHẬP ĐƠN HÀNG'!$F$6:$F$505,$N102)))</f>
        <v/>
      </c>
      <c r="F102" s="16" t="str">
        <f aca="false">IF($N102="","",IF(INDEX('NHẬP ĐƠN HÀNG'!$H$6:$H$505,$N102)="","",INDEX('NHẬP ĐƠN HÀNG'!$H$6:$H$505,$N102)))</f>
        <v/>
      </c>
      <c r="G102" s="10" t="str">
        <f aca="false">IF($N102="","",N(INDEX('NHẬP ĐƠN HÀNG'!$I$6:$I$505,$N102)))</f>
        <v/>
      </c>
      <c r="H102" s="10" t="str">
        <f aca="false">IF($N102="","",N(INDEX('NHẬP ĐƠN HÀNG'!$L$6:$L$505,$N102)))</f>
        <v/>
      </c>
      <c r="I102" s="11" t="str">
        <f aca="false">IF($N102="","",N(INDEX('NHẬP ĐƠN HÀNG'!$N$6:$N$505,$N102)))</f>
        <v/>
      </c>
      <c r="J102" s="10" t="str">
        <f aca="false">IF($N102="","",N(INDEX('NHẬP ĐƠN HÀNG'!$O$6:$O$505,$N102)))</f>
        <v/>
      </c>
      <c r="K102" s="10" t="str">
        <f aca="false">IF($N102="","",N(INDEX('NHẬP ĐƠN HÀNG'!$P$6:$P$505,$N102)))</f>
        <v/>
      </c>
      <c r="L102" s="10" t="str">
        <f aca="false">IF($N102="","",N(INDEX('NHẬP ĐƠN HÀNG'!$Q$6:$Q$505,$N102)))</f>
        <v/>
      </c>
      <c r="M102" s="10" t="str">
        <f aca="false">IF($N102="","",N(INDEX('NHẬP ĐƠN HÀNG'!$R$6:$R$505,$N102)))</f>
        <v/>
      </c>
      <c r="N102" s="0" t="str">
        <f aca="false">IFERROR(MATCH(97,'NHẬP ĐƠN HÀNG'!$Z$6:$Z$505,0),"")</f>
        <v/>
      </c>
    </row>
    <row r="103" customFormat="false" ht="15" hidden="false" customHeight="false" outlineLevel="0" collapsed="false">
      <c r="A103" s="16" t="str">
        <f aca="false">IF($N103="","",98)</f>
        <v/>
      </c>
      <c r="B103" s="34" t="str">
        <f aca="false">IF($N103="","",IF(INDEX('NHẬP ĐƠN HÀNG'!$B$6:$B$505,$N103)="","",INDEX('NHẬP ĐƠN HÀNG'!$B$6:$B$505,$N103)))</f>
        <v/>
      </c>
      <c r="C103" s="16" t="str">
        <f aca="false">IF($N103="","",IF(INDEX('NHẬP ĐƠN HÀNG'!$C$6:$C$505,$N103)="","",INDEX('NHẬP ĐƠN HÀNG'!$C$6:$C$505,$N103)))</f>
        <v/>
      </c>
      <c r="D103" s="16" t="str">
        <f aca="false">IF($N103="","",IF(INDEX('NHẬP ĐƠN HÀNG'!$E$6:$E$505,$N103)="","",INDEX('NHẬP ĐƠN HÀNG'!$E$6:$E$505,$N103)))</f>
        <v/>
      </c>
      <c r="E103" s="16" t="str">
        <f aca="false">IF($N103="","",IF(INDEX('NHẬP ĐƠN HÀNG'!$F$6:$F$505,$N103)="","",INDEX('NHẬP ĐƠN HÀNG'!$F$6:$F$505,$N103)))</f>
        <v/>
      </c>
      <c r="F103" s="16" t="str">
        <f aca="false">IF($N103="","",IF(INDEX('NHẬP ĐƠN HÀNG'!$H$6:$H$505,$N103)="","",INDEX('NHẬP ĐƠN HÀNG'!$H$6:$H$505,$N103)))</f>
        <v/>
      </c>
      <c r="G103" s="10" t="str">
        <f aca="false">IF($N103="","",N(INDEX('NHẬP ĐƠN HÀNG'!$I$6:$I$505,$N103)))</f>
        <v/>
      </c>
      <c r="H103" s="10" t="str">
        <f aca="false">IF($N103="","",N(INDEX('NHẬP ĐƠN HÀNG'!$L$6:$L$505,$N103)))</f>
        <v/>
      </c>
      <c r="I103" s="11" t="str">
        <f aca="false">IF($N103="","",N(INDEX('NHẬP ĐƠN HÀNG'!$N$6:$N$505,$N103)))</f>
        <v/>
      </c>
      <c r="J103" s="10" t="str">
        <f aca="false">IF($N103="","",N(INDEX('NHẬP ĐƠN HÀNG'!$O$6:$O$505,$N103)))</f>
        <v/>
      </c>
      <c r="K103" s="10" t="str">
        <f aca="false">IF($N103="","",N(INDEX('NHẬP ĐƠN HÀNG'!$P$6:$P$505,$N103)))</f>
        <v/>
      </c>
      <c r="L103" s="10" t="str">
        <f aca="false">IF($N103="","",N(INDEX('NHẬP ĐƠN HÀNG'!$Q$6:$Q$505,$N103)))</f>
        <v/>
      </c>
      <c r="M103" s="10" t="str">
        <f aca="false">IF($N103="","",N(INDEX('NHẬP ĐƠN HÀNG'!$R$6:$R$505,$N103)))</f>
        <v/>
      </c>
      <c r="N103" s="0" t="str">
        <f aca="false">IFERROR(MATCH(98,'NHẬP ĐƠN HÀNG'!$Z$6:$Z$505,0),"")</f>
        <v/>
      </c>
    </row>
    <row r="104" customFormat="false" ht="15" hidden="false" customHeight="false" outlineLevel="0" collapsed="false">
      <c r="A104" s="16" t="str">
        <f aca="false">IF($N104="","",99)</f>
        <v/>
      </c>
      <c r="B104" s="34" t="str">
        <f aca="false">IF($N104="","",IF(INDEX('NHẬP ĐƠN HÀNG'!$B$6:$B$505,$N104)="","",INDEX('NHẬP ĐƠN HÀNG'!$B$6:$B$505,$N104)))</f>
        <v/>
      </c>
      <c r="C104" s="16" t="str">
        <f aca="false">IF($N104="","",IF(INDEX('NHẬP ĐƠN HÀNG'!$C$6:$C$505,$N104)="","",INDEX('NHẬP ĐƠN HÀNG'!$C$6:$C$505,$N104)))</f>
        <v/>
      </c>
      <c r="D104" s="16" t="str">
        <f aca="false">IF($N104="","",IF(INDEX('NHẬP ĐƠN HÀNG'!$E$6:$E$505,$N104)="","",INDEX('NHẬP ĐƠN HÀNG'!$E$6:$E$505,$N104)))</f>
        <v/>
      </c>
      <c r="E104" s="16" t="str">
        <f aca="false">IF($N104="","",IF(INDEX('NHẬP ĐƠN HÀNG'!$F$6:$F$505,$N104)="","",INDEX('NHẬP ĐƠN HÀNG'!$F$6:$F$505,$N104)))</f>
        <v/>
      </c>
      <c r="F104" s="16" t="str">
        <f aca="false">IF($N104="","",IF(INDEX('NHẬP ĐƠN HÀNG'!$H$6:$H$505,$N104)="","",INDEX('NHẬP ĐƠN HÀNG'!$H$6:$H$505,$N104)))</f>
        <v/>
      </c>
      <c r="G104" s="10" t="str">
        <f aca="false">IF($N104="","",N(INDEX('NHẬP ĐƠN HÀNG'!$I$6:$I$505,$N104)))</f>
        <v/>
      </c>
      <c r="H104" s="10" t="str">
        <f aca="false">IF($N104="","",N(INDEX('NHẬP ĐƠN HÀNG'!$L$6:$L$505,$N104)))</f>
        <v/>
      </c>
      <c r="I104" s="11" t="str">
        <f aca="false">IF($N104="","",N(INDEX('NHẬP ĐƠN HÀNG'!$N$6:$N$505,$N104)))</f>
        <v/>
      </c>
      <c r="J104" s="10" t="str">
        <f aca="false">IF($N104="","",N(INDEX('NHẬP ĐƠN HÀNG'!$O$6:$O$505,$N104)))</f>
        <v/>
      </c>
      <c r="K104" s="10" t="str">
        <f aca="false">IF($N104="","",N(INDEX('NHẬP ĐƠN HÀNG'!$P$6:$P$505,$N104)))</f>
        <v/>
      </c>
      <c r="L104" s="10" t="str">
        <f aca="false">IF($N104="","",N(INDEX('NHẬP ĐƠN HÀNG'!$Q$6:$Q$505,$N104)))</f>
        <v/>
      </c>
      <c r="M104" s="10" t="str">
        <f aca="false">IF($N104="","",N(INDEX('NHẬP ĐƠN HÀNG'!$R$6:$R$505,$N104)))</f>
        <v/>
      </c>
      <c r="N104" s="0" t="str">
        <f aca="false">IFERROR(MATCH(99,'NHẬP ĐƠN HÀNG'!$Z$6:$Z$505,0),"")</f>
        <v/>
      </c>
    </row>
    <row r="105" customFormat="false" ht="15" hidden="false" customHeight="false" outlineLevel="0" collapsed="false">
      <c r="A105" s="16" t="str">
        <f aca="false">IF($N105="","",100)</f>
        <v/>
      </c>
      <c r="B105" s="34" t="str">
        <f aca="false">IF($N105="","",IF(INDEX('NHẬP ĐƠN HÀNG'!$B$6:$B$505,$N105)="","",INDEX('NHẬP ĐƠN HÀNG'!$B$6:$B$505,$N105)))</f>
        <v/>
      </c>
      <c r="C105" s="16" t="str">
        <f aca="false">IF($N105="","",IF(INDEX('NHẬP ĐƠN HÀNG'!$C$6:$C$505,$N105)="","",INDEX('NHẬP ĐƠN HÀNG'!$C$6:$C$505,$N105)))</f>
        <v/>
      </c>
      <c r="D105" s="16" t="str">
        <f aca="false">IF($N105="","",IF(INDEX('NHẬP ĐƠN HÀNG'!$E$6:$E$505,$N105)="","",INDEX('NHẬP ĐƠN HÀNG'!$E$6:$E$505,$N105)))</f>
        <v/>
      </c>
      <c r="E105" s="16" t="str">
        <f aca="false">IF($N105="","",IF(INDEX('NHẬP ĐƠN HÀNG'!$F$6:$F$505,$N105)="","",INDEX('NHẬP ĐƠN HÀNG'!$F$6:$F$505,$N105)))</f>
        <v/>
      </c>
      <c r="F105" s="16" t="str">
        <f aca="false">IF($N105="","",IF(INDEX('NHẬP ĐƠN HÀNG'!$H$6:$H$505,$N105)="","",INDEX('NHẬP ĐƠN HÀNG'!$H$6:$H$505,$N105)))</f>
        <v/>
      </c>
      <c r="G105" s="10" t="str">
        <f aca="false">IF($N105="","",N(INDEX('NHẬP ĐƠN HÀNG'!$I$6:$I$505,$N105)))</f>
        <v/>
      </c>
      <c r="H105" s="10" t="str">
        <f aca="false">IF($N105="","",N(INDEX('NHẬP ĐƠN HÀNG'!$L$6:$L$505,$N105)))</f>
        <v/>
      </c>
      <c r="I105" s="11" t="str">
        <f aca="false">IF($N105="","",N(INDEX('NHẬP ĐƠN HÀNG'!$N$6:$N$505,$N105)))</f>
        <v/>
      </c>
      <c r="J105" s="10" t="str">
        <f aca="false">IF($N105="","",N(INDEX('NHẬP ĐƠN HÀNG'!$O$6:$O$505,$N105)))</f>
        <v/>
      </c>
      <c r="K105" s="10" t="str">
        <f aca="false">IF($N105="","",N(INDEX('NHẬP ĐƠN HÀNG'!$P$6:$P$505,$N105)))</f>
        <v/>
      </c>
      <c r="L105" s="10" t="str">
        <f aca="false">IF($N105="","",N(INDEX('NHẬP ĐƠN HÀNG'!$Q$6:$Q$505,$N105)))</f>
        <v/>
      </c>
      <c r="M105" s="10" t="str">
        <f aca="false">IF($N105="","",N(INDEX('NHẬP ĐƠN HÀNG'!$R$6:$R$505,$N105)))</f>
        <v/>
      </c>
      <c r="N105" s="0" t="str">
        <f aca="false">IFERROR(MATCH(100,'NHẬP ĐƠN HÀNG'!$Z$6:$Z$505,0),"")</f>
        <v/>
      </c>
    </row>
    <row r="106" customFormat="false" ht="15" hidden="false" customHeight="false" outlineLevel="0" collapsed="false">
      <c r="A106" s="16" t="str">
        <f aca="false">IF($N106="","",101)</f>
        <v/>
      </c>
      <c r="B106" s="34" t="str">
        <f aca="false">IF($N106="","",IF(INDEX('NHẬP ĐƠN HÀNG'!$B$6:$B$505,$N106)="","",INDEX('NHẬP ĐƠN HÀNG'!$B$6:$B$505,$N106)))</f>
        <v/>
      </c>
      <c r="C106" s="16" t="str">
        <f aca="false">IF($N106="","",IF(INDEX('NHẬP ĐƠN HÀNG'!$C$6:$C$505,$N106)="","",INDEX('NHẬP ĐƠN HÀNG'!$C$6:$C$505,$N106)))</f>
        <v/>
      </c>
      <c r="D106" s="16" t="str">
        <f aca="false">IF($N106="","",IF(INDEX('NHẬP ĐƠN HÀNG'!$E$6:$E$505,$N106)="","",INDEX('NHẬP ĐƠN HÀNG'!$E$6:$E$505,$N106)))</f>
        <v/>
      </c>
      <c r="E106" s="16" t="str">
        <f aca="false">IF($N106="","",IF(INDEX('NHẬP ĐƠN HÀNG'!$F$6:$F$505,$N106)="","",INDEX('NHẬP ĐƠN HÀNG'!$F$6:$F$505,$N106)))</f>
        <v/>
      </c>
      <c r="F106" s="16" t="str">
        <f aca="false">IF($N106="","",IF(INDEX('NHẬP ĐƠN HÀNG'!$H$6:$H$505,$N106)="","",INDEX('NHẬP ĐƠN HÀNG'!$H$6:$H$505,$N106)))</f>
        <v/>
      </c>
      <c r="G106" s="10" t="str">
        <f aca="false">IF($N106="","",N(INDEX('NHẬP ĐƠN HÀNG'!$I$6:$I$505,$N106)))</f>
        <v/>
      </c>
      <c r="H106" s="10" t="str">
        <f aca="false">IF($N106="","",N(INDEX('NHẬP ĐƠN HÀNG'!$L$6:$L$505,$N106)))</f>
        <v/>
      </c>
      <c r="I106" s="11" t="str">
        <f aca="false">IF($N106="","",N(INDEX('NHẬP ĐƠN HÀNG'!$N$6:$N$505,$N106)))</f>
        <v/>
      </c>
      <c r="J106" s="10" t="str">
        <f aca="false">IF($N106="","",N(INDEX('NHẬP ĐƠN HÀNG'!$O$6:$O$505,$N106)))</f>
        <v/>
      </c>
      <c r="K106" s="10" t="str">
        <f aca="false">IF($N106="","",N(INDEX('NHẬP ĐƠN HÀNG'!$P$6:$P$505,$N106)))</f>
        <v/>
      </c>
      <c r="L106" s="10" t="str">
        <f aca="false">IF($N106="","",N(INDEX('NHẬP ĐƠN HÀNG'!$Q$6:$Q$505,$N106)))</f>
        <v/>
      </c>
      <c r="M106" s="10" t="str">
        <f aca="false">IF($N106="","",N(INDEX('NHẬP ĐƠN HÀNG'!$R$6:$R$505,$N106)))</f>
        <v/>
      </c>
      <c r="N106" s="0" t="str">
        <f aca="false">IFERROR(MATCH(101,'NHẬP ĐƠN HÀNG'!$Z$6:$Z$505,0),"")</f>
        <v/>
      </c>
    </row>
    <row r="107" customFormat="false" ht="15" hidden="false" customHeight="false" outlineLevel="0" collapsed="false">
      <c r="A107" s="16" t="str">
        <f aca="false">IF($N107="","",102)</f>
        <v/>
      </c>
      <c r="B107" s="34" t="str">
        <f aca="false">IF($N107="","",IF(INDEX('NHẬP ĐƠN HÀNG'!$B$6:$B$505,$N107)="","",INDEX('NHẬP ĐƠN HÀNG'!$B$6:$B$505,$N107)))</f>
        <v/>
      </c>
      <c r="C107" s="16" t="str">
        <f aca="false">IF($N107="","",IF(INDEX('NHẬP ĐƠN HÀNG'!$C$6:$C$505,$N107)="","",INDEX('NHẬP ĐƠN HÀNG'!$C$6:$C$505,$N107)))</f>
        <v/>
      </c>
      <c r="D107" s="16" t="str">
        <f aca="false">IF($N107="","",IF(INDEX('NHẬP ĐƠN HÀNG'!$E$6:$E$505,$N107)="","",INDEX('NHẬP ĐƠN HÀNG'!$E$6:$E$505,$N107)))</f>
        <v/>
      </c>
      <c r="E107" s="16" t="str">
        <f aca="false">IF($N107="","",IF(INDEX('NHẬP ĐƠN HÀNG'!$F$6:$F$505,$N107)="","",INDEX('NHẬP ĐƠN HÀNG'!$F$6:$F$505,$N107)))</f>
        <v/>
      </c>
      <c r="F107" s="16" t="str">
        <f aca="false">IF($N107="","",IF(INDEX('NHẬP ĐƠN HÀNG'!$H$6:$H$505,$N107)="","",INDEX('NHẬP ĐƠN HÀNG'!$H$6:$H$505,$N107)))</f>
        <v/>
      </c>
      <c r="G107" s="10" t="str">
        <f aca="false">IF($N107="","",N(INDEX('NHẬP ĐƠN HÀNG'!$I$6:$I$505,$N107)))</f>
        <v/>
      </c>
      <c r="H107" s="10" t="str">
        <f aca="false">IF($N107="","",N(INDEX('NHẬP ĐƠN HÀNG'!$L$6:$L$505,$N107)))</f>
        <v/>
      </c>
      <c r="I107" s="11" t="str">
        <f aca="false">IF($N107="","",N(INDEX('NHẬP ĐƠN HÀNG'!$N$6:$N$505,$N107)))</f>
        <v/>
      </c>
      <c r="J107" s="10" t="str">
        <f aca="false">IF($N107="","",N(INDEX('NHẬP ĐƠN HÀNG'!$O$6:$O$505,$N107)))</f>
        <v/>
      </c>
      <c r="K107" s="10" t="str">
        <f aca="false">IF($N107="","",N(INDEX('NHẬP ĐƠN HÀNG'!$P$6:$P$505,$N107)))</f>
        <v/>
      </c>
      <c r="L107" s="10" t="str">
        <f aca="false">IF($N107="","",N(INDEX('NHẬP ĐƠN HÀNG'!$Q$6:$Q$505,$N107)))</f>
        <v/>
      </c>
      <c r="M107" s="10" t="str">
        <f aca="false">IF($N107="","",N(INDEX('NHẬP ĐƠN HÀNG'!$R$6:$R$505,$N107)))</f>
        <v/>
      </c>
      <c r="N107" s="0" t="str">
        <f aca="false">IFERROR(MATCH(102,'NHẬP ĐƠN HÀNG'!$Z$6:$Z$505,0),"")</f>
        <v/>
      </c>
    </row>
    <row r="108" customFormat="false" ht="15" hidden="false" customHeight="false" outlineLevel="0" collapsed="false">
      <c r="A108" s="16" t="str">
        <f aca="false">IF($N108="","",103)</f>
        <v/>
      </c>
      <c r="B108" s="34" t="str">
        <f aca="false">IF($N108="","",IF(INDEX('NHẬP ĐƠN HÀNG'!$B$6:$B$505,$N108)="","",INDEX('NHẬP ĐƠN HÀNG'!$B$6:$B$505,$N108)))</f>
        <v/>
      </c>
      <c r="C108" s="16" t="str">
        <f aca="false">IF($N108="","",IF(INDEX('NHẬP ĐƠN HÀNG'!$C$6:$C$505,$N108)="","",INDEX('NHẬP ĐƠN HÀNG'!$C$6:$C$505,$N108)))</f>
        <v/>
      </c>
      <c r="D108" s="16" t="str">
        <f aca="false">IF($N108="","",IF(INDEX('NHẬP ĐƠN HÀNG'!$E$6:$E$505,$N108)="","",INDEX('NHẬP ĐƠN HÀNG'!$E$6:$E$505,$N108)))</f>
        <v/>
      </c>
      <c r="E108" s="16" t="str">
        <f aca="false">IF($N108="","",IF(INDEX('NHẬP ĐƠN HÀNG'!$F$6:$F$505,$N108)="","",INDEX('NHẬP ĐƠN HÀNG'!$F$6:$F$505,$N108)))</f>
        <v/>
      </c>
      <c r="F108" s="16" t="str">
        <f aca="false">IF($N108="","",IF(INDEX('NHẬP ĐƠN HÀNG'!$H$6:$H$505,$N108)="","",INDEX('NHẬP ĐƠN HÀNG'!$H$6:$H$505,$N108)))</f>
        <v/>
      </c>
      <c r="G108" s="10" t="str">
        <f aca="false">IF($N108="","",N(INDEX('NHẬP ĐƠN HÀNG'!$I$6:$I$505,$N108)))</f>
        <v/>
      </c>
      <c r="H108" s="10" t="str">
        <f aca="false">IF($N108="","",N(INDEX('NHẬP ĐƠN HÀNG'!$L$6:$L$505,$N108)))</f>
        <v/>
      </c>
      <c r="I108" s="11" t="str">
        <f aca="false">IF($N108="","",N(INDEX('NHẬP ĐƠN HÀNG'!$N$6:$N$505,$N108)))</f>
        <v/>
      </c>
      <c r="J108" s="10" t="str">
        <f aca="false">IF($N108="","",N(INDEX('NHẬP ĐƠN HÀNG'!$O$6:$O$505,$N108)))</f>
        <v/>
      </c>
      <c r="K108" s="10" t="str">
        <f aca="false">IF($N108="","",N(INDEX('NHẬP ĐƠN HÀNG'!$P$6:$P$505,$N108)))</f>
        <v/>
      </c>
      <c r="L108" s="10" t="str">
        <f aca="false">IF($N108="","",N(INDEX('NHẬP ĐƠN HÀNG'!$Q$6:$Q$505,$N108)))</f>
        <v/>
      </c>
      <c r="M108" s="10" t="str">
        <f aca="false">IF($N108="","",N(INDEX('NHẬP ĐƠN HÀNG'!$R$6:$R$505,$N108)))</f>
        <v/>
      </c>
      <c r="N108" s="0" t="str">
        <f aca="false">IFERROR(MATCH(103,'NHẬP ĐƠN HÀNG'!$Z$6:$Z$505,0),"")</f>
        <v/>
      </c>
    </row>
    <row r="109" customFormat="false" ht="15" hidden="false" customHeight="false" outlineLevel="0" collapsed="false">
      <c r="A109" s="16" t="str">
        <f aca="false">IF($N109="","",104)</f>
        <v/>
      </c>
      <c r="B109" s="34" t="str">
        <f aca="false">IF($N109="","",IF(INDEX('NHẬP ĐƠN HÀNG'!$B$6:$B$505,$N109)="","",INDEX('NHẬP ĐƠN HÀNG'!$B$6:$B$505,$N109)))</f>
        <v/>
      </c>
      <c r="C109" s="16" t="str">
        <f aca="false">IF($N109="","",IF(INDEX('NHẬP ĐƠN HÀNG'!$C$6:$C$505,$N109)="","",INDEX('NHẬP ĐƠN HÀNG'!$C$6:$C$505,$N109)))</f>
        <v/>
      </c>
      <c r="D109" s="16" t="str">
        <f aca="false">IF($N109="","",IF(INDEX('NHẬP ĐƠN HÀNG'!$E$6:$E$505,$N109)="","",INDEX('NHẬP ĐƠN HÀNG'!$E$6:$E$505,$N109)))</f>
        <v/>
      </c>
      <c r="E109" s="16" t="str">
        <f aca="false">IF($N109="","",IF(INDEX('NHẬP ĐƠN HÀNG'!$F$6:$F$505,$N109)="","",INDEX('NHẬP ĐƠN HÀNG'!$F$6:$F$505,$N109)))</f>
        <v/>
      </c>
      <c r="F109" s="16" t="str">
        <f aca="false">IF($N109="","",IF(INDEX('NHẬP ĐƠN HÀNG'!$H$6:$H$505,$N109)="","",INDEX('NHẬP ĐƠN HÀNG'!$H$6:$H$505,$N109)))</f>
        <v/>
      </c>
      <c r="G109" s="10" t="str">
        <f aca="false">IF($N109="","",N(INDEX('NHẬP ĐƠN HÀNG'!$I$6:$I$505,$N109)))</f>
        <v/>
      </c>
      <c r="H109" s="10" t="str">
        <f aca="false">IF($N109="","",N(INDEX('NHẬP ĐƠN HÀNG'!$L$6:$L$505,$N109)))</f>
        <v/>
      </c>
      <c r="I109" s="11" t="str">
        <f aca="false">IF($N109="","",N(INDEX('NHẬP ĐƠN HÀNG'!$N$6:$N$505,$N109)))</f>
        <v/>
      </c>
      <c r="J109" s="10" t="str">
        <f aca="false">IF($N109="","",N(INDEX('NHẬP ĐƠN HÀNG'!$O$6:$O$505,$N109)))</f>
        <v/>
      </c>
      <c r="K109" s="10" t="str">
        <f aca="false">IF($N109="","",N(INDEX('NHẬP ĐƠN HÀNG'!$P$6:$P$505,$N109)))</f>
        <v/>
      </c>
      <c r="L109" s="10" t="str">
        <f aca="false">IF($N109="","",N(INDEX('NHẬP ĐƠN HÀNG'!$Q$6:$Q$505,$N109)))</f>
        <v/>
      </c>
      <c r="M109" s="10" t="str">
        <f aca="false">IF($N109="","",N(INDEX('NHẬP ĐƠN HÀNG'!$R$6:$R$505,$N109)))</f>
        <v/>
      </c>
      <c r="N109" s="0" t="str">
        <f aca="false">IFERROR(MATCH(104,'NHẬP ĐƠN HÀNG'!$Z$6:$Z$505,0),"")</f>
        <v/>
      </c>
    </row>
    <row r="110" customFormat="false" ht="15" hidden="false" customHeight="false" outlineLevel="0" collapsed="false">
      <c r="A110" s="16" t="str">
        <f aca="false">IF($N110="","",105)</f>
        <v/>
      </c>
      <c r="B110" s="34" t="str">
        <f aca="false">IF($N110="","",IF(INDEX('NHẬP ĐƠN HÀNG'!$B$6:$B$505,$N110)="","",INDEX('NHẬP ĐƠN HÀNG'!$B$6:$B$505,$N110)))</f>
        <v/>
      </c>
      <c r="C110" s="16" t="str">
        <f aca="false">IF($N110="","",IF(INDEX('NHẬP ĐƠN HÀNG'!$C$6:$C$505,$N110)="","",INDEX('NHẬP ĐƠN HÀNG'!$C$6:$C$505,$N110)))</f>
        <v/>
      </c>
      <c r="D110" s="16" t="str">
        <f aca="false">IF($N110="","",IF(INDEX('NHẬP ĐƠN HÀNG'!$E$6:$E$505,$N110)="","",INDEX('NHẬP ĐƠN HÀNG'!$E$6:$E$505,$N110)))</f>
        <v/>
      </c>
      <c r="E110" s="16" t="str">
        <f aca="false">IF($N110="","",IF(INDEX('NHẬP ĐƠN HÀNG'!$F$6:$F$505,$N110)="","",INDEX('NHẬP ĐƠN HÀNG'!$F$6:$F$505,$N110)))</f>
        <v/>
      </c>
      <c r="F110" s="16" t="str">
        <f aca="false">IF($N110="","",IF(INDEX('NHẬP ĐƠN HÀNG'!$H$6:$H$505,$N110)="","",INDEX('NHẬP ĐƠN HÀNG'!$H$6:$H$505,$N110)))</f>
        <v/>
      </c>
      <c r="G110" s="10" t="str">
        <f aca="false">IF($N110="","",N(INDEX('NHẬP ĐƠN HÀNG'!$I$6:$I$505,$N110)))</f>
        <v/>
      </c>
      <c r="H110" s="10" t="str">
        <f aca="false">IF($N110="","",N(INDEX('NHẬP ĐƠN HÀNG'!$L$6:$L$505,$N110)))</f>
        <v/>
      </c>
      <c r="I110" s="11" t="str">
        <f aca="false">IF($N110="","",N(INDEX('NHẬP ĐƠN HÀNG'!$N$6:$N$505,$N110)))</f>
        <v/>
      </c>
      <c r="J110" s="10" t="str">
        <f aca="false">IF($N110="","",N(INDEX('NHẬP ĐƠN HÀNG'!$O$6:$O$505,$N110)))</f>
        <v/>
      </c>
      <c r="K110" s="10" t="str">
        <f aca="false">IF($N110="","",N(INDEX('NHẬP ĐƠN HÀNG'!$P$6:$P$505,$N110)))</f>
        <v/>
      </c>
      <c r="L110" s="10" t="str">
        <f aca="false">IF($N110="","",N(INDEX('NHẬP ĐƠN HÀNG'!$Q$6:$Q$505,$N110)))</f>
        <v/>
      </c>
      <c r="M110" s="10" t="str">
        <f aca="false">IF($N110="","",N(INDEX('NHẬP ĐƠN HÀNG'!$R$6:$R$505,$N110)))</f>
        <v/>
      </c>
      <c r="N110" s="0" t="str">
        <f aca="false">IFERROR(MATCH(105,'NHẬP ĐƠN HÀNG'!$Z$6:$Z$505,0),"")</f>
        <v/>
      </c>
    </row>
    <row r="111" customFormat="false" ht="15" hidden="false" customHeight="false" outlineLevel="0" collapsed="false">
      <c r="A111" s="16" t="str">
        <f aca="false">IF($N111="","",106)</f>
        <v/>
      </c>
      <c r="B111" s="34" t="str">
        <f aca="false">IF($N111="","",IF(INDEX('NHẬP ĐƠN HÀNG'!$B$6:$B$505,$N111)="","",INDEX('NHẬP ĐƠN HÀNG'!$B$6:$B$505,$N111)))</f>
        <v/>
      </c>
      <c r="C111" s="16" t="str">
        <f aca="false">IF($N111="","",IF(INDEX('NHẬP ĐƠN HÀNG'!$C$6:$C$505,$N111)="","",INDEX('NHẬP ĐƠN HÀNG'!$C$6:$C$505,$N111)))</f>
        <v/>
      </c>
      <c r="D111" s="16" t="str">
        <f aca="false">IF($N111="","",IF(INDEX('NHẬP ĐƠN HÀNG'!$E$6:$E$505,$N111)="","",INDEX('NHẬP ĐƠN HÀNG'!$E$6:$E$505,$N111)))</f>
        <v/>
      </c>
      <c r="E111" s="16" t="str">
        <f aca="false">IF($N111="","",IF(INDEX('NHẬP ĐƠN HÀNG'!$F$6:$F$505,$N111)="","",INDEX('NHẬP ĐƠN HÀNG'!$F$6:$F$505,$N111)))</f>
        <v/>
      </c>
      <c r="F111" s="16" t="str">
        <f aca="false">IF($N111="","",IF(INDEX('NHẬP ĐƠN HÀNG'!$H$6:$H$505,$N111)="","",INDEX('NHẬP ĐƠN HÀNG'!$H$6:$H$505,$N111)))</f>
        <v/>
      </c>
      <c r="G111" s="10" t="str">
        <f aca="false">IF($N111="","",N(INDEX('NHẬP ĐƠN HÀNG'!$I$6:$I$505,$N111)))</f>
        <v/>
      </c>
      <c r="H111" s="10" t="str">
        <f aca="false">IF($N111="","",N(INDEX('NHẬP ĐƠN HÀNG'!$L$6:$L$505,$N111)))</f>
        <v/>
      </c>
      <c r="I111" s="11" t="str">
        <f aca="false">IF($N111="","",N(INDEX('NHẬP ĐƠN HÀNG'!$N$6:$N$505,$N111)))</f>
        <v/>
      </c>
      <c r="J111" s="10" t="str">
        <f aca="false">IF($N111="","",N(INDEX('NHẬP ĐƠN HÀNG'!$O$6:$O$505,$N111)))</f>
        <v/>
      </c>
      <c r="K111" s="10" t="str">
        <f aca="false">IF($N111="","",N(INDEX('NHẬP ĐƠN HÀNG'!$P$6:$P$505,$N111)))</f>
        <v/>
      </c>
      <c r="L111" s="10" t="str">
        <f aca="false">IF($N111="","",N(INDEX('NHẬP ĐƠN HÀNG'!$Q$6:$Q$505,$N111)))</f>
        <v/>
      </c>
      <c r="M111" s="10" t="str">
        <f aca="false">IF($N111="","",N(INDEX('NHẬP ĐƠN HÀNG'!$R$6:$R$505,$N111)))</f>
        <v/>
      </c>
      <c r="N111" s="0" t="str">
        <f aca="false">IFERROR(MATCH(106,'NHẬP ĐƠN HÀNG'!$Z$6:$Z$505,0),"")</f>
        <v/>
      </c>
    </row>
    <row r="112" customFormat="false" ht="15" hidden="false" customHeight="false" outlineLevel="0" collapsed="false">
      <c r="A112" s="16" t="str">
        <f aca="false">IF($N112="","",107)</f>
        <v/>
      </c>
      <c r="B112" s="34" t="str">
        <f aca="false">IF($N112="","",IF(INDEX('NHẬP ĐƠN HÀNG'!$B$6:$B$505,$N112)="","",INDEX('NHẬP ĐƠN HÀNG'!$B$6:$B$505,$N112)))</f>
        <v/>
      </c>
      <c r="C112" s="16" t="str">
        <f aca="false">IF($N112="","",IF(INDEX('NHẬP ĐƠN HÀNG'!$C$6:$C$505,$N112)="","",INDEX('NHẬP ĐƠN HÀNG'!$C$6:$C$505,$N112)))</f>
        <v/>
      </c>
      <c r="D112" s="16" t="str">
        <f aca="false">IF($N112="","",IF(INDEX('NHẬP ĐƠN HÀNG'!$E$6:$E$505,$N112)="","",INDEX('NHẬP ĐƠN HÀNG'!$E$6:$E$505,$N112)))</f>
        <v/>
      </c>
      <c r="E112" s="16" t="str">
        <f aca="false">IF($N112="","",IF(INDEX('NHẬP ĐƠN HÀNG'!$F$6:$F$505,$N112)="","",INDEX('NHẬP ĐƠN HÀNG'!$F$6:$F$505,$N112)))</f>
        <v/>
      </c>
      <c r="F112" s="16" t="str">
        <f aca="false">IF($N112="","",IF(INDEX('NHẬP ĐƠN HÀNG'!$H$6:$H$505,$N112)="","",INDEX('NHẬP ĐƠN HÀNG'!$H$6:$H$505,$N112)))</f>
        <v/>
      </c>
      <c r="G112" s="10" t="str">
        <f aca="false">IF($N112="","",N(INDEX('NHẬP ĐƠN HÀNG'!$I$6:$I$505,$N112)))</f>
        <v/>
      </c>
      <c r="H112" s="10" t="str">
        <f aca="false">IF($N112="","",N(INDEX('NHẬP ĐƠN HÀNG'!$L$6:$L$505,$N112)))</f>
        <v/>
      </c>
      <c r="I112" s="11" t="str">
        <f aca="false">IF($N112="","",N(INDEX('NHẬP ĐƠN HÀNG'!$N$6:$N$505,$N112)))</f>
        <v/>
      </c>
      <c r="J112" s="10" t="str">
        <f aca="false">IF($N112="","",N(INDEX('NHẬP ĐƠN HÀNG'!$O$6:$O$505,$N112)))</f>
        <v/>
      </c>
      <c r="K112" s="10" t="str">
        <f aca="false">IF($N112="","",N(INDEX('NHẬP ĐƠN HÀNG'!$P$6:$P$505,$N112)))</f>
        <v/>
      </c>
      <c r="L112" s="10" t="str">
        <f aca="false">IF($N112="","",N(INDEX('NHẬP ĐƠN HÀNG'!$Q$6:$Q$505,$N112)))</f>
        <v/>
      </c>
      <c r="M112" s="10" t="str">
        <f aca="false">IF($N112="","",N(INDEX('NHẬP ĐƠN HÀNG'!$R$6:$R$505,$N112)))</f>
        <v/>
      </c>
      <c r="N112" s="0" t="str">
        <f aca="false">IFERROR(MATCH(107,'NHẬP ĐƠN HÀNG'!$Z$6:$Z$505,0),"")</f>
        <v/>
      </c>
    </row>
    <row r="113" customFormat="false" ht="15" hidden="false" customHeight="false" outlineLevel="0" collapsed="false">
      <c r="A113" s="16" t="str">
        <f aca="false">IF($N113="","",108)</f>
        <v/>
      </c>
      <c r="B113" s="34" t="str">
        <f aca="false">IF($N113="","",IF(INDEX('NHẬP ĐƠN HÀNG'!$B$6:$B$505,$N113)="","",INDEX('NHẬP ĐƠN HÀNG'!$B$6:$B$505,$N113)))</f>
        <v/>
      </c>
      <c r="C113" s="16" t="str">
        <f aca="false">IF($N113="","",IF(INDEX('NHẬP ĐƠN HÀNG'!$C$6:$C$505,$N113)="","",INDEX('NHẬP ĐƠN HÀNG'!$C$6:$C$505,$N113)))</f>
        <v/>
      </c>
      <c r="D113" s="16" t="str">
        <f aca="false">IF($N113="","",IF(INDEX('NHẬP ĐƠN HÀNG'!$E$6:$E$505,$N113)="","",INDEX('NHẬP ĐƠN HÀNG'!$E$6:$E$505,$N113)))</f>
        <v/>
      </c>
      <c r="E113" s="16" t="str">
        <f aca="false">IF($N113="","",IF(INDEX('NHẬP ĐƠN HÀNG'!$F$6:$F$505,$N113)="","",INDEX('NHẬP ĐƠN HÀNG'!$F$6:$F$505,$N113)))</f>
        <v/>
      </c>
      <c r="F113" s="16" t="str">
        <f aca="false">IF($N113="","",IF(INDEX('NHẬP ĐƠN HÀNG'!$H$6:$H$505,$N113)="","",INDEX('NHẬP ĐƠN HÀNG'!$H$6:$H$505,$N113)))</f>
        <v/>
      </c>
      <c r="G113" s="10" t="str">
        <f aca="false">IF($N113="","",N(INDEX('NHẬP ĐƠN HÀNG'!$I$6:$I$505,$N113)))</f>
        <v/>
      </c>
      <c r="H113" s="10" t="str">
        <f aca="false">IF($N113="","",N(INDEX('NHẬP ĐƠN HÀNG'!$L$6:$L$505,$N113)))</f>
        <v/>
      </c>
      <c r="I113" s="11" t="str">
        <f aca="false">IF($N113="","",N(INDEX('NHẬP ĐƠN HÀNG'!$N$6:$N$505,$N113)))</f>
        <v/>
      </c>
      <c r="J113" s="10" t="str">
        <f aca="false">IF($N113="","",N(INDEX('NHẬP ĐƠN HÀNG'!$O$6:$O$505,$N113)))</f>
        <v/>
      </c>
      <c r="K113" s="10" t="str">
        <f aca="false">IF($N113="","",N(INDEX('NHẬP ĐƠN HÀNG'!$P$6:$P$505,$N113)))</f>
        <v/>
      </c>
      <c r="L113" s="10" t="str">
        <f aca="false">IF($N113="","",N(INDEX('NHẬP ĐƠN HÀNG'!$Q$6:$Q$505,$N113)))</f>
        <v/>
      </c>
      <c r="M113" s="10" t="str">
        <f aca="false">IF($N113="","",N(INDEX('NHẬP ĐƠN HÀNG'!$R$6:$R$505,$N113)))</f>
        <v/>
      </c>
      <c r="N113" s="0" t="str">
        <f aca="false">IFERROR(MATCH(108,'NHẬP ĐƠN HÀNG'!$Z$6:$Z$505,0),"")</f>
        <v/>
      </c>
    </row>
    <row r="114" customFormat="false" ht="15" hidden="false" customHeight="false" outlineLevel="0" collapsed="false">
      <c r="A114" s="16" t="str">
        <f aca="false">IF($N114="","",109)</f>
        <v/>
      </c>
      <c r="B114" s="34" t="str">
        <f aca="false">IF($N114="","",IF(INDEX('NHẬP ĐƠN HÀNG'!$B$6:$B$505,$N114)="","",INDEX('NHẬP ĐƠN HÀNG'!$B$6:$B$505,$N114)))</f>
        <v/>
      </c>
      <c r="C114" s="16" t="str">
        <f aca="false">IF($N114="","",IF(INDEX('NHẬP ĐƠN HÀNG'!$C$6:$C$505,$N114)="","",INDEX('NHẬP ĐƠN HÀNG'!$C$6:$C$505,$N114)))</f>
        <v/>
      </c>
      <c r="D114" s="16" t="str">
        <f aca="false">IF($N114="","",IF(INDEX('NHẬP ĐƠN HÀNG'!$E$6:$E$505,$N114)="","",INDEX('NHẬP ĐƠN HÀNG'!$E$6:$E$505,$N114)))</f>
        <v/>
      </c>
      <c r="E114" s="16" t="str">
        <f aca="false">IF($N114="","",IF(INDEX('NHẬP ĐƠN HÀNG'!$F$6:$F$505,$N114)="","",INDEX('NHẬP ĐƠN HÀNG'!$F$6:$F$505,$N114)))</f>
        <v/>
      </c>
      <c r="F114" s="16" t="str">
        <f aca="false">IF($N114="","",IF(INDEX('NHẬP ĐƠN HÀNG'!$H$6:$H$505,$N114)="","",INDEX('NHẬP ĐƠN HÀNG'!$H$6:$H$505,$N114)))</f>
        <v/>
      </c>
      <c r="G114" s="10" t="str">
        <f aca="false">IF($N114="","",N(INDEX('NHẬP ĐƠN HÀNG'!$I$6:$I$505,$N114)))</f>
        <v/>
      </c>
      <c r="H114" s="10" t="str">
        <f aca="false">IF($N114="","",N(INDEX('NHẬP ĐƠN HÀNG'!$L$6:$L$505,$N114)))</f>
        <v/>
      </c>
      <c r="I114" s="11" t="str">
        <f aca="false">IF($N114="","",N(INDEX('NHẬP ĐƠN HÀNG'!$N$6:$N$505,$N114)))</f>
        <v/>
      </c>
      <c r="J114" s="10" t="str">
        <f aca="false">IF($N114="","",N(INDEX('NHẬP ĐƠN HÀNG'!$O$6:$O$505,$N114)))</f>
        <v/>
      </c>
      <c r="K114" s="10" t="str">
        <f aca="false">IF($N114="","",N(INDEX('NHẬP ĐƠN HÀNG'!$P$6:$P$505,$N114)))</f>
        <v/>
      </c>
      <c r="L114" s="10" t="str">
        <f aca="false">IF($N114="","",N(INDEX('NHẬP ĐƠN HÀNG'!$Q$6:$Q$505,$N114)))</f>
        <v/>
      </c>
      <c r="M114" s="10" t="str">
        <f aca="false">IF($N114="","",N(INDEX('NHẬP ĐƠN HÀNG'!$R$6:$R$505,$N114)))</f>
        <v/>
      </c>
      <c r="N114" s="0" t="str">
        <f aca="false">IFERROR(MATCH(109,'NHẬP ĐƠN HÀNG'!$Z$6:$Z$505,0),"")</f>
        <v/>
      </c>
    </row>
    <row r="115" customFormat="false" ht="15" hidden="false" customHeight="false" outlineLevel="0" collapsed="false">
      <c r="A115" s="16" t="str">
        <f aca="false">IF($N115="","",110)</f>
        <v/>
      </c>
      <c r="B115" s="34" t="str">
        <f aca="false">IF($N115="","",IF(INDEX('NHẬP ĐƠN HÀNG'!$B$6:$B$505,$N115)="","",INDEX('NHẬP ĐƠN HÀNG'!$B$6:$B$505,$N115)))</f>
        <v/>
      </c>
      <c r="C115" s="16" t="str">
        <f aca="false">IF($N115="","",IF(INDEX('NHẬP ĐƠN HÀNG'!$C$6:$C$505,$N115)="","",INDEX('NHẬP ĐƠN HÀNG'!$C$6:$C$505,$N115)))</f>
        <v/>
      </c>
      <c r="D115" s="16" t="str">
        <f aca="false">IF($N115="","",IF(INDEX('NHẬP ĐƠN HÀNG'!$E$6:$E$505,$N115)="","",INDEX('NHẬP ĐƠN HÀNG'!$E$6:$E$505,$N115)))</f>
        <v/>
      </c>
      <c r="E115" s="16" t="str">
        <f aca="false">IF($N115="","",IF(INDEX('NHẬP ĐƠN HÀNG'!$F$6:$F$505,$N115)="","",INDEX('NHẬP ĐƠN HÀNG'!$F$6:$F$505,$N115)))</f>
        <v/>
      </c>
      <c r="F115" s="16" t="str">
        <f aca="false">IF($N115="","",IF(INDEX('NHẬP ĐƠN HÀNG'!$H$6:$H$505,$N115)="","",INDEX('NHẬP ĐƠN HÀNG'!$H$6:$H$505,$N115)))</f>
        <v/>
      </c>
      <c r="G115" s="10" t="str">
        <f aca="false">IF($N115="","",N(INDEX('NHẬP ĐƠN HÀNG'!$I$6:$I$505,$N115)))</f>
        <v/>
      </c>
      <c r="H115" s="10" t="str">
        <f aca="false">IF($N115="","",N(INDEX('NHẬP ĐƠN HÀNG'!$L$6:$L$505,$N115)))</f>
        <v/>
      </c>
      <c r="I115" s="11" t="str">
        <f aca="false">IF($N115="","",N(INDEX('NHẬP ĐƠN HÀNG'!$N$6:$N$505,$N115)))</f>
        <v/>
      </c>
      <c r="J115" s="10" t="str">
        <f aca="false">IF($N115="","",N(INDEX('NHẬP ĐƠN HÀNG'!$O$6:$O$505,$N115)))</f>
        <v/>
      </c>
      <c r="K115" s="10" t="str">
        <f aca="false">IF($N115="","",N(INDEX('NHẬP ĐƠN HÀNG'!$P$6:$P$505,$N115)))</f>
        <v/>
      </c>
      <c r="L115" s="10" t="str">
        <f aca="false">IF($N115="","",N(INDEX('NHẬP ĐƠN HÀNG'!$Q$6:$Q$505,$N115)))</f>
        <v/>
      </c>
      <c r="M115" s="10" t="str">
        <f aca="false">IF($N115="","",N(INDEX('NHẬP ĐƠN HÀNG'!$R$6:$R$505,$N115)))</f>
        <v/>
      </c>
      <c r="N115" s="0" t="str">
        <f aca="false">IFERROR(MATCH(110,'NHẬP ĐƠN HÀNG'!$Z$6:$Z$505,0),"")</f>
        <v/>
      </c>
    </row>
    <row r="116" customFormat="false" ht="15" hidden="false" customHeight="false" outlineLevel="0" collapsed="false">
      <c r="A116" s="16" t="str">
        <f aca="false">IF($N116="","",111)</f>
        <v/>
      </c>
      <c r="B116" s="34" t="str">
        <f aca="false">IF($N116="","",IF(INDEX('NHẬP ĐƠN HÀNG'!$B$6:$B$505,$N116)="","",INDEX('NHẬP ĐƠN HÀNG'!$B$6:$B$505,$N116)))</f>
        <v/>
      </c>
      <c r="C116" s="16" t="str">
        <f aca="false">IF($N116="","",IF(INDEX('NHẬP ĐƠN HÀNG'!$C$6:$C$505,$N116)="","",INDEX('NHẬP ĐƠN HÀNG'!$C$6:$C$505,$N116)))</f>
        <v/>
      </c>
      <c r="D116" s="16" t="str">
        <f aca="false">IF($N116="","",IF(INDEX('NHẬP ĐƠN HÀNG'!$E$6:$E$505,$N116)="","",INDEX('NHẬP ĐƠN HÀNG'!$E$6:$E$505,$N116)))</f>
        <v/>
      </c>
      <c r="E116" s="16" t="str">
        <f aca="false">IF($N116="","",IF(INDEX('NHẬP ĐƠN HÀNG'!$F$6:$F$505,$N116)="","",INDEX('NHẬP ĐƠN HÀNG'!$F$6:$F$505,$N116)))</f>
        <v/>
      </c>
      <c r="F116" s="16" t="str">
        <f aca="false">IF($N116="","",IF(INDEX('NHẬP ĐƠN HÀNG'!$H$6:$H$505,$N116)="","",INDEX('NHẬP ĐƠN HÀNG'!$H$6:$H$505,$N116)))</f>
        <v/>
      </c>
      <c r="G116" s="10" t="str">
        <f aca="false">IF($N116="","",N(INDEX('NHẬP ĐƠN HÀNG'!$I$6:$I$505,$N116)))</f>
        <v/>
      </c>
      <c r="H116" s="10" t="str">
        <f aca="false">IF($N116="","",N(INDEX('NHẬP ĐƠN HÀNG'!$L$6:$L$505,$N116)))</f>
        <v/>
      </c>
      <c r="I116" s="11" t="str">
        <f aca="false">IF($N116="","",N(INDEX('NHẬP ĐƠN HÀNG'!$N$6:$N$505,$N116)))</f>
        <v/>
      </c>
      <c r="J116" s="10" t="str">
        <f aca="false">IF($N116="","",N(INDEX('NHẬP ĐƠN HÀNG'!$O$6:$O$505,$N116)))</f>
        <v/>
      </c>
      <c r="K116" s="10" t="str">
        <f aca="false">IF($N116="","",N(INDEX('NHẬP ĐƠN HÀNG'!$P$6:$P$505,$N116)))</f>
        <v/>
      </c>
      <c r="L116" s="10" t="str">
        <f aca="false">IF($N116="","",N(INDEX('NHẬP ĐƠN HÀNG'!$Q$6:$Q$505,$N116)))</f>
        <v/>
      </c>
      <c r="M116" s="10" t="str">
        <f aca="false">IF($N116="","",N(INDEX('NHẬP ĐƠN HÀNG'!$R$6:$R$505,$N116)))</f>
        <v/>
      </c>
      <c r="N116" s="0" t="str">
        <f aca="false">IFERROR(MATCH(111,'NHẬP ĐƠN HÀNG'!$Z$6:$Z$505,0),"")</f>
        <v/>
      </c>
    </row>
    <row r="117" customFormat="false" ht="15" hidden="false" customHeight="false" outlineLevel="0" collapsed="false">
      <c r="A117" s="16" t="str">
        <f aca="false">IF($N117="","",112)</f>
        <v/>
      </c>
      <c r="B117" s="34" t="str">
        <f aca="false">IF($N117="","",IF(INDEX('NHẬP ĐƠN HÀNG'!$B$6:$B$505,$N117)="","",INDEX('NHẬP ĐƠN HÀNG'!$B$6:$B$505,$N117)))</f>
        <v/>
      </c>
      <c r="C117" s="16" t="str">
        <f aca="false">IF($N117="","",IF(INDEX('NHẬP ĐƠN HÀNG'!$C$6:$C$505,$N117)="","",INDEX('NHẬP ĐƠN HÀNG'!$C$6:$C$505,$N117)))</f>
        <v/>
      </c>
      <c r="D117" s="16" t="str">
        <f aca="false">IF($N117="","",IF(INDEX('NHẬP ĐƠN HÀNG'!$E$6:$E$505,$N117)="","",INDEX('NHẬP ĐƠN HÀNG'!$E$6:$E$505,$N117)))</f>
        <v/>
      </c>
      <c r="E117" s="16" t="str">
        <f aca="false">IF($N117="","",IF(INDEX('NHẬP ĐƠN HÀNG'!$F$6:$F$505,$N117)="","",INDEX('NHẬP ĐƠN HÀNG'!$F$6:$F$505,$N117)))</f>
        <v/>
      </c>
      <c r="F117" s="16" t="str">
        <f aca="false">IF($N117="","",IF(INDEX('NHẬP ĐƠN HÀNG'!$H$6:$H$505,$N117)="","",INDEX('NHẬP ĐƠN HÀNG'!$H$6:$H$505,$N117)))</f>
        <v/>
      </c>
      <c r="G117" s="10" t="str">
        <f aca="false">IF($N117="","",N(INDEX('NHẬP ĐƠN HÀNG'!$I$6:$I$505,$N117)))</f>
        <v/>
      </c>
      <c r="H117" s="10" t="str">
        <f aca="false">IF($N117="","",N(INDEX('NHẬP ĐƠN HÀNG'!$L$6:$L$505,$N117)))</f>
        <v/>
      </c>
      <c r="I117" s="11" t="str">
        <f aca="false">IF($N117="","",N(INDEX('NHẬP ĐƠN HÀNG'!$N$6:$N$505,$N117)))</f>
        <v/>
      </c>
      <c r="J117" s="10" t="str">
        <f aca="false">IF($N117="","",N(INDEX('NHẬP ĐƠN HÀNG'!$O$6:$O$505,$N117)))</f>
        <v/>
      </c>
      <c r="K117" s="10" t="str">
        <f aca="false">IF($N117="","",N(INDEX('NHẬP ĐƠN HÀNG'!$P$6:$P$505,$N117)))</f>
        <v/>
      </c>
      <c r="L117" s="10" t="str">
        <f aca="false">IF($N117="","",N(INDEX('NHẬP ĐƠN HÀNG'!$Q$6:$Q$505,$N117)))</f>
        <v/>
      </c>
      <c r="M117" s="10" t="str">
        <f aca="false">IF($N117="","",N(INDEX('NHẬP ĐƠN HÀNG'!$R$6:$R$505,$N117)))</f>
        <v/>
      </c>
      <c r="N117" s="0" t="str">
        <f aca="false">IFERROR(MATCH(112,'NHẬP ĐƠN HÀNG'!$Z$6:$Z$505,0),"")</f>
        <v/>
      </c>
    </row>
    <row r="118" customFormat="false" ht="15" hidden="false" customHeight="false" outlineLevel="0" collapsed="false">
      <c r="A118" s="16" t="str">
        <f aca="false">IF($N118="","",113)</f>
        <v/>
      </c>
      <c r="B118" s="34" t="str">
        <f aca="false">IF($N118="","",IF(INDEX('NHẬP ĐƠN HÀNG'!$B$6:$B$505,$N118)="","",INDEX('NHẬP ĐƠN HÀNG'!$B$6:$B$505,$N118)))</f>
        <v/>
      </c>
      <c r="C118" s="16" t="str">
        <f aca="false">IF($N118="","",IF(INDEX('NHẬP ĐƠN HÀNG'!$C$6:$C$505,$N118)="","",INDEX('NHẬP ĐƠN HÀNG'!$C$6:$C$505,$N118)))</f>
        <v/>
      </c>
      <c r="D118" s="16" t="str">
        <f aca="false">IF($N118="","",IF(INDEX('NHẬP ĐƠN HÀNG'!$E$6:$E$505,$N118)="","",INDEX('NHẬP ĐƠN HÀNG'!$E$6:$E$505,$N118)))</f>
        <v/>
      </c>
      <c r="E118" s="16" t="str">
        <f aca="false">IF($N118="","",IF(INDEX('NHẬP ĐƠN HÀNG'!$F$6:$F$505,$N118)="","",INDEX('NHẬP ĐƠN HÀNG'!$F$6:$F$505,$N118)))</f>
        <v/>
      </c>
      <c r="F118" s="16" t="str">
        <f aca="false">IF($N118="","",IF(INDEX('NHẬP ĐƠN HÀNG'!$H$6:$H$505,$N118)="","",INDEX('NHẬP ĐƠN HÀNG'!$H$6:$H$505,$N118)))</f>
        <v/>
      </c>
      <c r="G118" s="10" t="str">
        <f aca="false">IF($N118="","",N(INDEX('NHẬP ĐƠN HÀNG'!$I$6:$I$505,$N118)))</f>
        <v/>
      </c>
      <c r="H118" s="10" t="str">
        <f aca="false">IF($N118="","",N(INDEX('NHẬP ĐƠN HÀNG'!$L$6:$L$505,$N118)))</f>
        <v/>
      </c>
      <c r="I118" s="11" t="str">
        <f aca="false">IF($N118="","",N(INDEX('NHẬP ĐƠN HÀNG'!$N$6:$N$505,$N118)))</f>
        <v/>
      </c>
      <c r="J118" s="10" t="str">
        <f aca="false">IF($N118="","",N(INDEX('NHẬP ĐƠN HÀNG'!$O$6:$O$505,$N118)))</f>
        <v/>
      </c>
      <c r="K118" s="10" t="str">
        <f aca="false">IF($N118="","",N(INDEX('NHẬP ĐƠN HÀNG'!$P$6:$P$505,$N118)))</f>
        <v/>
      </c>
      <c r="L118" s="10" t="str">
        <f aca="false">IF($N118="","",N(INDEX('NHẬP ĐƠN HÀNG'!$Q$6:$Q$505,$N118)))</f>
        <v/>
      </c>
      <c r="M118" s="10" t="str">
        <f aca="false">IF($N118="","",N(INDEX('NHẬP ĐƠN HÀNG'!$R$6:$R$505,$N118)))</f>
        <v/>
      </c>
      <c r="N118" s="0" t="str">
        <f aca="false">IFERROR(MATCH(113,'NHẬP ĐƠN HÀNG'!$Z$6:$Z$505,0),"")</f>
        <v/>
      </c>
    </row>
    <row r="119" customFormat="false" ht="15" hidden="false" customHeight="false" outlineLevel="0" collapsed="false">
      <c r="A119" s="16" t="str">
        <f aca="false">IF($N119="","",114)</f>
        <v/>
      </c>
      <c r="B119" s="34" t="str">
        <f aca="false">IF($N119="","",IF(INDEX('NHẬP ĐƠN HÀNG'!$B$6:$B$505,$N119)="","",INDEX('NHẬP ĐƠN HÀNG'!$B$6:$B$505,$N119)))</f>
        <v/>
      </c>
      <c r="C119" s="16" t="str">
        <f aca="false">IF($N119="","",IF(INDEX('NHẬP ĐƠN HÀNG'!$C$6:$C$505,$N119)="","",INDEX('NHẬP ĐƠN HÀNG'!$C$6:$C$505,$N119)))</f>
        <v/>
      </c>
      <c r="D119" s="16" t="str">
        <f aca="false">IF($N119="","",IF(INDEX('NHẬP ĐƠN HÀNG'!$E$6:$E$505,$N119)="","",INDEX('NHẬP ĐƠN HÀNG'!$E$6:$E$505,$N119)))</f>
        <v/>
      </c>
      <c r="E119" s="16" t="str">
        <f aca="false">IF($N119="","",IF(INDEX('NHẬP ĐƠN HÀNG'!$F$6:$F$505,$N119)="","",INDEX('NHẬP ĐƠN HÀNG'!$F$6:$F$505,$N119)))</f>
        <v/>
      </c>
      <c r="F119" s="16" t="str">
        <f aca="false">IF($N119="","",IF(INDEX('NHẬP ĐƠN HÀNG'!$H$6:$H$505,$N119)="","",INDEX('NHẬP ĐƠN HÀNG'!$H$6:$H$505,$N119)))</f>
        <v/>
      </c>
      <c r="G119" s="10" t="str">
        <f aca="false">IF($N119="","",N(INDEX('NHẬP ĐƠN HÀNG'!$I$6:$I$505,$N119)))</f>
        <v/>
      </c>
      <c r="H119" s="10" t="str">
        <f aca="false">IF($N119="","",N(INDEX('NHẬP ĐƠN HÀNG'!$L$6:$L$505,$N119)))</f>
        <v/>
      </c>
      <c r="I119" s="11" t="str">
        <f aca="false">IF($N119="","",N(INDEX('NHẬP ĐƠN HÀNG'!$N$6:$N$505,$N119)))</f>
        <v/>
      </c>
      <c r="J119" s="10" t="str">
        <f aca="false">IF($N119="","",N(INDEX('NHẬP ĐƠN HÀNG'!$O$6:$O$505,$N119)))</f>
        <v/>
      </c>
      <c r="K119" s="10" t="str">
        <f aca="false">IF($N119="","",N(INDEX('NHẬP ĐƠN HÀNG'!$P$6:$P$505,$N119)))</f>
        <v/>
      </c>
      <c r="L119" s="10" t="str">
        <f aca="false">IF($N119="","",N(INDEX('NHẬP ĐƠN HÀNG'!$Q$6:$Q$505,$N119)))</f>
        <v/>
      </c>
      <c r="M119" s="10" t="str">
        <f aca="false">IF($N119="","",N(INDEX('NHẬP ĐƠN HÀNG'!$R$6:$R$505,$N119)))</f>
        <v/>
      </c>
      <c r="N119" s="0" t="str">
        <f aca="false">IFERROR(MATCH(114,'NHẬP ĐƠN HÀNG'!$Z$6:$Z$505,0),"")</f>
        <v/>
      </c>
    </row>
    <row r="120" customFormat="false" ht="15" hidden="false" customHeight="false" outlineLevel="0" collapsed="false">
      <c r="A120" s="16" t="str">
        <f aca="false">IF($N120="","",115)</f>
        <v/>
      </c>
      <c r="B120" s="34" t="str">
        <f aca="false">IF($N120="","",IF(INDEX('NHẬP ĐƠN HÀNG'!$B$6:$B$505,$N120)="","",INDEX('NHẬP ĐƠN HÀNG'!$B$6:$B$505,$N120)))</f>
        <v/>
      </c>
      <c r="C120" s="16" t="str">
        <f aca="false">IF($N120="","",IF(INDEX('NHẬP ĐƠN HÀNG'!$C$6:$C$505,$N120)="","",INDEX('NHẬP ĐƠN HÀNG'!$C$6:$C$505,$N120)))</f>
        <v/>
      </c>
      <c r="D120" s="16" t="str">
        <f aca="false">IF($N120="","",IF(INDEX('NHẬP ĐƠN HÀNG'!$E$6:$E$505,$N120)="","",INDEX('NHẬP ĐƠN HÀNG'!$E$6:$E$505,$N120)))</f>
        <v/>
      </c>
      <c r="E120" s="16" t="str">
        <f aca="false">IF($N120="","",IF(INDEX('NHẬP ĐƠN HÀNG'!$F$6:$F$505,$N120)="","",INDEX('NHẬP ĐƠN HÀNG'!$F$6:$F$505,$N120)))</f>
        <v/>
      </c>
      <c r="F120" s="16" t="str">
        <f aca="false">IF($N120="","",IF(INDEX('NHẬP ĐƠN HÀNG'!$H$6:$H$505,$N120)="","",INDEX('NHẬP ĐƠN HÀNG'!$H$6:$H$505,$N120)))</f>
        <v/>
      </c>
      <c r="G120" s="10" t="str">
        <f aca="false">IF($N120="","",N(INDEX('NHẬP ĐƠN HÀNG'!$I$6:$I$505,$N120)))</f>
        <v/>
      </c>
      <c r="H120" s="10" t="str">
        <f aca="false">IF($N120="","",N(INDEX('NHẬP ĐƠN HÀNG'!$L$6:$L$505,$N120)))</f>
        <v/>
      </c>
      <c r="I120" s="11" t="str">
        <f aca="false">IF($N120="","",N(INDEX('NHẬP ĐƠN HÀNG'!$N$6:$N$505,$N120)))</f>
        <v/>
      </c>
      <c r="J120" s="10" t="str">
        <f aca="false">IF($N120="","",N(INDEX('NHẬP ĐƠN HÀNG'!$O$6:$O$505,$N120)))</f>
        <v/>
      </c>
      <c r="K120" s="10" t="str">
        <f aca="false">IF($N120="","",N(INDEX('NHẬP ĐƠN HÀNG'!$P$6:$P$505,$N120)))</f>
        <v/>
      </c>
      <c r="L120" s="10" t="str">
        <f aca="false">IF($N120="","",N(INDEX('NHẬP ĐƠN HÀNG'!$Q$6:$Q$505,$N120)))</f>
        <v/>
      </c>
      <c r="M120" s="10" t="str">
        <f aca="false">IF($N120="","",N(INDEX('NHẬP ĐƠN HÀNG'!$R$6:$R$505,$N120)))</f>
        <v/>
      </c>
      <c r="N120" s="0" t="str">
        <f aca="false">IFERROR(MATCH(115,'NHẬP ĐƠN HÀNG'!$Z$6:$Z$505,0),"")</f>
        <v/>
      </c>
    </row>
    <row r="121" customFormat="false" ht="15" hidden="false" customHeight="false" outlineLevel="0" collapsed="false">
      <c r="A121" s="16" t="str">
        <f aca="false">IF($N121="","",116)</f>
        <v/>
      </c>
      <c r="B121" s="34" t="str">
        <f aca="false">IF($N121="","",IF(INDEX('NHẬP ĐƠN HÀNG'!$B$6:$B$505,$N121)="","",INDEX('NHẬP ĐƠN HÀNG'!$B$6:$B$505,$N121)))</f>
        <v/>
      </c>
      <c r="C121" s="16" t="str">
        <f aca="false">IF($N121="","",IF(INDEX('NHẬP ĐƠN HÀNG'!$C$6:$C$505,$N121)="","",INDEX('NHẬP ĐƠN HÀNG'!$C$6:$C$505,$N121)))</f>
        <v/>
      </c>
      <c r="D121" s="16" t="str">
        <f aca="false">IF($N121="","",IF(INDEX('NHẬP ĐƠN HÀNG'!$E$6:$E$505,$N121)="","",INDEX('NHẬP ĐƠN HÀNG'!$E$6:$E$505,$N121)))</f>
        <v/>
      </c>
      <c r="E121" s="16" t="str">
        <f aca="false">IF($N121="","",IF(INDEX('NHẬP ĐƠN HÀNG'!$F$6:$F$505,$N121)="","",INDEX('NHẬP ĐƠN HÀNG'!$F$6:$F$505,$N121)))</f>
        <v/>
      </c>
      <c r="F121" s="16" t="str">
        <f aca="false">IF($N121="","",IF(INDEX('NHẬP ĐƠN HÀNG'!$H$6:$H$505,$N121)="","",INDEX('NHẬP ĐƠN HÀNG'!$H$6:$H$505,$N121)))</f>
        <v/>
      </c>
      <c r="G121" s="10" t="str">
        <f aca="false">IF($N121="","",N(INDEX('NHẬP ĐƠN HÀNG'!$I$6:$I$505,$N121)))</f>
        <v/>
      </c>
      <c r="H121" s="10" t="str">
        <f aca="false">IF($N121="","",N(INDEX('NHẬP ĐƠN HÀNG'!$L$6:$L$505,$N121)))</f>
        <v/>
      </c>
      <c r="I121" s="11" t="str">
        <f aca="false">IF($N121="","",N(INDEX('NHẬP ĐƠN HÀNG'!$N$6:$N$505,$N121)))</f>
        <v/>
      </c>
      <c r="J121" s="10" t="str">
        <f aca="false">IF($N121="","",N(INDEX('NHẬP ĐƠN HÀNG'!$O$6:$O$505,$N121)))</f>
        <v/>
      </c>
      <c r="K121" s="10" t="str">
        <f aca="false">IF($N121="","",N(INDEX('NHẬP ĐƠN HÀNG'!$P$6:$P$505,$N121)))</f>
        <v/>
      </c>
      <c r="L121" s="10" t="str">
        <f aca="false">IF($N121="","",N(INDEX('NHẬP ĐƠN HÀNG'!$Q$6:$Q$505,$N121)))</f>
        <v/>
      </c>
      <c r="M121" s="10" t="str">
        <f aca="false">IF($N121="","",N(INDEX('NHẬP ĐƠN HÀNG'!$R$6:$R$505,$N121)))</f>
        <v/>
      </c>
      <c r="N121" s="0" t="str">
        <f aca="false">IFERROR(MATCH(116,'NHẬP ĐƠN HÀNG'!$Z$6:$Z$505,0),"")</f>
        <v/>
      </c>
    </row>
    <row r="122" customFormat="false" ht="15" hidden="false" customHeight="false" outlineLevel="0" collapsed="false">
      <c r="A122" s="16" t="str">
        <f aca="false">IF($N122="","",117)</f>
        <v/>
      </c>
      <c r="B122" s="34" t="str">
        <f aca="false">IF($N122="","",IF(INDEX('NHẬP ĐƠN HÀNG'!$B$6:$B$505,$N122)="","",INDEX('NHẬP ĐƠN HÀNG'!$B$6:$B$505,$N122)))</f>
        <v/>
      </c>
      <c r="C122" s="16" t="str">
        <f aca="false">IF($N122="","",IF(INDEX('NHẬP ĐƠN HÀNG'!$C$6:$C$505,$N122)="","",INDEX('NHẬP ĐƠN HÀNG'!$C$6:$C$505,$N122)))</f>
        <v/>
      </c>
      <c r="D122" s="16" t="str">
        <f aca="false">IF($N122="","",IF(INDEX('NHẬP ĐƠN HÀNG'!$E$6:$E$505,$N122)="","",INDEX('NHẬP ĐƠN HÀNG'!$E$6:$E$505,$N122)))</f>
        <v/>
      </c>
      <c r="E122" s="16" t="str">
        <f aca="false">IF($N122="","",IF(INDEX('NHẬP ĐƠN HÀNG'!$F$6:$F$505,$N122)="","",INDEX('NHẬP ĐƠN HÀNG'!$F$6:$F$505,$N122)))</f>
        <v/>
      </c>
      <c r="F122" s="16" t="str">
        <f aca="false">IF($N122="","",IF(INDEX('NHẬP ĐƠN HÀNG'!$H$6:$H$505,$N122)="","",INDEX('NHẬP ĐƠN HÀNG'!$H$6:$H$505,$N122)))</f>
        <v/>
      </c>
      <c r="G122" s="10" t="str">
        <f aca="false">IF($N122="","",N(INDEX('NHẬP ĐƠN HÀNG'!$I$6:$I$505,$N122)))</f>
        <v/>
      </c>
      <c r="H122" s="10" t="str">
        <f aca="false">IF($N122="","",N(INDEX('NHẬP ĐƠN HÀNG'!$L$6:$L$505,$N122)))</f>
        <v/>
      </c>
      <c r="I122" s="11" t="str">
        <f aca="false">IF($N122="","",N(INDEX('NHẬP ĐƠN HÀNG'!$N$6:$N$505,$N122)))</f>
        <v/>
      </c>
      <c r="J122" s="10" t="str">
        <f aca="false">IF($N122="","",N(INDEX('NHẬP ĐƠN HÀNG'!$O$6:$O$505,$N122)))</f>
        <v/>
      </c>
      <c r="K122" s="10" t="str">
        <f aca="false">IF($N122="","",N(INDEX('NHẬP ĐƠN HÀNG'!$P$6:$P$505,$N122)))</f>
        <v/>
      </c>
      <c r="L122" s="10" t="str">
        <f aca="false">IF($N122="","",N(INDEX('NHẬP ĐƠN HÀNG'!$Q$6:$Q$505,$N122)))</f>
        <v/>
      </c>
      <c r="M122" s="10" t="str">
        <f aca="false">IF($N122="","",N(INDEX('NHẬP ĐƠN HÀNG'!$R$6:$R$505,$N122)))</f>
        <v/>
      </c>
      <c r="N122" s="0" t="str">
        <f aca="false">IFERROR(MATCH(117,'NHẬP ĐƠN HÀNG'!$Z$6:$Z$505,0),"")</f>
        <v/>
      </c>
    </row>
    <row r="123" customFormat="false" ht="15" hidden="false" customHeight="false" outlineLevel="0" collapsed="false">
      <c r="A123" s="16" t="str">
        <f aca="false">IF($N123="","",118)</f>
        <v/>
      </c>
      <c r="B123" s="34" t="str">
        <f aca="false">IF($N123="","",IF(INDEX('NHẬP ĐƠN HÀNG'!$B$6:$B$505,$N123)="","",INDEX('NHẬP ĐƠN HÀNG'!$B$6:$B$505,$N123)))</f>
        <v/>
      </c>
      <c r="C123" s="16" t="str">
        <f aca="false">IF($N123="","",IF(INDEX('NHẬP ĐƠN HÀNG'!$C$6:$C$505,$N123)="","",INDEX('NHẬP ĐƠN HÀNG'!$C$6:$C$505,$N123)))</f>
        <v/>
      </c>
      <c r="D123" s="16" t="str">
        <f aca="false">IF($N123="","",IF(INDEX('NHẬP ĐƠN HÀNG'!$E$6:$E$505,$N123)="","",INDEX('NHẬP ĐƠN HÀNG'!$E$6:$E$505,$N123)))</f>
        <v/>
      </c>
      <c r="E123" s="16" t="str">
        <f aca="false">IF($N123="","",IF(INDEX('NHẬP ĐƠN HÀNG'!$F$6:$F$505,$N123)="","",INDEX('NHẬP ĐƠN HÀNG'!$F$6:$F$505,$N123)))</f>
        <v/>
      </c>
      <c r="F123" s="16" t="str">
        <f aca="false">IF($N123="","",IF(INDEX('NHẬP ĐƠN HÀNG'!$H$6:$H$505,$N123)="","",INDEX('NHẬP ĐƠN HÀNG'!$H$6:$H$505,$N123)))</f>
        <v/>
      </c>
      <c r="G123" s="10" t="str">
        <f aca="false">IF($N123="","",N(INDEX('NHẬP ĐƠN HÀNG'!$I$6:$I$505,$N123)))</f>
        <v/>
      </c>
      <c r="H123" s="10" t="str">
        <f aca="false">IF($N123="","",N(INDEX('NHẬP ĐƠN HÀNG'!$L$6:$L$505,$N123)))</f>
        <v/>
      </c>
      <c r="I123" s="11" t="str">
        <f aca="false">IF($N123="","",N(INDEX('NHẬP ĐƠN HÀNG'!$N$6:$N$505,$N123)))</f>
        <v/>
      </c>
      <c r="J123" s="10" t="str">
        <f aca="false">IF($N123="","",N(INDEX('NHẬP ĐƠN HÀNG'!$O$6:$O$505,$N123)))</f>
        <v/>
      </c>
      <c r="K123" s="10" t="str">
        <f aca="false">IF($N123="","",N(INDEX('NHẬP ĐƠN HÀNG'!$P$6:$P$505,$N123)))</f>
        <v/>
      </c>
      <c r="L123" s="10" t="str">
        <f aca="false">IF($N123="","",N(INDEX('NHẬP ĐƠN HÀNG'!$Q$6:$Q$505,$N123)))</f>
        <v/>
      </c>
      <c r="M123" s="10" t="str">
        <f aca="false">IF($N123="","",N(INDEX('NHẬP ĐƠN HÀNG'!$R$6:$R$505,$N123)))</f>
        <v/>
      </c>
      <c r="N123" s="0" t="str">
        <f aca="false">IFERROR(MATCH(118,'NHẬP ĐƠN HÀNG'!$Z$6:$Z$505,0),"")</f>
        <v/>
      </c>
    </row>
    <row r="124" customFormat="false" ht="15" hidden="false" customHeight="false" outlineLevel="0" collapsed="false">
      <c r="A124" s="16" t="str">
        <f aca="false">IF($N124="","",119)</f>
        <v/>
      </c>
      <c r="B124" s="34" t="str">
        <f aca="false">IF($N124="","",IF(INDEX('NHẬP ĐƠN HÀNG'!$B$6:$B$505,$N124)="","",INDEX('NHẬP ĐƠN HÀNG'!$B$6:$B$505,$N124)))</f>
        <v/>
      </c>
      <c r="C124" s="16" t="str">
        <f aca="false">IF($N124="","",IF(INDEX('NHẬP ĐƠN HÀNG'!$C$6:$C$505,$N124)="","",INDEX('NHẬP ĐƠN HÀNG'!$C$6:$C$505,$N124)))</f>
        <v/>
      </c>
      <c r="D124" s="16" t="str">
        <f aca="false">IF($N124="","",IF(INDEX('NHẬP ĐƠN HÀNG'!$E$6:$E$505,$N124)="","",INDEX('NHẬP ĐƠN HÀNG'!$E$6:$E$505,$N124)))</f>
        <v/>
      </c>
      <c r="E124" s="16" t="str">
        <f aca="false">IF($N124="","",IF(INDEX('NHẬP ĐƠN HÀNG'!$F$6:$F$505,$N124)="","",INDEX('NHẬP ĐƠN HÀNG'!$F$6:$F$505,$N124)))</f>
        <v/>
      </c>
      <c r="F124" s="16" t="str">
        <f aca="false">IF($N124="","",IF(INDEX('NHẬP ĐƠN HÀNG'!$H$6:$H$505,$N124)="","",INDEX('NHẬP ĐƠN HÀNG'!$H$6:$H$505,$N124)))</f>
        <v/>
      </c>
      <c r="G124" s="10" t="str">
        <f aca="false">IF($N124="","",N(INDEX('NHẬP ĐƠN HÀNG'!$I$6:$I$505,$N124)))</f>
        <v/>
      </c>
      <c r="H124" s="10" t="str">
        <f aca="false">IF($N124="","",N(INDEX('NHẬP ĐƠN HÀNG'!$L$6:$L$505,$N124)))</f>
        <v/>
      </c>
      <c r="I124" s="11" t="str">
        <f aca="false">IF($N124="","",N(INDEX('NHẬP ĐƠN HÀNG'!$N$6:$N$505,$N124)))</f>
        <v/>
      </c>
      <c r="J124" s="10" t="str">
        <f aca="false">IF($N124="","",N(INDEX('NHẬP ĐƠN HÀNG'!$O$6:$O$505,$N124)))</f>
        <v/>
      </c>
      <c r="K124" s="10" t="str">
        <f aca="false">IF($N124="","",N(INDEX('NHẬP ĐƠN HÀNG'!$P$6:$P$505,$N124)))</f>
        <v/>
      </c>
      <c r="L124" s="10" t="str">
        <f aca="false">IF($N124="","",N(INDEX('NHẬP ĐƠN HÀNG'!$Q$6:$Q$505,$N124)))</f>
        <v/>
      </c>
      <c r="M124" s="10" t="str">
        <f aca="false">IF($N124="","",N(INDEX('NHẬP ĐƠN HÀNG'!$R$6:$R$505,$N124)))</f>
        <v/>
      </c>
      <c r="N124" s="0" t="str">
        <f aca="false">IFERROR(MATCH(119,'NHẬP ĐƠN HÀNG'!$Z$6:$Z$505,0),"")</f>
        <v/>
      </c>
    </row>
    <row r="125" customFormat="false" ht="15" hidden="false" customHeight="false" outlineLevel="0" collapsed="false">
      <c r="A125" s="16" t="str">
        <f aca="false">IF($N125="","",120)</f>
        <v/>
      </c>
      <c r="B125" s="34" t="str">
        <f aca="false">IF($N125="","",IF(INDEX('NHẬP ĐƠN HÀNG'!$B$6:$B$505,$N125)="","",INDEX('NHẬP ĐƠN HÀNG'!$B$6:$B$505,$N125)))</f>
        <v/>
      </c>
      <c r="C125" s="16" t="str">
        <f aca="false">IF($N125="","",IF(INDEX('NHẬP ĐƠN HÀNG'!$C$6:$C$505,$N125)="","",INDEX('NHẬP ĐƠN HÀNG'!$C$6:$C$505,$N125)))</f>
        <v/>
      </c>
      <c r="D125" s="16" t="str">
        <f aca="false">IF($N125="","",IF(INDEX('NHẬP ĐƠN HÀNG'!$E$6:$E$505,$N125)="","",INDEX('NHẬP ĐƠN HÀNG'!$E$6:$E$505,$N125)))</f>
        <v/>
      </c>
      <c r="E125" s="16" t="str">
        <f aca="false">IF($N125="","",IF(INDEX('NHẬP ĐƠN HÀNG'!$F$6:$F$505,$N125)="","",INDEX('NHẬP ĐƠN HÀNG'!$F$6:$F$505,$N125)))</f>
        <v/>
      </c>
      <c r="F125" s="16" t="str">
        <f aca="false">IF($N125="","",IF(INDEX('NHẬP ĐƠN HÀNG'!$H$6:$H$505,$N125)="","",INDEX('NHẬP ĐƠN HÀNG'!$H$6:$H$505,$N125)))</f>
        <v/>
      </c>
      <c r="G125" s="10" t="str">
        <f aca="false">IF($N125="","",N(INDEX('NHẬP ĐƠN HÀNG'!$I$6:$I$505,$N125)))</f>
        <v/>
      </c>
      <c r="H125" s="10" t="str">
        <f aca="false">IF($N125="","",N(INDEX('NHẬP ĐƠN HÀNG'!$L$6:$L$505,$N125)))</f>
        <v/>
      </c>
      <c r="I125" s="11" t="str">
        <f aca="false">IF($N125="","",N(INDEX('NHẬP ĐƠN HÀNG'!$N$6:$N$505,$N125)))</f>
        <v/>
      </c>
      <c r="J125" s="10" t="str">
        <f aca="false">IF($N125="","",N(INDEX('NHẬP ĐƠN HÀNG'!$O$6:$O$505,$N125)))</f>
        <v/>
      </c>
      <c r="K125" s="10" t="str">
        <f aca="false">IF($N125="","",N(INDEX('NHẬP ĐƠN HÀNG'!$P$6:$P$505,$N125)))</f>
        <v/>
      </c>
      <c r="L125" s="10" t="str">
        <f aca="false">IF($N125="","",N(INDEX('NHẬP ĐƠN HÀNG'!$Q$6:$Q$505,$N125)))</f>
        <v/>
      </c>
      <c r="M125" s="10" t="str">
        <f aca="false">IF($N125="","",N(INDEX('NHẬP ĐƠN HÀNG'!$R$6:$R$505,$N125)))</f>
        <v/>
      </c>
      <c r="N125" s="0" t="str">
        <f aca="false">IFERROR(MATCH(120,'NHẬP ĐƠN HÀNG'!$Z$6:$Z$505,0),"")</f>
        <v/>
      </c>
    </row>
    <row r="126" customFormat="false" ht="15" hidden="false" customHeight="false" outlineLevel="0" collapsed="false">
      <c r="A126" s="16" t="str">
        <f aca="false">IF($N126="","",121)</f>
        <v/>
      </c>
      <c r="B126" s="34" t="str">
        <f aca="false">IF($N126="","",IF(INDEX('NHẬP ĐƠN HÀNG'!$B$6:$B$505,$N126)="","",INDEX('NHẬP ĐƠN HÀNG'!$B$6:$B$505,$N126)))</f>
        <v/>
      </c>
      <c r="C126" s="16" t="str">
        <f aca="false">IF($N126="","",IF(INDEX('NHẬP ĐƠN HÀNG'!$C$6:$C$505,$N126)="","",INDEX('NHẬP ĐƠN HÀNG'!$C$6:$C$505,$N126)))</f>
        <v/>
      </c>
      <c r="D126" s="16" t="str">
        <f aca="false">IF($N126="","",IF(INDEX('NHẬP ĐƠN HÀNG'!$E$6:$E$505,$N126)="","",INDEX('NHẬP ĐƠN HÀNG'!$E$6:$E$505,$N126)))</f>
        <v/>
      </c>
      <c r="E126" s="16" t="str">
        <f aca="false">IF($N126="","",IF(INDEX('NHẬP ĐƠN HÀNG'!$F$6:$F$505,$N126)="","",INDEX('NHẬP ĐƠN HÀNG'!$F$6:$F$505,$N126)))</f>
        <v/>
      </c>
      <c r="F126" s="16" t="str">
        <f aca="false">IF($N126="","",IF(INDEX('NHẬP ĐƠN HÀNG'!$H$6:$H$505,$N126)="","",INDEX('NHẬP ĐƠN HÀNG'!$H$6:$H$505,$N126)))</f>
        <v/>
      </c>
      <c r="G126" s="10" t="str">
        <f aca="false">IF($N126="","",N(INDEX('NHẬP ĐƠN HÀNG'!$I$6:$I$505,$N126)))</f>
        <v/>
      </c>
      <c r="H126" s="10" t="str">
        <f aca="false">IF($N126="","",N(INDEX('NHẬP ĐƠN HÀNG'!$L$6:$L$505,$N126)))</f>
        <v/>
      </c>
      <c r="I126" s="11" t="str">
        <f aca="false">IF($N126="","",N(INDEX('NHẬP ĐƠN HÀNG'!$N$6:$N$505,$N126)))</f>
        <v/>
      </c>
      <c r="J126" s="10" t="str">
        <f aca="false">IF($N126="","",N(INDEX('NHẬP ĐƠN HÀNG'!$O$6:$O$505,$N126)))</f>
        <v/>
      </c>
      <c r="K126" s="10" t="str">
        <f aca="false">IF($N126="","",N(INDEX('NHẬP ĐƠN HÀNG'!$P$6:$P$505,$N126)))</f>
        <v/>
      </c>
      <c r="L126" s="10" t="str">
        <f aca="false">IF($N126="","",N(INDEX('NHẬP ĐƠN HÀNG'!$Q$6:$Q$505,$N126)))</f>
        <v/>
      </c>
      <c r="M126" s="10" t="str">
        <f aca="false">IF($N126="","",N(INDEX('NHẬP ĐƠN HÀNG'!$R$6:$R$505,$N126)))</f>
        <v/>
      </c>
      <c r="N126" s="0" t="str">
        <f aca="false">IFERROR(MATCH(121,'NHẬP ĐƠN HÀNG'!$Z$6:$Z$505,0),"")</f>
        <v/>
      </c>
    </row>
    <row r="127" customFormat="false" ht="15" hidden="false" customHeight="false" outlineLevel="0" collapsed="false">
      <c r="A127" s="16" t="str">
        <f aca="false">IF($N127="","",122)</f>
        <v/>
      </c>
      <c r="B127" s="34" t="str">
        <f aca="false">IF($N127="","",IF(INDEX('NHẬP ĐƠN HÀNG'!$B$6:$B$505,$N127)="","",INDEX('NHẬP ĐƠN HÀNG'!$B$6:$B$505,$N127)))</f>
        <v/>
      </c>
      <c r="C127" s="16" t="str">
        <f aca="false">IF($N127="","",IF(INDEX('NHẬP ĐƠN HÀNG'!$C$6:$C$505,$N127)="","",INDEX('NHẬP ĐƠN HÀNG'!$C$6:$C$505,$N127)))</f>
        <v/>
      </c>
      <c r="D127" s="16" t="str">
        <f aca="false">IF($N127="","",IF(INDEX('NHẬP ĐƠN HÀNG'!$E$6:$E$505,$N127)="","",INDEX('NHẬP ĐƠN HÀNG'!$E$6:$E$505,$N127)))</f>
        <v/>
      </c>
      <c r="E127" s="16" t="str">
        <f aca="false">IF($N127="","",IF(INDEX('NHẬP ĐƠN HÀNG'!$F$6:$F$505,$N127)="","",INDEX('NHẬP ĐƠN HÀNG'!$F$6:$F$505,$N127)))</f>
        <v/>
      </c>
      <c r="F127" s="16" t="str">
        <f aca="false">IF($N127="","",IF(INDEX('NHẬP ĐƠN HÀNG'!$H$6:$H$505,$N127)="","",INDEX('NHẬP ĐƠN HÀNG'!$H$6:$H$505,$N127)))</f>
        <v/>
      </c>
      <c r="G127" s="10" t="str">
        <f aca="false">IF($N127="","",N(INDEX('NHẬP ĐƠN HÀNG'!$I$6:$I$505,$N127)))</f>
        <v/>
      </c>
      <c r="H127" s="10" t="str">
        <f aca="false">IF($N127="","",N(INDEX('NHẬP ĐƠN HÀNG'!$L$6:$L$505,$N127)))</f>
        <v/>
      </c>
      <c r="I127" s="11" t="str">
        <f aca="false">IF($N127="","",N(INDEX('NHẬP ĐƠN HÀNG'!$N$6:$N$505,$N127)))</f>
        <v/>
      </c>
      <c r="J127" s="10" t="str">
        <f aca="false">IF($N127="","",N(INDEX('NHẬP ĐƠN HÀNG'!$O$6:$O$505,$N127)))</f>
        <v/>
      </c>
      <c r="K127" s="10" t="str">
        <f aca="false">IF($N127="","",N(INDEX('NHẬP ĐƠN HÀNG'!$P$6:$P$505,$N127)))</f>
        <v/>
      </c>
      <c r="L127" s="10" t="str">
        <f aca="false">IF($N127="","",N(INDEX('NHẬP ĐƠN HÀNG'!$Q$6:$Q$505,$N127)))</f>
        <v/>
      </c>
      <c r="M127" s="10" t="str">
        <f aca="false">IF($N127="","",N(INDEX('NHẬP ĐƠN HÀNG'!$R$6:$R$505,$N127)))</f>
        <v/>
      </c>
      <c r="N127" s="0" t="str">
        <f aca="false">IFERROR(MATCH(122,'NHẬP ĐƠN HÀNG'!$Z$6:$Z$505,0),"")</f>
        <v/>
      </c>
    </row>
    <row r="128" customFormat="false" ht="15" hidden="false" customHeight="false" outlineLevel="0" collapsed="false">
      <c r="A128" s="16" t="str">
        <f aca="false">IF($N128="","",123)</f>
        <v/>
      </c>
      <c r="B128" s="34" t="str">
        <f aca="false">IF($N128="","",IF(INDEX('NHẬP ĐƠN HÀNG'!$B$6:$B$505,$N128)="","",INDEX('NHẬP ĐƠN HÀNG'!$B$6:$B$505,$N128)))</f>
        <v/>
      </c>
      <c r="C128" s="16" t="str">
        <f aca="false">IF($N128="","",IF(INDEX('NHẬP ĐƠN HÀNG'!$C$6:$C$505,$N128)="","",INDEX('NHẬP ĐƠN HÀNG'!$C$6:$C$505,$N128)))</f>
        <v/>
      </c>
      <c r="D128" s="16" t="str">
        <f aca="false">IF($N128="","",IF(INDEX('NHẬP ĐƠN HÀNG'!$E$6:$E$505,$N128)="","",INDEX('NHẬP ĐƠN HÀNG'!$E$6:$E$505,$N128)))</f>
        <v/>
      </c>
      <c r="E128" s="16" t="str">
        <f aca="false">IF($N128="","",IF(INDEX('NHẬP ĐƠN HÀNG'!$F$6:$F$505,$N128)="","",INDEX('NHẬP ĐƠN HÀNG'!$F$6:$F$505,$N128)))</f>
        <v/>
      </c>
      <c r="F128" s="16" t="str">
        <f aca="false">IF($N128="","",IF(INDEX('NHẬP ĐƠN HÀNG'!$H$6:$H$505,$N128)="","",INDEX('NHẬP ĐƠN HÀNG'!$H$6:$H$505,$N128)))</f>
        <v/>
      </c>
      <c r="G128" s="10" t="str">
        <f aca="false">IF($N128="","",N(INDEX('NHẬP ĐƠN HÀNG'!$I$6:$I$505,$N128)))</f>
        <v/>
      </c>
      <c r="H128" s="10" t="str">
        <f aca="false">IF($N128="","",N(INDEX('NHẬP ĐƠN HÀNG'!$L$6:$L$505,$N128)))</f>
        <v/>
      </c>
      <c r="I128" s="11" t="str">
        <f aca="false">IF($N128="","",N(INDEX('NHẬP ĐƠN HÀNG'!$N$6:$N$505,$N128)))</f>
        <v/>
      </c>
      <c r="J128" s="10" t="str">
        <f aca="false">IF($N128="","",N(INDEX('NHẬP ĐƠN HÀNG'!$O$6:$O$505,$N128)))</f>
        <v/>
      </c>
      <c r="K128" s="10" t="str">
        <f aca="false">IF($N128="","",N(INDEX('NHẬP ĐƠN HÀNG'!$P$6:$P$505,$N128)))</f>
        <v/>
      </c>
      <c r="L128" s="10" t="str">
        <f aca="false">IF($N128="","",N(INDEX('NHẬP ĐƠN HÀNG'!$Q$6:$Q$505,$N128)))</f>
        <v/>
      </c>
      <c r="M128" s="10" t="str">
        <f aca="false">IF($N128="","",N(INDEX('NHẬP ĐƠN HÀNG'!$R$6:$R$505,$N128)))</f>
        <v/>
      </c>
      <c r="N128" s="0" t="str">
        <f aca="false">IFERROR(MATCH(123,'NHẬP ĐƠN HÀNG'!$Z$6:$Z$505,0),"")</f>
        <v/>
      </c>
    </row>
    <row r="129" customFormat="false" ht="15" hidden="false" customHeight="false" outlineLevel="0" collapsed="false">
      <c r="A129" s="16" t="str">
        <f aca="false">IF($N129="","",124)</f>
        <v/>
      </c>
      <c r="B129" s="34" t="str">
        <f aca="false">IF($N129="","",IF(INDEX('NHẬP ĐƠN HÀNG'!$B$6:$B$505,$N129)="","",INDEX('NHẬP ĐƠN HÀNG'!$B$6:$B$505,$N129)))</f>
        <v/>
      </c>
      <c r="C129" s="16" t="str">
        <f aca="false">IF($N129="","",IF(INDEX('NHẬP ĐƠN HÀNG'!$C$6:$C$505,$N129)="","",INDEX('NHẬP ĐƠN HÀNG'!$C$6:$C$505,$N129)))</f>
        <v/>
      </c>
      <c r="D129" s="16" t="str">
        <f aca="false">IF($N129="","",IF(INDEX('NHẬP ĐƠN HÀNG'!$E$6:$E$505,$N129)="","",INDEX('NHẬP ĐƠN HÀNG'!$E$6:$E$505,$N129)))</f>
        <v/>
      </c>
      <c r="E129" s="16" t="str">
        <f aca="false">IF($N129="","",IF(INDEX('NHẬP ĐƠN HÀNG'!$F$6:$F$505,$N129)="","",INDEX('NHẬP ĐƠN HÀNG'!$F$6:$F$505,$N129)))</f>
        <v/>
      </c>
      <c r="F129" s="16" t="str">
        <f aca="false">IF($N129="","",IF(INDEX('NHẬP ĐƠN HÀNG'!$H$6:$H$505,$N129)="","",INDEX('NHẬP ĐƠN HÀNG'!$H$6:$H$505,$N129)))</f>
        <v/>
      </c>
      <c r="G129" s="10" t="str">
        <f aca="false">IF($N129="","",N(INDEX('NHẬP ĐƠN HÀNG'!$I$6:$I$505,$N129)))</f>
        <v/>
      </c>
      <c r="H129" s="10" t="str">
        <f aca="false">IF($N129="","",N(INDEX('NHẬP ĐƠN HÀNG'!$L$6:$L$505,$N129)))</f>
        <v/>
      </c>
      <c r="I129" s="11" t="str">
        <f aca="false">IF($N129="","",N(INDEX('NHẬP ĐƠN HÀNG'!$N$6:$N$505,$N129)))</f>
        <v/>
      </c>
      <c r="J129" s="10" t="str">
        <f aca="false">IF($N129="","",N(INDEX('NHẬP ĐƠN HÀNG'!$O$6:$O$505,$N129)))</f>
        <v/>
      </c>
      <c r="K129" s="10" t="str">
        <f aca="false">IF($N129="","",N(INDEX('NHẬP ĐƠN HÀNG'!$P$6:$P$505,$N129)))</f>
        <v/>
      </c>
      <c r="L129" s="10" t="str">
        <f aca="false">IF($N129="","",N(INDEX('NHẬP ĐƠN HÀNG'!$Q$6:$Q$505,$N129)))</f>
        <v/>
      </c>
      <c r="M129" s="10" t="str">
        <f aca="false">IF($N129="","",N(INDEX('NHẬP ĐƠN HÀNG'!$R$6:$R$505,$N129)))</f>
        <v/>
      </c>
      <c r="N129" s="0" t="str">
        <f aca="false">IFERROR(MATCH(124,'NHẬP ĐƠN HÀNG'!$Z$6:$Z$505,0),"")</f>
        <v/>
      </c>
    </row>
    <row r="130" customFormat="false" ht="15" hidden="false" customHeight="false" outlineLevel="0" collapsed="false">
      <c r="A130" s="16" t="str">
        <f aca="false">IF($N130="","",125)</f>
        <v/>
      </c>
      <c r="B130" s="34" t="str">
        <f aca="false">IF($N130="","",IF(INDEX('NHẬP ĐƠN HÀNG'!$B$6:$B$505,$N130)="","",INDEX('NHẬP ĐƠN HÀNG'!$B$6:$B$505,$N130)))</f>
        <v/>
      </c>
      <c r="C130" s="16" t="str">
        <f aca="false">IF($N130="","",IF(INDEX('NHẬP ĐƠN HÀNG'!$C$6:$C$505,$N130)="","",INDEX('NHẬP ĐƠN HÀNG'!$C$6:$C$505,$N130)))</f>
        <v/>
      </c>
      <c r="D130" s="16" t="str">
        <f aca="false">IF($N130="","",IF(INDEX('NHẬP ĐƠN HÀNG'!$E$6:$E$505,$N130)="","",INDEX('NHẬP ĐƠN HÀNG'!$E$6:$E$505,$N130)))</f>
        <v/>
      </c>
      <c r="E130" s="16" t="str">
        <f aca="false">IF($N130="","",IF(INDEX('NHẬP ĐƠN HÀNG'!$F$6:$F$505,$N130)="","",INDEX('NHẬP ĐƠN HÀNG'!$F$6:$F$505,$N130)))</f>
        <v/>
      </c>
      <c r="F130" s="16" t="str">
        <f aca="false">IF($N130="","",IF(INDEX('NHẬP ĐƠN HÀNG'!$H$6:$H$505,$N130)="","",INDEX('NHẬP ĐƠN HÀNG'!$H$6:$H$505,$N130)))</f>
        <v/>
      </c>
      <c r="G130" s="10" t="str">
        <f aca="false">IF($N130="","",N(INDEX('NHẬP ĐƠN HÀNG'!$I$6:$I$505,$N130)))</f>
        <v/>
      </c>
      <c r="H130" s="10" t="str">
        <f aca="false">IF($N130="","",N(INDEX('NHẬP ĐƠN HÀNG'!$L$6:$L$505,$N130)))</f>
        <v/>
      </c>
      <c r="I130" s="11" t="str">
        <f aca="false">IF($N130="","",N(INDEX('NHẬP ĐƠN HÀNG'!$N$6:$N$505,$N130)))</f>
        <v/>
      </c>
      <c r="J130" s="10" t="str">
        <f aca="false">IF($N130="","",N(INDEX('NHẬP ĐƠN HÀNG'!$O$6:$O$505,$N130)))</f>
        <v/>
      </c>
      <c r="K130" s="10" t="str">
        <f aca="false">IF($N130="","",N(INDEX('NHẬP ĐƠN HÀNG'!$P$6:$P$505,$N130)))</f>
        <v/>
      </c>
      <c r="L130" s="10" t="str">
        <f aca="false">IF($N130="","",N(INDEX('NHẬP ĐƠN HÀNG'!$Q$6:$Q$505,$N130)))</f>
        <v/>
      </c>
      <c r="M130" s="10" t="str">
        <f aca="false">IF($N130="","",N(INDEX('NHẬP ĐƠN HÀNG'!$R$6:$R$505,$N130)))</f>
        <v/>
      </c>
      <c r="N130" s="0" t="str">
        <f aca="false">IFERROR(MATCH(125,'NHẬP ĐƠN HÀNG'!$Z$6:$Z$505,0),"")</f>
        <v/>
      </c>
    </row>
    <row r="131" customFormat="false" ht="15" hidden="false" customHeight="false" outlineLevel="0" collapsed="false">
      <c r="A131" s="16" t="str">
        <f aca="false">IF($N131="","",126)</f>
        <v/>
      </c>
      <c r="B131" s="34" t="str">
        <f aca="false">IF($N131="","",IF(INDEX('NHẬP ĐƠN HÀNG'!$B$6:$B$505,$N131)="","",INDEX('NHẬP ĐƠN HÀNG'!$B$6:$B$505,$N131)))</f>
        <v/>
      </c>
      <c r="C131" s="16" t="str">
        <f aca="false">IF($N131="","",IF(INDEX('NHẬP ĐƠN HÀNG'!$C$6:$C$505,$N131)="","",INDEX('NHẬP ĐƠN HÀNG'!$C$6:$C$505,$N131)))</f>
        <v/>
      </c>
      <c r="D131" s="16" t="str">
        <f aca="false">IF($N131="","",IF(INDEX('NHẬP ĐƠN HÀNG'!$E$6:$E$505,$N131)="","",INDEX('NHẬP ĐƠN HÀNG'!$E$6:$E$505,$N131)))</f>
        <v/>
      </c>
      <c r="E131" s="16" t="str">
        <f aca="false">IF($N131="","",IF(INDEX('NHẬP ĐƠN HÀNG'!$F$6:$F$505,$N131)="","",INDEX('NHẬP ĐƠN HÀNG'!$F$6:$F$505,$N131)))</f>
        <v/>
      </c>
      <c r="F131" s="16" t="str">
        <f aca="false">IF($N131="","",IF(INDEX('NHẬP ĐƠN HÀNG'!$H$6:$H$505,$N131)="","",INDEX('NHẬP ĐƠN HÀNG'!$H$6:$H$505,$N131)))</f>
        <v/>
      </c>
      <c r="G131" s="10" t="str">
        <f aca="false">IF($N131="","",N(INDEX('NHẬP ĐƠN HÀNG'!$I$6:$I$505,$N131)))</f>
        <v/>
      </c>
      <c r="H131" s="10" t="str">
        <f aca="false">IF($N131="","",N(INDEX('NHẬP ĐƠN HÀNG'!$L$6:$L$505,$N131)))</f>
        <v/>
      </c>
      <c r="I131" s="11" t="str">
        <f aca="false">IF($N131="","",N(INDEX('NHẬP ĐƠN HÀNG'!$N$6:$N$505,$N131)))</f>
        <v/>
      </c>
      <c r="J131" s="10" t="str">
        <f aca="false">IF($N131="","",N(INDEX('NHẬP ĐƠN HÀNG'!$O$6:$O$505,$N131)))</f>
        <v/>
      </c>
      <c r="K131" s="10" t="str">
        <f aca="false">IF($N131="","",N(INDEX('NHẬP ĐƠN HÀNG'!$P$6:$P$505,$N131)))</f>
        <v/>
      </c>
      <c r="L131" s="10" t="str">
        <f aca="false">IF($N131="","",N(INDEX('NHẬP ĐƠN HÀNG'!$Q$6:$Q$505,$N131)))</f>
        <v/>
      </c>
      <c r="M131" s="10" t="str">
        <f aca="false">IF($N131="","",N(INDEX('NHẬP ĐƠN HÀNG'!$R$6:$R$505,$N131)))</f>
        <v/>
      </c>
      <c r="N131" s="0" t="str">
        <f aca="false">IFERROR(MATCH(126,'NHẬP ĐƠN HÀNG'!$Z$6:$Z$505,0),"")</f>
        <v/>
      </c>
    </row>
    <row r="132" customFormat="false" ht="15" hidden="false" customHeight="false" outlineLevel="0" collapsed="false">
      <c r="A132" s="16" t="str">
        <f aca="false">IF($N132="","",127)</f>
        <v/>
      </c>
      <c r="B132" s="34" t="str">
        <f aca="false">IF($N132="","",IF(INDEX('NHẬP ĐƠN HÀNG'!$B$6:$B$505,$N132)="","",INDEX('NHẬP ĐƠN HÀNG'!$B$6:$B$505,$N132)))</f>
        <v/>
      </c>
      <c r="C132" s="16" t="str">
        <f aca="false">IF($N132="","",IF(INDEX('NHẬP ĐƠN HÀNG'!$C$6:$C$505,$N132)="","",INDEX('NHẬP ĐƠN HÀNG'!$C$6:$C$505,$N132)))</f>
        <v/>
      </c>
      <c r="D132" s="16" t="str">
        <f aca="false">IF($N132="","",IF(INDEX('NHẬP ĐƠN HÀNG'!$E$6:$E$505,$N132)="","",INDEX('NHẬP ĐƠN HÀNG'!$E$6:$E$505,$N132)))</f>
        <v/>
      </c>
      <c r="E132" s="16" t="str">
        <f aca="false">IF($N132="","",IF(INDEX('NHẬP ĐƠN HÀNG'!$F$6:$F$505,$N132)="","",INDEX('NHẬP ĐƠN HÀNG'!$F$6:$F$505,$N132)))</f>
        <v/>
      </c>
      <c r="F132" s="16" t="str">
        <f aca="false">IF($N132="","",IF(INDEX('NHẬP ĐƠN HÀNG'!$H$6:$H$505,$N132)="","",INDEX('NHẬP ĐƠN HÀNG'!$H$6:$H$505,$N132)))</f>
        <v/>
      </c>
      <c r="G132" s="10" t="str">
        <f aca="false">IF($N132="","",N(INDEX('NHẬP ĐƠN HÀNG'!$I$6:$I$505,$N132)))</f>
        <v/>
      </c>
      <c r="H132" s="10" t="str">
        <f aca="false">IF($N132="","",N(INDEX('NHẬP ĐƠN HÀNG'!$L$6:$L$505,$N132)))</f>
        <v/>
      </c>
      <c r="I132" s="11" t="str">
        <f aca="false">IF($N132="","",N(INDEX('NHẬP ĐƠN HÀNG'!$N$6:$N$505,$N132)))</f>
        <v/>
      </c>
      <c r="J132" s="10" t="str">
        <f aca="false">IF($N132="","",N(INDEX('NHẬP ĐƠN HÀNG'!$O$6:$O$505,$N132)))</f>
        <v/>
      </c>
      <c r="K132" s="10" t="str">
        <f aca="false">IF($N132="","",N(INDEX('NHẬP ĐƠN HÀNG'!$P$6:$P$505,$N132)))</f>
        <v/>
      </c>
      <c r="L132" s="10" t="str">
        <f aca="false">IF($N132="","",N(INDEX('NHẬP ĐƠN HÀNG'!$Q$6:$Q$505,$N132)))</f>
        <v/>
      </c>
      <c r="M132" s="10" t="str">
        <f aca="false">IF($N132="","",N(INDEX('NHẬP ĐƠN HÀNG'!$R$6:$R$505,$N132)))</f>
        <v/>
      </c>
      <c r="N132" s="0" t="str">
        <f aca="false">IFERROR(MATCH(127,'NHẬP ĐƠN HÀNG'!$Z$6:$Z$505,0),"")</f>
        <v/>
      </c>
    </row>
    <row r="133" customFormat="false" ht="15" hidden="false" customHeight="false" outlineLevel="0" collapsed="false">
      <c r="A133" s="16" t="str">
        <f aca="false">IF($N133="","",128)</f>
        <v/>
      </c>
      <c r="B133" s="34" t="str">
        <f aca="false">IF($N133="","",IF(INDEX('NHẬP ĐƠN HÀNG'!$B$6:$B$505,$N133)="","",INDEX('NHẬP ĐƠN HÀNG'!$B$6:$B$505,$N133)))</f>
        <v/>
      </c>
      <c r="C133" s="16" t="str">
        <f aca="false">IF($N133="","",IF(INDEX('NHẬP ĐƠN HÀNG'!$C$6:$C$505,$N133)="","",INDEX('NHẬP ĐƠN HÀNG'!$C$6:$C$505,$N133)))</f>
        <v/>
      </c>
      <c r="D133" s="16" t="str">
        <f aca="false">IF($N133="","",IF(INDEX('NHẬP ĐƠN HÀNG'!$E$6:$E$505,$N133)="","",INDEX('NHẬP ĐƠN HÀNG'!$E$6:$E$505,$N133)))</f>
        <v/>
      </c>
      <c r="E133" s="16" t="str">
        <f aca="false">IF($N133="","",IF(INDEX('NHẬP ĐƠN HÀNG'!$F$6:$F$505,$N133)="","",INDEX('NHẬP ĐƠN HÀNG'!$F$6:$F$505,$N133)))</f>
        <v/>
      </c>
      <c r="F133" s="16" t="str">
        <f aca="false">IF($N133="","",IF(INDEX('NHẬP ĐƠN HÀNG'!$H$6:$H$505,$N133)="","",INDEX('NHẬP ĐƠN HÀNG'!$H$6:$H$505,$N133)))</f>
        <v/>
      </c>
      <c r="G133" s="10" t="str">
        <f aca="false">IF($N133="","",N(INDEX('NHẬP ĐƠN HÀNG'!$I$6:$I$505,$N133)))</f>
        <v/>
      </c>
      <c r="H133" s="10" t="str">
        <f aca="false">IF($N133="","",N(INDEX('NHẬP ĐƠN HÀNG'!$L$6:$L$505,$N133)))</f>
        <v/>
      </c>
      <c r="I133" s="11" t="str">
        <f aca="false">IF($N133="","",N(INDEX('NHẬP ĐƠN HÀNG'!$N$6:$N$505,$N133)))</f>
        <v/>
      </c>
      <c r="J133" s="10" t="str">
        <f aca="false">IF($N133="","",N(INDEX('NHẬP ĐƠN HÀNG'!$O$6:$O$505,$N133)))</f>
        <v/>
      </c>
      <c r="K133" s="10" t="str">
        <f aca="false">IF($N133="","",N(INDEX('NHẬP ĐƠN HÀNG'!$P$6:$P$505,$N133)))</f>
        <v/>
      </c>
      <c r="L133" s="10" t="str">
        <f aca="false">IF($N133="","",N(INDEX('NHẬP ĐƠN HÀNG'!$Q$6:$Q$505,$N133)))</f>
        <v/>
      </c>
      <c r="M133" s="10" t="str">
        <f aca="false">IF($N133="","",N(INDEX('NHẬP ĐƠN HÀNG'!$R$6:$R$505,$N133)))</f>
        <v/>
      </c>
      <c r="N133" s="0" t="str">
        <f aca="false">IFERROR(MATCH(128,'NHẬP ĐƠN HÀNG'!$Z$6:$Z$505,0),"")</f>
        <v/>
      </c>
    </row>
    <row r="134" customFormat="false" ht="15" hidden="false" customHeight="false" outlineLevel="0" collapsed="false">
      <c r="A134" s="16" t="str">
        <f aca="false">IF($N134="","",129)</f>
        <v/>
      </c>
      <c r="B134" s="34" t="str">
        <f aca="false">IF($N134="","",IF(INDEX('NHẬP ĐƠN HÀNG'!$B$6:$B$505,$N134)="","",INDEX('NHẬP ĐƠN HÀNG'!$B$6:$B$505,$N134)))</f>
        <v/>
      </c>
      <c r="C134" s="16" t="str">
        <f aca="false">IF($N134="","",IF(INDEX('NHẬP ĐƠN HÀNG'!$C$6:$C$505,$N134)="","",INDEX('NHẬP ĐƠN HÀNG'!$C$6:$C$505,$N134)))</f>
        <v/>
      </c>
      <c r="D134" s="16" t="str">
        <f aca="false">IF($N134="","",IF(INDEX('NHẬP ĐƠN HÀNG'!$E$6:$E$505,$N134)="","",INDEX('NHẬP ĐƠN HÀNG'!$E$6:$E$505,$N134)))</f>
        <v/>
      </c>
      <c r="E134" s="16" t="str">
        <f aca="false">IF($N134="","",IF(INDEX('NHẬP ĐƠN HÀNG'!$F$6:$F$505,$N134)="","",INDEX('NHẬP ĐƠN HÀNG'!$F$6:$F$505,$N134)))</f>
        <v/>
      </c>
      <c r="F134" s="16" t="str">
        <f aca="false">IF($N134="","",IF(INDEX('NHẬP ĐƠN HÀNG'!$H$6:$H$505,$N134)="","",INDEX('NHẬP ĐƠN HÀNG'!$H$6:$H$505,$N134)))</f>
        <v/>
      </c>
      <c r="G134" s="10" t="str">
        <f aca="false">IF($N134="","",N(INDEX('NHẬP ĐƠN HÀNG'!$I$6:$I$505,$N134)))</f>
        <v/>
      </c>
      <c r="H134" s="10" t="str">
        <f aca="false">IF($N134="","",N(INDEX('NHẬP ĐƠN HÀNG'!$L$6:$L$505,$N134)))</f>
        <v/>
      </c>
      <c r="I134" s="11" t="str">
        <f aca="false">IF($N134="","",N(INDEX('NHẬP ĐƠN HÀNG'!$N$6:$N$505,$N134)))</f>
        <v/>
      </c>
      <c r="J134" s="10" t="str">
        <f aca="false">IF($N134="","",N(INDEX('NHẬP ĐƠN HÀNG'!$O$6:$O$505,$N134)))</f>
        <v/>
      </c>
      <c r="K134" s="10" t="str">
        <f aca="false">IF($N134="","",N(INDEX('NHẬP ĐƠN HÀNG'!$P$6:$P$505,$N134)))</f>
        <v/>
      </c>
      <c r="L134" s="10" t="str">
        <f aca="false">IF($N134="","",N(INDEX('NHẬP ĐƠN HÀNG'!$Q$6:$Q$505,$N134)))</f>
        <v/>
      </c>
      <c r="M134" s="10" t="str">
        <f aca="false">IF($N134="","",N(INDEX('NHẬP ĐƠN HÀNG'!$R$6:$R$505,$N134)))</f>
        <v/>
      </c>
      <c r="N134" s="0" t="str">
        <f aca="false">IFERROR(MATCH(129,'NHẬP ĐƠN HÀNG'!$Z$6:$Z$505,0),"")</f>
        <v/>
      </c>
    </row>
    <row r="135" customFormat="false" ht="15" hidden="false" customHeight="false" outlineLevel="0" collapsed="false">
      <c r="A135" s="16" t="str">
        <f aca="false">IF($N135="","",130)</f>
        <v/>
      </c>
      <c r="B135" s="34" t="str">
        <f aca="false">IF($N135="","",IF(INDEX('NHẬP ĐƠN HÀNG'!$B$6:$B$505,$N135)="","",INDEX('NHẬP ĐƠN HÀNG'!$B$6:$B$505,$N135)))</f>
        <v/>
      </c>
      <c r="C135" s="16" t="str">
        <f aca="false">IF($N135="","",IF(INDEX('NHẬP ĐƠN HÀNG'!$C$6:$C$505,$N135)="","",INDEX('NHẬP ĐƠN HÀNG'!$C$6:$C$505,$N135)))</f>
        <v/>
      </c>
      <c r="D135" s="16" t="str">
        <f aca="false">IF($N135="","",IF(INDEX('NHẬP ĐƠN HÀNG'!$E$6:$E$505,$N135)="","",INDEX('NHẬP ĐƠN HÀNG'!$E$6:$E$505,$N135)))</f>
        <v/>
      </c>
      <c r="E135" s="16" t="str">
        <f aca="false">IF($N135="","",IF(INDEX('NHẬP ĐƠN HÀNG'!$F$6:$F$505,$N135)="","",INDEX('NHẬP ĐƠN HÀNG'!$F$6:$F$505,$N135)))</f>
        <v/>
      </c>
      <c r="F135" s="16" t="str">
        <f aca="false">IF($N135="","",IF(INDEX('NHẬP ĐƠN HÀNG'!$H$6:$H$505,$N135)="","",INDEX('NHẬP ĐƠN HÀNG'!$H$6:$H$505,$N135)))</f>
        <v/>
      </c>
      <c r="G135" s="10" t="str">
        <f aca="false">IF($N135="","",N(INDEX('NHẬP ĐƠN HÀNG'!$I$6:$I$505,$N135)))</f>
        <v/>
      </c>
      <c r="H135" s="10" t="str">
        <f aca="false">IF($N135="","",N(INDEX('NHẬP ĐƠN HÀNG'!$L$6:$L$505,$N135)))</f>
        <v/>
      </c>
      <c r="I135" s="11" t="str">
        <f aca="false">IF($N135="","",N(INDEX('NHẬP ĐƠN HÀNG'!$N$6:$N$505,$N135)))</f>
        <v/>
      </c>
      <c r="J135" s="10" t="str">
        <f aca="false">IF($N135="","",N(INDEX('NHẬP ĐƠN HÀNG'!$O$6:$O$505,$N135)))</f>
        <v/>
      </c>
      <c r="K135" s="10" t="str">
        <f aca="false">IF($N135="","",N(INDEX('NHẬP ĐƠN HÀNG'!$P$6:$P$505,$N135)))</f>
        <v/>
      </c>
      <c r="L135" s="10" t="str">
        <f aca="false">IF($N135="","",N(INDEX('NHẬP ĐƠN HÀNG'!$Q$6:$Q$505,$N135)))</f>
        <v/>
      </c>
      <c r="M135" s="10" t="str">
        <f aca="false">IF($N135="","",N(INDEX('NHẬP ĐƠN HÀNG'!$R$6:$R$505,$N135)))</f>
        <v/>
      </c>
      <c r="N135" s="0" t="str">
        <f aca="false">IFERROR(MATCH(130,'NHẬP ĐƠN HÀNG'!$Z$6:$Z$505,0),"")</f>
        <v/>
      </c>
    </row>
    <row r="136" customFormat="false" ht="15" hidden="false" customHeight="false" outlineLevel="0" collapsed="false">
      <c r="A136" s="16" t="str">
        <f aca="false">IF($N136="","",131)</f>
        <v/>
      </c>
      <c r="B136" s="34" t="str">
        <f aca="false">IF($N136="","",IF(INDEX('NHẬP ĐƠN HÀNG'!$B$6:$B$505,$N136)="","",INDEX('NHẬP ĐƠN HÀNG'!$B$6:$B$505,$N136)))</f>
        <v/>
      </c>
      <c r="C136" s="16" t="str">
        <f aca="false">IF($N136="","",IF(INDEX('NHẬP ĐƠN HÀNG'!$C$6:$C$505,$N136)="","",INDEX('NHẬP ĐƠN HÀNG'!$C$6:$C$505,$N136)))</f>
        <v/>
      </c>
      <c r="D136" s="16" t="str">
        <f aca="false">IF($N136="","",IF(INDEX('NHẬP ĐƠN HÀNG'!$E$6:$E$505,$N136)="","",INDEX('NHẬP ĐƠN HÀNG'!$E$6:$E$505,$N136)))</f>
        <v/>
      </c>
      <c r="E136" s="16" t="str">
        <f aca="false">IF($N136="","",IF(INDEX('NHẬP ĐƠN HÀNG'!$F$6:$F$505,$N136)="","",INDEX('NHẬP ĐƠN HÀNG'!$F$6:$F$505,$N136)))</f>
        <v/>
      </c>
      <c r="F136" s="16" t="str">
        <f aca="false">IF($N136="","",IF(INDEX('NHẬP ĐƠN HÀNG'!$H$6:$H$505,$N136)="","",INDEX('NHẬP ĐƠN HÀNG'!$H$6:$H$505,$N136)))</f>
        <v/>
      </c>
      <c r="G136" s="10" t="str">
        <f aca="false">IF($N136="","",N(INDEX('NHẬP ĐƠN HÀNG'!$I$6:$I$505,$N136)))</f>
        <v/>
      </c>
      <c r="H136" s="10" t="str">
        <f aca="false">IF($N136="","",N(INDEX('NHẬP ĐƠN HÀNG'!$L$6:$L$505,$N136)))</f>
        <v/>
      </c>
      <c r="I136" s="11" t="str">
        <f aca="false">IF($N136="","",N(INDEX('NHẬP ĐƠN HÀNG'!$N$6:$N$505,$N136)))</f>
        <v/>
      </c>
      <c r="J136" s="10" t="str">
        <f aca="false">IF($N136="","",N(INDEX('NHẬP ĐƠN HÀNG'!$O$6:$O$505,$N136)))</f>
        <v/>
      </c>
      <c r="K136" s="10" t="str">
        <f aca="false">IF($N136="","",N(INDEX('NHẬP ĐƠN HÀNG'!$P$6:$P$505,$N136)))</f>
        <v/>
      </c>
      <c r="L136" s="10" t="str">
        <f aca="false">IF($N136="","",N(INDEX('NHẬP ĐƠN HÀNG'!$Q$6:$Q$505,$N136)))</f>
        <v/>
      </c>
      <c r="M136" s="10" t="str">
        <f aca="false">IF($N136="","",N(INDEX('NHẬP ĐƠN HÀNG'!$R$6:$R$505,$N136)))</f>
        <v/>
      </c>
      <c r="N136" s="0" t="str">
        <f aca="false">IFERROR(MATCH(131,'NHẬP ĐƠN HÀNG'!$Z$6:$Z$505,0),"")</f>
        <v/>
      </c>
    </row>
    <row r="137" customFormat="false" ht="15" hidden="false" customHeight="false" outlineLevel="0" collapsed="false">
      <c r="A137" s="16" t="str">
        <f aca="false">IF($N137="","",132)</f>
        <v/>
      </c>
      <c r="B137" s="34" t="str">
        <f aca="false">IF($N137="","",IF(INDEX('NHẬP ĐƠN HÀNG'!$B$6:$B$505,$N137)="","",INDEX('NHẬP ĐƠN HÀNG'!$B$6:$B$505,$N137)))</f>
        <v/>
      </c>
      <c r="C137" s="16" t="str">
        <f aca="false">IF($N137="","",IF(INDEX('NHẬP ĐƠN HÀNG'!$C$6:$C$505,$N137)="","",INDEX('NHẬP ĐƠN HÀNG'!$C$6:$C$505,$N137)))</f>
        <v/>
      </c>
      <c r="D137" s="16" t="str">
        <f aca="false">IF($N137="","",IF(INDEX('NHẬP ĐƠN HÀNG'!$E$6:$E$505,$N137)="","",INDEX('NHẬP ĐƠN HÀNG'!$E$6:$E$505,$N137)))</f>
        <v/>
      </c>
      <c r="E137" s="16" t="str">
        <f aca="false">IF($N137="","",IF(INDEX('NHẬP ĐƠN HÀNG'!$F$6:$F$505,$N137)="","",INDEX('NHẬP ĐƠN HÀNG'!$F$6:$F$505,$N137)))</f>
        <v/>
      </c>
      <c r="F137" s="16" t="str">
        <f aca="false">IF($N137="","",IF(INDEX('NHẬP ĐƠN HÀNG'!$H$6:$H$505,$N137)="","",INDEX('NHẬP ĐƠN HÀNG'!$H$6:$H$505,$N137)))</f>
        <v/>
      </c>
      <c r="G137" s="10" t="str">
        <f aca="false">IF($N137="","",N(INDEX('NHẬP ĐƠN HÀNG'!$I$6:$I$505,$N137)))</f>
        <v/>
      </c>
      <c r="H137" s="10" t="str">
        <f aca="false">IF($N137="","",N(INDEX('NHẬP ĐƠN HÀNG'!$L$6:$L$505,$N137)))</f>
        <v/>
      </c>
      <c r="I137" s="11" t="str">
        <f aca="false">IF($N137="","",N(INDEX('NHẬP ĐƠN HÀNG'!$N$6:$N$505,$N137)))</f>
        <v/>
      </c>
      <c r="J137" s="10" t="str">
        <f aca="false">IF($N137="","",N(INDEX('NHẬP ĐƠN HÀNG'!$O$6:$O$505,$N137)))</f>
        <v/>
      </c>
      <c r="K137" s="10" t="str">
        <f aca="false">IF($N137="","",N(INDEX('NHẬP ĐƠN HÀNG'!$P$6:$P$505,$N137)))</f>
        <v/>
      </c>
      <c r="L137" s="10" t="str">
        <f aca="false">IF($N137="","",N(INDEX('NHẬP ĐƠN HÀNG'!$Q$6:$Q$505,$N137)))</f>
        <v/>
      </c>
      <c r="M137" s="10" t="str">
        <f aca="false">IF($N137="","",N(INDEX('NHẬP ĐƠN HÀNG'!$R$6:$R$505,$N137)))</f>
        <v/>
      </c>
      <c r="N137" s="0" t="str">
        <f aca="false">IFERROR(MATCH(132,'NHẬP ĐƠN HÀNG'!$Z$6:$Z$505,0),"")</f>
        <v/>
      </c>
    </row>
    <row r="138" customFormat="false" ht="15" hidden="false" customHeight="false" outlineLevel="0" collapsed="false">
      <c r="A138" s="16" t="str">
        <f aca="false">IF($N138="","",133)</f>
        <v/>
      </c>
      <c r="B138" s="34" t="str">
        <f aca="false">IF($N138="","",IF(INDEX('NHẬP ĐƠN HÀNG'!$B$6:$B$505,$N138)="","",INDEX('NHẬP ĐƠN HÀNG'!$B$6:$B$505,$N138)))</f>
        <v/>
      </c>
      <c r="C138" s="16" t="str">
        <f aca="false">IF($N138="","",IF(INDEX('NHẬP ĐƠN HÀNG'!$C$6:$C$505,$N138)="","",INDEX('NHẬP ĐƠN HÀNG'!$C$6:$C$505,$N138)))</f>
        <v/>
      </c>
      <c r="D138" s="16" t="str">
        <f aca="false">IF($N138="","",IF(INDEX('NHẬP ĐƠN HÀNG'!$E$6:$E$505,$N138)="","",INDEX('NHẬP ĐƠN HÀNG'!$E$6:$E$505,$N138)))</f>
        <v/>
      </c>
      <c r="E138" s="16" t="str">
        <f aca="false">IF($N138="","",IF(INDEX('NHẬP ĐƠN HÀNG'!$F$6:$F$505,$N138)="","",INDEX('NHẬP ĐƠN HÀNG'!$F$6:$F$505,$N138)))</f>
        <v/>
      </c>
      <c r="F138" s="16" t="str">
        <f aca="false">IF($N138="","",IF(INDEX('NHẬP ĐƠN HÀNG'!$H$6:$H$505,$N138)="","",INDEX('NHẬP ĐƠN HÀNG'!$H$6:$H$505,$N138)))</f>
        <v/>
      </c>
      <c r="G138" s="10" t="str">
        <f aca="false">IF($N138="","",N(INDEX('NHẬP ĐƠN HÀNG'!$I$6:$I$505,$N138)))</f>
        <v/>
      </c>
      <c r="H138" s="10" t="str">
        <f aca="false">IF($N138="","",N(INDEX('NHẬP ĐƠN HÀNG'!$L$6:$L$505,$N138)))</f>
        <v/>
      </c>
      <c r="I138" s="11" t="str">
        <f aca="false">IF($N138="","",N(INDEX('NHẬP ĐƠN HÀNG'!$N$6:$N$505,$N138)))</f>
        <v/>
      </c>
      <c r="J138" s="10" t="str">
        <f aca="false">IF($N138="","",N(INDEX('NHẬP ĐƠN HÀNG'!$O$6:$O$505,$N138)))</f>
        <v/>
      </c>
      <c r="K138" s="10" t="str">
        <f aca="false">IF($N138="","",N(INDEX('NHẬP ĐƠN HÀNG'!$P$6:$P$505,$N138)))</f>
        <v/>
      </c>
      <c r="L138" s="10" t="str">
        <f aca="false">IF($N138="","",N(INDEX('NHẬP ĐƠN HÀNG'!$Q$6:$Q$505,$N138)))</f>
        <v/>
      </c>
      <c r="M138" s="10" t="str">
        <f aca="false">IF($N138="","",N(INDEX('NHẬP ĐƠN HÀNG'!$R$6:$R$505,$N138)))</f>
        <v/>
      </c>
      <c r="N138" s="0" t="str">
        <f aca="false">IFERROR(MATCH(133,'NHẬP ĐƠN HÀNG'!$Z$6:$Z$505,0),"")</f>
        <v/>
      </c>
    </row>
    <row r="139" customFormat="false" ht="15" hidden="false" customHeight="false" outlineLevel="0" collapsed="false">
      <c r="A139" s="16" t="str">
        <f aca="false">IF($N139="","",134)</f>
        <v/>
      </c>
      <c r="B139" s="34" t="str">
        <f aca="false">IF($N139="","",IF(INDEX('NHẬP ĐƠN HÀNG'!$B$6:$B$505,$N139)="","",INDEX('NHẬP ĐƠN HÀNG'!$B$6:$B$505,$N139)))</f>
        <v/>
      </c>
      <c r="C139" s="16" t="str">
        <f aca="false">IF($N139="","",IF(INDEX('NHẬP ĐƠN HÀNG'!$C$6:$C$505,$N139)="","",INDEX('NHẬP ĐƠN HÀNG'!$C$6:$C$505,$N139)))</f>
        <v/>
      </c>
      <c r="D139" s="16" t="str">
        <f aca="false">IF($N139="","",IF(INDEX('NHẬP ĐƠN HÀNG'!$E$6:$E$505,$N139)="","",INDEX('NHẬP ĐƠN HÀNG'!$E$6:$E$505,$N139)))</f>
        <v/>
      </c>
      <c r="E139" s="16" t="str">
        <f aca="false">IF($N139="","",IF(INDEX('NHẬP ĐƠN HÀNG'!$F$6:$F$505,$N139)="","",INDEX('NHẬP ĐƠN HÀNG'!$F$6:$F$505,$N139)))</f>
        <v/>
      </c>
      <c r="F139" s="16" t="str">
        <f aca="false">IF($N139="","",IF(INDEX('NHẬP ĐƠN HÀNG'!$H$6:$H$505,$N139)="","",INDEX('NHẬP ĐƠN HÀNG'!$H$6:$H$505,$N139)))</f>
        <v/>
      </c>
      <c r="G139" s="10" t="str">
        <f aca="false">IF($N139="","",N(INDEX('NHẬP ĐƠN HÀNG'!$I$6:$I$505,$N139)))</f>
        <v/>
      </c>
      <c r="H139" s="10" t="str">
        <f aca="false">IF($N139="","",N(INDEX('NHẬP ĐƠN HÀNG'!$L$6:$L$505,$N139)))</f>
        <v/>
      </c>
      <c r="I139" s="11" t="str">
        <f aca="false">IF($N139="","",N(INDEX('NHẬP ĐƠN HÀNG'!$N$6:$N$505,$N139)))</f>
        <v/>
      </c>
      <c r="J139" s="10" t="str">
        <f aca="false">IF($N139="","",N(INDEX('NHẬP ĐƠN HÀNG'!$O$6:$O$505,$N139)))</f>
        <v/>
      </c>
      <c r="K139" s="10" t="str">
        <f aca="false">IF($N139="","",N(INDEX('NHẬP ĐƠN HÀNG'!$P$6:$P$505,$N139)))</f>
        <v/>
      </c>
      <c r="L139" s="10" t="str">
        <f aca="false">IF($N139="","",N(INDEX('NHẬP ĐƠN HÀNG'!$Q$6:$Q$505,$N139)))</f>
        <v/>
      </c>
      <c r="M139" s="10" t="str">
        <f aca="false">IF($N139="","",N(INDEX('NHẬP ĐƠN HÀNG'!$R$6:$R$505,$N139)))</f>
        <v/>
      </c>
      <c r="N139" s="0" t="str">
        <f aca="false">IFERROR(MATCH(134,'NHẬP ĐƠN HÀNG'!$Z$6:$Z$505,0),"")</f>
        <v/>
      </c>
    </row>
    <row r="140" customFormat="false" ht="15" hidden="false" customHeight="false" outlineLevel="0" collapsed="false">
      <c r="A140" s="16" t="str">
        <f aca="false">IF($N140="","",135)</f>
        <v/>
      </c>
      <c r="B140" s="34" t="str">
        <f aca="false">IF($N140="","",IF(INDEX('NHẬP ĐƠN HÀNG'!$B$6:$B$505,$N140)="","",INDEX('NHẬP ĐƠN HÀNG'!$B$6:$B$505,$N140)))</f>
        <v/>
      </c>
      <c r="C140" s="16" t="str">
        <f aca="false">IF($N140="","",IF(INDEX('NHẬP ĐƠN HÀNG'!$C$6:$C$505,$N140)="","",INDEX('NHẬP ĐƠN HÀNG'!$C$6:$C$505,$N140)))</f>
        <v/>
      </c>
      <c r="D140" s="16" t="str">
        <f aca="false">IF($N140="","",IF(INDEX('NHẬP ĐƠN HÀNG'!$E$6:$E$505,$N140)="","",INDEX('NHẬP ĐƠN HÀNG'!$E$6:$E$505,$N140)))</f>
        <v/>
      </c>
      <c r="E140" s="16" t="str">
        <f aca="false">IF($N140="","",IF(INDEX('NHẬP ĐƠN HÀNG'!$F$6:$F$505,$N140)="","",INDEX('NHẬP ĐƠN HÀNG'!$F$6:$F$505,$N140)))</f>
        <v/>
      </c>
      <c r="F140" s="16" t="str">
        <f aca="false">IF($N140="","",IF(INDEX('NHẬP ĐƠN HÀNG'!$H$6:$H$505,$N140)="","",INDEX('NHẬP ĐƠN HÀNG'!$H$6:$H$505,$N140)))</f>
        <v/>
      </c>
      <c r="G140" s="10" t="str">
        <f aca="false">IF($N140="","",N(INDEX('NHẬP ĐƠN HÀNG'!$I$6:$I$505,$N140)))</f>
        <v/>
      </c>
      <c r="H140" s="10" t="str">
        <f aca="false">IF($N140="","",N(INDEX('NHẬP ĐƠN HÀNG'!$L$6:$L$505,$N140)))</f>
        <v/>
      </c>
      <c r="I140" s="11" t="str">
        <f aca="false">IF($N140="","",N(INDEX('NHẬP ĐƠN HÀNG'!$N$6:$N$505,$N140)))</f>
        <v/>
      </c>
      <c r="J140" s="10" t="str">
        <f aca="false">IF($N140="","",N(INDEX('NHẬP ĐƠN HÀNG'!$O$6:$O$505,$N140)))</f>
        <v/>
      </c>
      <c r="K140" s="10" t="str">
        <f aca="false">IF($N140="","",N(INDEX('NHẬP ĐƠN HÀNG'!$P$6:$P$505,$N140)))</f>
        <v/>
      </c>
      <c r="L140" s="10" t="str">
        <f aca="false">IF($N140="","",N(INDEX('NHẬP ĐƠN HÀNG'!$Q$6:$Q$505,$N140)))</f>
        <v/>
      </c>
      <c r="M140" s="10" t="str">
        <f aca="false">IF($N140="","",N(INDEX('NHẬP ĐƠN HÀNG'!$R$6:$R$505,$N140)))</f>
        <v/>
      </c>
      <c r="N140" s="0" t="str">
        <f aca="false">IFERROR(MATCH(135,'NHẬP ĐƠN HÀNG'!$Z$6:$Z$505,0),"")</f>
        <v/>
      </c>
    </row>
    <row r="141" customFormat="false" ht="15" hidden="false" customHeight="false" outlineLevel="0" collapsed="false">
      <c r="A141" s="16" t="str">
        <f aca="false">IF($N141="","",136)</f>
        <v/>
      </c>
      <c r="B141" s="34" t="str">
        <f aca="false">IF($N141="","",IF(INDEX('NHẬP ĐƠN HÀNG'!$B$6:$B$505,$N141)="","",INDEX('NHẬP ĐƠN HÀNG'!$B$6:$B$505,$N141)))</f>
        <v/>
      </c>
      <c r="C141" s="16" t="str">
        <f aca="false">IF($N141="","",IF(INDEX('NHẬP ĐƠN HÀNG'!$C$6:$C$505,$N141)="","",INDEX('NHẬP ĐƠN HÀNG'!$C$6:$C$505,$N141)))</f>
        <v/>
      </c>
      <c r="D141" s="16" t="str">
        <f aca="false">IF($N141="","",IF(INDEX('NHẬP ĐƠN HÀNG'!$E$6:$E$505,$N141)="","",INDEX('NHẬP ĐƠN HÀNG'!$E$6:$E$505,$N141)))</f>
        <v/>
      </c>
      <c r="E141" s="16" t="str">
        <f aca="false">IF($N141="","",IF(INDEX('NHẬP ĐƠN HÀNG'!$F$6:$F$505,$N141)="","",INDEX('NHẬP ĐƠN HÀNG'!$F$6:$F$505,$N141)))</f>
        <v/>
      </c>
      <c r="F141" s="16" t="str">
        <f aca="false">IF($N141="","",IF(INDEX('NHẬP ĐƠN HÀNG'!$H$6:$H$505,$N141)="","",INDEX('NHẬP ĐƠN HÀNG'!$H$6:$H$505,$N141)))</f>
        <v/>
      </c>
      <c r="G141" s="10" t="str">
        <f aca="false">IF($N141="","",N(INDEX('NHẬP ĐƠN HÀNG'!$I$6:$I$505,$N141)))</f>
        <v/>
      </c>
      <c r="H141" s="10" t="str">
        <f aca="false">IF($N141="","",N(INDEX('NHẬP ĐƠN HÀNG'!$L$6:$L$505,$N141)))</f>
        <v/>
      </c>
      <c r="I141" s="11" t="str">
        <f aca="false">IF($N141="","",N(INDEX('NHẬP ĐƠN HÀNG'!$N$6:$N$505,$N141)))</f>
        <v/>
      </c>
      <c r="J141" s="10" t="str">
        <f aca="false">IF($N141="","",N(INDEX('NHẬP ĐƠN HÀNG'!$O$6:$O$505,$N141)))</f>
        <v/>
      </c>
      <c r="K141" s="10" t="str">
        <f aca="false">IF($N141="","",N(INDEX('NHẬP ĐƠN HÀNG'!$P$6:$P$505,$N141)))</f>
        <v/>
      </c>
      <c r="L141" s="10" t="str">
        <f aca="false">IF($N141="","",N(INDEX('NHẬP ĐƠN HÀNG'!$Q$6:$Q$505,$N141)))</f>
        <v/>
      </c>
      <c r="M141" s="10" t="str">
        <f aca="false">IF($N141="","",N(INDEX('NHẬP ĐƠN HÀNG'!$R$6:$R$505,$N141)))</f>
        <v/>
      </c>
      <c r="N141" s="0" t="str">
        <f aca="false">IFERROR(MATCH(136,'NHẬP ĐƠN HÀNG'!$Z$6:$Z$505,0),"")</f>
        <v/>
      </c>
    </row>
    <row r="142" customFormat="false" ht="15" hidden="false" customHeight="false" outlineLevel="0" collapsed="false">
      <c r="A142" s="16" t="str">
        <f aca="false">IF($N142="","",137)</f>
        <v/>
      </c>
      <c r="B142" s="34" t="str">
        <f aca="false">IF($N142="","",IF(INDEX('NHẬP ĐƠN HÀNG'!$B$6:$B$505,$N142)="","",INDEX('NHẬP ĐƠN HÀNG'!$B$6:$B$505,$N142)))</f>
        <v/>
      </c>
      <c r="C142" s="16" t="str">
        <f aca="false">IF($N142="","",IF(INDEX('NHẬP ĐƠN HÀNG'!$C$6:$C$505,$N142)="","",INDEX('NHẬP ĐƠN HÀNG'!$C$6:$C$505,$N142)))</f>
        <v/>
      </c>
      <c r="D142" s="16" t="str">
        <f aca="false">IF($N142="","",IF(INDEX('NHẬP ĐƠN HÀNG'!$E$6:$E$505,$N142)="","",INDEX('NHẬP ĐƠN HÀNG'!$E$6:$E$505,$N142)))</f>
        <v/>
      </c>
      <c r="E142" s="16" t="str">
        <f aca="false">IF($N142="","",IF(INDEX('NHẬP ĐƠN HÀNG'!$F$6:$F$505,$N142)="","",INDEX('NHẬP ĐƠN HÀNG'!$F$6:$F$505,$N142)))</f>
        <v/>
      </c>
      <c r="F142" s="16" t="str">
        <f aca="false">IF($N142="","",IF(INDEX('NHẬP ĐƠN HÀNG'!$H$6:$H$505,$N142)="","",INDEX('NHẬP ĐƠN HÀNG'!$H$6:$H$505,$N142)))</f>
        <v/>
      </c>
      <c r="G142" s="10" t="str">
        <f aca="false">IF($N142="","",N(INDEX('NHẬP ĐƠN HÀNG'!$I$6:$I$505,$N142)))</f>
        <v/>
      </c>
      <c r="H142" s="10" t="str">
        <f aca="false">IF($N142="","",N(INDEX('NHẬP ĐƠN HÀNG'!$L$6:$L$505,$N142)))</f>
        <v/>
      </c>
      <c r="I142" s="11" t="str">
        <f aca="false">IF($N142="","",N(INDEX('NHẬP ĐƠN HÀNG'!$N$6:$N$505,$N142)))</f>
        <v/>
      </c>
      <c r="J142" s="10" t="str">
        <f aca="false">IF($N142="","",N(INDEX('NHẬP ĐƠN HÀNG'!$O$6:$O$505,$N142)))</f>
        <v/>
      </c>
      <c r="K142" s="10" t="str">
        <f aca="false">IF($N142="","",N(INDEX('NHẬP ĐƠN HÀNG'!$P$6:$P$505,$N142)))</f>
        <v/>
      </c>
      <c r="L142" s="10" t="str">
        <f aca="false">IF($N142="","",N(INDEX('NHẬP ĐƠN HÀNG'!$Q$6:$Q$505,$N142)))</f>
        <v/>
      </c>
      <c r="M142" s="10" t="str">
        <f aca="false">IF($N142="","",N(INDEX('NHẬP ĐƠN HÀNG'!$R$6:$R$505,$N142)))</f>
        <v/>
      </c>
      <c r="N142" s="0" t="str">
        <f aca="false">IFERROR(MATCH(137,'NHẬP ĐƠN HÀNG'!$Z$6:$Z$505,0),"")</f>
        <v/>
      </c>
    </row>
    <row r="143" customFormat="false" ht="15" hidden="false" customHeight="false" outlineLevel="0" collapsed="false">
      <c r="A143" s="16" t="str">
        <f aca="false">IF($N143="","",138)</f>
        <v/>
      </c>
      <c r="B143" s="34" t="str">
        <f aca="false">IF($N143="","",IF(INDEX('NHẬP ĐƠN HÀNG'!$B$6:$B$505,$N143)="","",INDEX('NHẬP ĐƠN HÀNG'!$B$6:$B$505,$N143)))</f>
        <v/>
      </c>
      <c r="C143" s="16" t="str">
        <f aca="false">IF($N143="","",IF(INDEX('NHẬP ĐƠN HÀNG'!$C$6:$C$505,$N143)="","",INDEX('NHẬP ĐƠN HÀNG'!$C$6:$C$505,$N143)))</f>
        <v/>
      </c>
      <c r="D143" s="16" t="str">
        <f aca="false">IF($N143="","",IF(INDEX('NHẬP ĐƠN HÀNG'!$E$6:$E$505,$N143)="","",INDEX('NHẬP ĐƠN HÀNG'!$E$6:$E$505,$N143)))</f>
        <v/>
      </c>
      <c r="E143" s="16" t="str">
        <f aca="false">IF($N143="","",IF(INDEX('NHẬP ĐƠN HÀNG'!$F$6:$F$505,$N143)="","",INDEX('NHẬP ĐƠN HÀNG'!$F$6:$F$505,$N143)))</f>
        <v/>
      </c>
      <c r="F143" s="16" t="str">
        <f aca="false">IF($N143="","",IF(INDEX('NHẬP ĐƠN HÀNG'!$H$6:$H$505,$N143)="","",INDEX('NHẬP ĐƠN HÀNG'!$H$6:$H$505,$N143)))</f>
        <v/>
      </c>
      <c r="G143" s="10" t="str">
        <f aca="false">IF($N143="","",N(INDEX('NHẬP ĐƠN HÀNG'!$I$6:$I$505,$N143)))</f>
        <v/>
      </c>
      <c r="H143" s="10" t="str">
        <f aca="false">IF($N143="","",N(INDEX('NHẬP ĐƠN HÀNG'!$L$6:$L$505,$N143)))</f>
        <v/>
      </c>
      <c r="I143" s="11" t="str">
        <f aca="false">IF($N143="","",N(INDEX('NHẬP ĐƠN HÀNG'!$N$6:$N$505,$N143)))</f>
        <v/>
      </c>
      <c r="J143" s="10" t="str">
        <f aca="false">IF($N143="","",N(INDEX('NHẬP ĐƠN HÀNG'!$O$6:$O$505,$N143)))</f>
        <v/>
      </c>
      <c r="K143" s="10" t="str">
        <f aca="false">IF($N143="","",N(INDEX('NHẬP ĐƠN HÀNG'!$P$6:$P$505,$N143)))</f>
        <v/>
      </c>
      <c r="L143" s="10" t="str">
        <f aca="false">IF($N143="","",N(INDEX('NHẬP ĐƠN HÀNG'!$Q$6:$Q$505,$N143)))</f>
        <v/>
      </c>
      <c r="M143" s="10" t="str">
        <f aca="false">IF($N143="","",N(INDEX('NHẬP ĐƠN HÀNG'!$R$6:$R$505,$N143)))</f>
        <v/>
      </c>
      <c r="N143" s="0" t="str">
        <f aca="false">IFERROR(MATCH(138,'NHẬP ĐƠN HÀNG'!$Z$6:$Z$505,0),"")</f>
        <v/>
      </c>
    </row>
    <row r="144" customFormat="false" ht="15" hidden="false" customHeight="false" outlineLevel="0" collapsed="false">
      <c r="A144" s="16" t="str">
        <f aca="false">IF($N144="","",139)</f>
        <v/>
      </c>
      <c r="B144" s="34" t="str">
        <f aca="false">IF($N144="","",IF(INDEX('NHẬP ĐƠN HÀNG'!$B$6:$B$505,$N144)="","",INDEX('NHẬP ĐƠN HÀNG'!$B$6:$B$505,$N144)))</f>
        <v/>
      </c>
      <c r="C144" s="16" t="str">
        <f aca="false">IF($N144="","",IF(INDEX('NHẬP ĐƠN HÀNG'!$C$6:$C$505,$N144)="","",INDEX('NHẬP ĐƠN HÀNG'!$C$6:$C$505,$N144)))</f>
        <v/>
      </c>
      <c r="D144" s="16" t="str">
        <f aca="false">IF($N144="","",IF(INDEX('NHẬP ĐƠN HÀNG'!$E$6:$E$505,$N144)="","",INDEX('NHẬP ĐƠN HÀNG'!$E$6:$E$505,$N144)))</f>
        <v/>
      </c>
      <c r="E144" s="16" t="str">
        <f aca="false">IF($N144="","",IF(INDEX('NHẬP ĐƠN HÀNG'!$F$6:$F$505,$N144)="","",INDEX('NHẬP ĐƠN HÀNG'!$F$6:$F$505,$N144)))</f>
        <v/>
      </c>
      <c r="F144" s="16" t="str">
        <f aca="false">IF($N144="","",IF(INDEX('NHẬP ĐƠN HÀNG'!$H$6:$H$505,$N144)="","",INDEX('NHẬP ĐƠN HÀNG'!$H$6:$H$505,$N144)))</f>
        <v/>
      </c>
      <c r="G144" s="10" t="str">
        <f aca="false">IF($N144="","",N(INDEX('NHẬP ĐƠN HÀNG'!$I$6:$I$505,$N144)))</f>
        <v/>
      </c>
      <c r="H144" s="10" t="str">
        <f aca="false">IF($N144="","",N(INDEX('NHẬP ĐƠN HÀNG'!$L$6:$L$505,$N144)))</f>
        <v/>
      </c>
      <c r="I144" s="11" t="str">
        <f aca="false">IF($N144="","",N(INDEX('NHẬP ĐƠN HÀNG'!$N$6:$N$505,$N144)))</f>
        <v/>
      </c>
      <c r="J144" s="10" t="str">
        <f aca="false">IF($N144="","",N(INDEX('NHẬP ĐƠN HÀNG'!$O$6:$O$505,$N144)))</f>
        <v/>
      </c>
      <c r="K144" s="10" t="str">
        <f aca="false">IF($N144="","",N(INDEX('NHẬP ĐƠN HÀNG'!$P$6:$P$505,$N144)))</f>
        <v/>
      </c>
      <c r="L144" s="10" t="str">
        <f aca="false">IF($N144="","",N(INDEX('NHẬP ĐƠN HÀNG'!$Q$6:$Q$505,$N144)))</f>
        <v/>
      </c>
      <c r="M144" s="10" t="str">
        <f aca="false">IF($N144="","",N(INDEX('NHẬP ĐƠN HÀNG'!$R$6:$R$505,$N144)))</f>
        <v/>
      </c>
      <c r="N144" s="0" t="str">
        <f aca="false">IFERROR(MATCH(139,'NHẬP ĐƠN HÀNG'!$Z$6:$Z$505,0),"")</f>
        <v/>
      </c>
    </row>
    <row r="145" customFormat="false" ht="15" hidden="false" customHeight="false" outlineLevel="0" collapsed="false">
      <c r="A145" s="16" t="str">
        <f aca="false">IF($N145="","",140)</f>
        <v/>
      </c>
      <c r="B145" s="34" t="str">
        <f aca="false">IF($N145="","",IF(INDEX('NHẬP ĐƠN HÀNG'!$B$6:$B$505,$N145)="","",INDEX('NHẬP ĐƠN HÀNG'!$B$6:$B$505,$N145)))</f>
        <v/>
      </c>
      <c r="C145" s="16" t="str">
        <f aca="false">IF($N145="","",IF(INDEX('NHẬP ĐƠN HÀNG'!$C$6:$C$505,$N145)="","",INDEX('NHẬP ĐƠN HÀNG'!$C$6:$C$505,$N145)))</f>
        <v/>
      </c>
      <c r="D145" s="16" t="str">
        <f aca="false">IF($N145="","",IF(INDEX('NHẬP ĐƠN HÀNG'!$E$6:$E$505,$N145)="","",INDEX('NHẬP ĐƠN HÀNG'!$E$6:$E$505,$N145)))</f>
        <v/>
      </c>
      <c r="E145" s="16" t="str">
        <f aca="false">IF($N145="","",IF(INDEX('NHẬP ĐƠN HÀNG'!$F$6:$F$505,$N145)="","",INDEX('NHẬP ĐƠN HÀNG'!$F$6:$F$505,$N145)))</f>
        <v/>
      </c>
      <c r="F145" s="16" t="str">
        <f aca="false">IF($N145="","",IF(INDEX('NHẬP ĐƠN HÀNG'!$H$6:$H$505,$N145)="","",INDEX('NHẬP ĐƠN HÀNG'!$H$6:$H$505,$N145)))</f>
        <v/>
      </c>
      <c r="G145" s="10" t="str">
        <f aca="false">IF($N145="","",N(INDEX('NHẬP ĐƠN HÀNG'!$I$6:$I$505,$N145)))</f>
        <v/>
      </c>
      <c r="H145" s="10" t="str">
        <f aca="false">IF($N145="","",N(INDEX('NHẬP ĐƠN HÀNG'!$L$6:$L$505,$N145)))</f>
        <v/>
      </c>
      <c r="I145" s="11" t="str">
        <f aca="false">IF($N145="","",N(INDEX('NHẬP ĐƠN HÀNG'!$N$6:$N$505,$N145)))</f>
        <v/>
      </c>
      <c r="J145" s="10" t="str">
        <f aca="false">IF($N145="","",N(INDEX('NHẬP ĐƠN HÀNG'!$O$6:$O$505,$N145)))</f>
        <v/>
      </c>
      <c r="K145" s="10" t="str">
        <f aca="false">IF($N145="","",N(INDEX('NHẬP ĐƠN HÀNG'!$P$6:$P$505,$N145)))</f>
        <v/>
      </c>
      <c r="L145" s="10" t="str">
        <f aca="false">IF($N145="","",N(INDEX('NHẬP ĐƠN HÀNG'!$Q$6:$Q$505,$N145)))</f>
        <v/>
      </c>
      <c r="M145" s="10" t="str">
        <f aca="false">IF($N145="","",N(INDEX('NHẬP ĐƠN HÀNG'!$R$6:$R$505,$N145)))</f>
        <v/>
      </c>
      <c r="N145" s="0" t="str">
        <f aca="false">IFERROR(MATCH(140,'NHẬP ĐƠN HÀNG'!$Z$6:$Z$505,0),"")</f>
        <v/>
      </c>
    </row>
    <row r="146" customFormat="false" ht="15" hidden="false" customHeight="false" outlineLevel="0" collapsed="false">
      <c r="A146" s="16" t="str">
        <f aca="false">IF($N146="","",141)</f>
        <v/>
      </c>
      <c r="B146" s="34" t="str">
        <f aca="false">IF($N146="","",IF(INDEX('NHẬP ĐƠN HÀNG'!$B$6:$B$505,$N146)="","",INDEX('NHẬP ĐƠN HÀNG'!$B$6:$B$505,$N146)))</f>
        <v/>
      </c>
      <c r="C146" s="16" t="str">
        <f aca="false">IF($N146="","",IF(INDEX('NHẬP ĐƠN HÀNG'!$C$6:$C$505,$N146)="","",INDEX('NHẬP ĐƠN HÀNG'!$C$6:$C$505,$N146)))</f>
        <v/>
      </c>
      <c r="D146" s="16" t="str">
        <f aca="false">IF($N146="","",IF(INDEX('NHẬP ĐƠN HÀNG'!$E$6:$E$505,$N146)="","",INDEX('NHẬP ĐƠN HÀNG'!$E$6:$E$505,$N146)))</f>
        <v/>
      </c>
      <c r="E146" s="16" t="str">
        <f aca="false">IF($N146="","",IF(INDEX('NHẬP ĐƠN HÀNG'!$F$6:$F$505,$N146)="","",INDEX('NHẬP ĐƠN HÀNG'!$F$6:$F$505,$N146)))</f>
        <v/>
      </c>
      <c r="F146" s="16" t="str">
        <f aca="false">IF($N146="","",IF(INDEX('NHẬP ĐƠN HÀNG'!$H$6:$H$505,$N146)="","",INDEX('NHẬP ĐƠN HÀNG'!$H$6:$H$505,$N146)))</f>
        <v/>
      </c>
      <c r="G146" s="10" t="str">
        <f aca="false">IF($N146="","",N(INDEX('NHẬP ĐƠN HÀNG'!$I$6:$I$505,$N146)))</f>
        <v/>
      </c>
      <c r="H146" s="10" t="str">
        <f aca="false">IF($N146="","",N(INDEX('NHẬP ĐƠN HÀNG'!$L$6:$L$505,$N146)))</f>
        <v/>
      </c>
      <c r="I146" s="11" t="str">
        <f aca="false">IF($N146="","",N(INDEX('NHẬP ĐƠN HÀNG'!$N$6:$N$505,$N146)))</f>
        <v/>
      </c>
      <c r="J146" s="10" t="str">
        <f aca="false">IF($N146="","",N(INDEX('NHẬP ĐƠN HÀNG'!$O$6:$O$505,$N146)))</f>
        <v/>
      </c>
      <c r="K146" s="10" t="str">
        <f aca="false">IF($N146="","",N(INDEX('NHẬP ĐƠN HÀNG'!$P$6:$P$505,$N146)))</f>
        <v/>
      </c>
      <c r="L146" s="10" t="str">
        <f aca="false">IF($N146="","",N(INDEX('NHẬP ĐƠN HÀNG'!$Q$6:$Q$505,$N146)))</f>
        <v/>
      </c>
      <c r="M146" s="10" t="str">
        <f aca="false">IF($N146="","",N(INDEX('NHẬP ĐƠN HÀNG'!$R$6:$R$505,$N146)))</f>
        <v/>
      </c>
      <c r="N146" s="0" t="str">
        <f aca="false">IFERROR(MATCH(141,'NHẬP ĐƠN HÀNG'!$Z$6:$Z$505,0),"")</f>
        <v/>
      </c>
    </row>
    <row r="147" customFormat="false" ht="15" hidden="false" customHeight="false" outlineLevel="0" collapsed="false">
      <c r="A147" s="16" t="str">
        <f aca="false">IF($N147="","",142)</f>
        <v/>
      </c>
      <c r="B147" s="34" t="str">
        <f aca="false">IF($N147="","",IF(INDEX('NHẬP ĐƠN HÀNG'!$B$6:$B$505,$N147)="","",INDEX('NHẬP ĐƠN HÀNG'!$B$6:$B$505,$N147)))</f>
        <v/>
      </c>
      <c r="C147" s="16" t="str">
        <f aca="false">IF($N147="","",IF(INDEX('NHẬP ĐƠN HÀNG'!$C$6:$C$505,$N147)="","",INDEX('NHẬP ĐƠN HÀNG'!$C$6:$C$505,$N147)))</f>
        <v/>
      </c>
      <c r="D147" s="16" t="str">
        <f aca="false">IF($N147="","",IF(INDEX('NHẬP ĐƠN HÀNG'!$E$6:$E$505,$N147)="","",INDEX('NHẬP ĐƠN HÀNG'!$E$6:$E$505,$N147)))</f>
        <v/>
      </c>
      <c r="E147" s="16" t="str">
        <f aca="false">IF($N147="","",IF(INDEX('NHẬP ĐƠN HÀNG'!$F$6:$F$505,$N147)="","",INDEX('NHẬP ĐƠN HÀNG'!$F$6:$F$505,$N147)))</f>
        <v/>
      </c>
      <c r="F147" s="16" t="str">
        <f aca="false">IF($N147="","",IF(INDEX('NHẬP ĐƠN HÀNG'!$H$6:$H$505,$N147)="","",INDEX('NHẬP ĐƠN HÀNG'!$H$6:$H$505,$N147)))</f>
        <v/>
      </c>
      <c r="G147" s="10" t="str">
        <f aca="false">IF($N147="","",N(INDEX('NHẬP ĐƠN HÀNG'!$I$6:$I$505,$N147)))</f>
        <v/>
      </c>
      <c r="H147" s="10" t="str">
        <f aca="false">IF($N147="","",N(INDEX('NHẬP ĐƠN HÀNG'!$L$6:$L$505,$N147)))</f>
        <v/>
      </c>
      <c r="I147" s="11" t="str">
        <f aca="false">IF($N147="","",N(INDEX('NHẬP ĐƠN HÀNG'!$N$6:$N$505,$N147)))</f>
        <v/>
      </c>
      <c r="J147" s="10" t="str">
        <f aca="false">IF($N147="","",N(INDEX('NHẬP ĐƠN HÀNG'!$O$6:$O$505,$N147)))</f>
        <v/>
      </c>
      <c r="K147" s="10" t="str">
        <f aca="false">IF($N147="","",N(INDEX('NHẬP ĐƠN HÀNG'!$P$6:$P$505,$N147)))</f>
        <v/>
      </c>
      <c r="L147" s="10" t="str">
        <f aca="false">IF($N147="","",N(INDEX('NHẬP ĐƠN HÀNG'!$Q$6:$Q$505,$N147)))</f>
        <v/>
      </c>
      <c r="M147" s="10" t="str">
        <f aca="false">IF($N147="","",N(INDEX('NHẬP ĐƠN HÀNG'!$R$6:$R$505,$N147)))</f>
        <v/>
      </c>
      <c r="N147" s="0" t="str">
        <f aca="false">IFERROR(MATCH(142,'NHẬP ĐƠN HÀNG'!$Z$6:$Z$505,0),"")</f>
        <v/>
      </c>
    </row>
    <row r="148" customFormat="false" ht="15" hidden="false" customHeight="false" outlineLevel="0" collapsed="false">
      <c r="A148" s="16" t="str">
        <f aca="false">IF($N148="","",143)</f>
        <v/>
      </c>
      <c r="B148" s="34" t="str">
        <f aca="false">IF($N148="","",IF(INDEX('NHẬP ĐƠN HÀNG'!$B$6:$B$505,$N148)="","",INDEX('NHẬP ĐƠN HÀNG'!$B$6:$B$505,$N148)))</f>
        <v/>
      </c>
      <c r="C148" s="16" t="str">
        <f aca="false">IF($N148="","",IF(INDEX('NHẬP ĐƠN HÀNG'!$C$6:$C$505,$N148)="","",INDEX('NHẬP ĐƠN HÀNG'!$C$6:$C$505,$N148)))</f>
        <v/>
      </c>
      <c r="D148" s="16" t="str">
        <f aca="false">IF($N148="","",IF(INDEX('NHẬP ĐƠN HÀNG'!$E$6:$E$505,$N148)="","",INDEX('NHẬP ĐƠN HÀNG'!$E$6:$E$505,$N148)))</f>
        <v/>
      </c>
      <c r="E148" s="16" t="str">
        <f aca="false">IF($N148="","",IF(INDEX('NHẬP ĐƠN HÀNG'!$F$6:$F$505,$N148)="","",INDEX('NHẬP ĐƠN HÀNG'!$F$6:$F$505,$N148)))</f>
        <v/>
      </c>
      <c r="F148" s="16" t="str">
        <f aca="false">IF($N148="","",IF(INDEX('NHẬP ĐƠN HÀNG'!$H$6:$H$505,$N148)="","",INDEX('NHẬP ĐƠN HÀNG'!$H$6:$H$505,$N148)))</f>
        <v/>
      </c>
      <c r="G148" s="10" t="str">
        <f aca="false">IF($N148="","",N(INDEX('NHẬP ĐƠN HÀNG'!$I$6:$I$505,$N148)))</f>
        <v/>
      </c>
      <c r="H148" s="10" t="str">
        <f aca="false">IF($N148="","",N(INDEX('NHẬP ĐƠN HÀNG'!$L$6:$L$505,$N148)))</f>
        <v/>
      </c>
      <c r="I148" s="11" t="str">
        <f aca="false">IF($N148="","",N(INDEX('NHẬP ĐƠN HÀNG'!$N$6:$N$505,$N148)))</f>
        <v/>
      </c>
      <c r="J148" s="10" t="str">
        <f aca="false">IF($N148="","",N(INDEX('NHẬP ĐƠN HÀNG'!$O$6:$O$505,$N148)))</f>
        <v/>
      </c>
      <c r="K148" s="10" t="str">
        <f aca="false">IF($N148="","",N(INDEX('NHẬP ĐƠN HÀNG'!$P$6:$P$505,$N148)))</f>
        <v/>
      </c>
      <c r="L148" s="10" t="str">
        <f aca="false">IF($N148="","",N(INDEX('NHẬP ĐƠN HÀNG'!$Q$6:$Q$505,$N148)))</f>
        <v/>
      </c>
      <c r="M148" s="10" t="str">
        <f aca="false">IF($N148="","",N(INDEX('NHẬP ĐƠN HÀNG'!$R$6:$R$505,$N148)))</f>
        <v/>
      </c>
      <c r="N148" s="0" t="str">
        <f aca="false">IFERROR(MATCH(143,'NHẬP ĐƠN HÀNG'!$Z$6:$Z$505,0),"")</f>
        <v/>
      </c>
    </row>
    <row r="149" customFormat="false" ht="15" hidden="false" customHeight="false" outlineLevel="0" collapsed="false">
      <c r="A149" s="16" t="str">
        <f aca="false">IF($N149="","",144)</f>
        <v/>
      </c>
      <c r="B149" s="34" t="str">
        <f aca="false">IF($N149="","",IF(INDEX('NHẬP ĐƠN HÀNG'!$B$6:$B$505,$N149)="","",INDEX('NHẬP ĐƠN HÀNG'!$B$6:$B$505,$N149)))</f>
        <v/>
      </c>
      <c r="C149" s="16" t="str">
        <f aca="false">IF($N149="","",IF(INDEX('NHẬP ĐƠN HÀNG'!$C$6:$C$505,$N149)="","",INDEX('NHẬP ĐƠN HÀNG'!$C$6:$C$505,$N149)))</f>
        <v/>
      </c>
      <c r="D149" s="16" t="str">
        <f aca="false">IF($N149="","",IF(INDEX('NHẬP ĐƠN HÀNG'!$E$6:$E$505,$N149)="","",INDEX('NHẬP ĐƠN HÀNG'!$E$6:$E$505,$N149)))</f>
        <v/>
      </c>
      <c r="E149" s="16" t="str">
        <f aca="false">IF($N149="","",IF(INDEX('NHẬP ĐƠN HÀNG'!$F$6:$F$505,$N149)="","",INDEX('NHẬP ĐƠN HÀNG'!$F$6:$F$505,$N149)))</f>
        <v/>
      </c>
      <c r="F149" s="16" t="str">
        <f aca="false">IF($N149="","",IF(INDEX('NHẬP ĐƠN HÀNG'!$H$6:$H$505,$N149)="","",INDEX('NHẬP ĐƠN HÀNG'!$H$6:$H$505,$N149)))</f>
        <v/>
      </c>
      <c r="G149" s="10" t="str">
        <f aca="false">IF($N149="","",N(INDEX('NHẬP ĐƠN HÀNG'!$I$6:$I$505,$N149)))</f>
        <v/>
      </c>
      <c r="H149" s="10" t="str">
        <f aca="false">IF($N149="","",N(INDEX('NHẬP ĐƠN HÀNG'!$L$6:$L$505,$N149)))</f>
        <v/>
      </c>
      <c r="I149" s="11" t="str">
        <f aca="false">IF($N149="","",N(INDEX('NHẬP ĐƠN HÀNG'!$N$6:$N$505,$N149)))</f>
        <v/>
      </c>
      <c r="J149" s="10" t="str">
        <f aca="false">IF($N149="","",N(INDEX('NHẬP ĐƠN HÀNG'!$O$6:$O$505,$N149)))</f>
        <v/>
      </c>
      <c r="K149" s="10" t="str">
        <f aca="false">IF($N149="","",N(INDEX('NHẬP ĐƠN HÀNG'!$P$6:$P$505,$N149)))</f>
        <v/>
      </c>
      <c r="L149" s="10" t="str">
        <f aca="false">IF($N149="","",N(INDEX('NHẬP ĐƠN HÀNG'!$Q$6:$Q$505,$N149)))</f>
        <v/>
      </c>
      <c r="M149" s="10" t="str">
        <f aca="false">IF($N149="","",N(INDEX('NHẬP ĐƠN HÀNG'!$R$6:$R$505,$N149)))</f>
        <v/>
      </c>
      <c r="N149" s="0" t="str">
        <f aca="false">IFERROR(MATCH(144,'NHẬP ĐƠN HÀNG'!$Z$6:$Z$505,0),"")</f>
        <v/>
      </c>
    </row>
    <row r="150" customFormat="false" ht="15" hidden="false" customHeight="false" outlineLevel="0" collapsed="false">
      <c r="A150" s="16" t="str">
        <f aca="false">IF($N150="","",145)</f>
        <v/>
      </c>
      <c r="B150" s="34" t="str">
        <f aca="false">IF($N150="","",IF(INDEX('NHẬP ĐƠN HÀNG'!$B$6:$B$505,$N150)="","",INDEX('NHẬP ĐƠN HÀNG'!$B$6:$B$505,$N150)))</f>
        <v/>
      </c>
      <c r="C150" s="16" t="str">
        <f aca="false">IF($N150="","",IF(INDEX('NHẬP ĐƠN HÀNG'!$C$6:$C$505,$N150)="","",INDEX('NHẬP ĐƠN HÀNG'!$C$6:$C$505,$N150)))</f>
        <v/>
      </c>
      <c r="D150" s="16" t="str">
        <f aca="false">IF($N150="","",IF(INDEX('NHẬP ĐƠN HÀNG'!$E$6:$E$505,$N150)="","",INDEX('NHẬP ĐƠN HÀNG'!$E$6:$E$505,$N150)))</f>
        <v/>
      </c>
      <c r="E150" s="16" t="str">
        <f aca="false">IF($N150="","",IF(INDEX('NHẬP ĐƠN HÀNG'!$F$6:$F$505,$N150)="","",INDEX('NHẬP ĐƠN HÀNG'!$F$6:$F$505,$N150)))</f>
        <v/>
      </c>
      <c r="F150" s="16" t="str">
        <f aca="false">IF($N150="","",IF(INDEX('NHẬP ĐƠN HÀNG'!$H$6:$H$505,$N150)="","",INDEX('NHẬP ĐƠN HÀNG'!$H$6:$H$505,$N150)))</f>
        <v/>
      </c>
      <c r="G150" s="10" t="str">
        <f aca="false">IF($N150="","",N(INDEX('NHẬP ĐƠN HÀNG'!$I$6:$I$505,$N150)))</f>
        <v/>
      </c>
      <c r="H150" s="10" t="str">
        <f aca="false">IF($N150="","",N(INDEX('NHẬP ĐƠN HÀNG'!$L$6:$L$505,$N150)))</f>
        <v/>
      </c>
      <c r="I150" s="11" t="str">
        <f aca="false">IF($N150="","",N(INDEX('NHẬP ĐƠN HÀNG'!$N$6:$N$505,$N150)))</f>
        <v/>
      </c>
      <c r="J150" s="10" t="str">
        <f aca="false">IF($N150="","",N(INDEX('NHẬP ĐƠN HÀNG'!$O$6:$O$505,$N150)))</f>
        <v/>
      </c>
      <c r="K150" s="10" t="str">
        <f aca="false">IF($N150="","",N(INDEX('NHẬP ĐƠN HÀNG'!$P$6:$P$505,$N150)))</f>
        <v/>
      </c>
      <c r="L150" s="10" t="str">
        <f aca="false">IF($N150="","",N(INDEX('NHẬP ĐƠN HÀNG'!$Q$6:$Q$505,$N150)))</f>
        <v/>
      </c>
      <c r="M150" s="10" t="str">
        <f aca="false">IF($N150="","",N(INDEX('NHẬP ĐƠN HÀNG'!$R$6:$R$505,$N150)))</f>
        <v/>
      </c>
      <c r="N150" s="0" t="str">
        <f aca="false">IFERROR(MATCH(145,'NHẬP ĐƠN HÀNG'!$Z$6:$Z$505,0),"")</f>
        <v/>
      </c>
    </row>
    <row r="151" customFormat="false" ht="15" hidden="false" customHeight="false" outlineLevel="0" collapsed="false">
      <c r="A151" s="16" t="str">
        <f aca="false">IF($N151="","",146)</f>
        <v/>
      </c>
      <c r="B151" s="34" t="str">
        <f aca="false">IF($N151="","",IF(INDEX('NHẬP ĐƠN HÀNG'!$B$6:$B$505,$N151)="","",INDEX('NHẬP ĐƠN HÀNG'!$B$6:$B$505,$N151)))</f>
        <v/>
      </c>
      <c r="C151" s="16" t="str">
        <f aca="false">IF($N151="","",IF(INDEX('NHẬP ĐƠN HÀNG'!$C$6:$C$505,$N151)="","",INDEX('NHẬP ĐƠN HÀNG'!$C$6:$C$505,$N151)))</f>
        <v/>
      </c>
      <c r="D151" s="16" t="str">
        <f aca="false">IF($N151="","",IF(INDEX('NHẬP ĐƠN HÀNG'!$E$6:$E$505,$N151)="","",INDEX('NHẬP ĐƠN HÀNG'!$E$6:$E$505,$N151)))</f>
        <v/>
      </c>
      <c r="E151" s="16" t="str">
        <f aca="false">IF($N151="","",IF(INDEX('NHẬP ĐƠN HÀNG'!$F$6:$F$505,$N151)="","",INDEX('NHẬP ĐƠN HÀNG'!$F$6:$F$505,$N151)))</f>
        <v/>
      </c>
      <c r="F151" s="16" t="str">
        <f aca="false">IF($N151="","",IF(INDEX('NHẬP ĐƠN HÀNG'!$H$6:$H$505,$N151)="","",INDEX('NHẬP ĐƠN HÀNG'!$H$6:$H$505,$N151)))</f>
        <v/>
      </c>
      <c r="G151" s="10" t="str">
        <f aca="false">IF($N151="","",N(INDEX('NHẬP ĐƠN HÀNG'!$I$6:$I$505,$N151)))</f>
        <v/>
      </c>
      <c r="H151" s="10" t="str">
        <f aca="false">IF($N151="","",N(INDEX('NHẬP ĐƠN HÀNG'!$L$6:$L$505,$N151)))</f>
        <v/>
      </c>
      <c r="I151" s="11" t="str">
        <f aca="false">IF($N151="","",N(INDEX('NHẬP ĐƠN HÀNG'!$N$6:$N$505,$N151)))</f>
        <v/>
      </c>
      <c r="J151" s="10" t="str">
        <f aca="false">IF($N151="","",N(INDEX('NHẬP ĐƠN HÀNG'!$O$6:$O$505,$N151)))</f>
        <v/>
      </c>
      <c r="K151" s="10" t="str">
        <f aca="false">IF($N151="","",N(INDEX('NHẬP ĐƠN HÀNG'!$P$6:$P$505,$N151)))</f>
        <v/>
      </c>
      <c r="L151" s="10" t="str">
        <f aca="false">IF($N151="","",N(INDEX('NHẬP ĐƠN HÀNG'!$Q$6:$Q$505,$N151)))</f>
        <v/>
      </c>
      <c r="M151" s="10" t="str">
        <f aca="false">IF($N151="","",N(INDEX('NHẬP ĐƠN HÀNG'!$R$6:$R$505,$N151)))</f>
        <v/>
      </c>
      <c r="N151" s="0" t="str">
        <f aca="false">IFERROR(MATCH(146,'NHẬP ĐƠN HÀNG'!$Z$6:$Z$505,0),"")</f>
        <v/>
      </c>
    </row>
    <row r="152" customFormat="false" ht="15" hidden="false" customHeight="false" outlineLevel="0" collapsed="false">
      <c r="A152" s="16" t="str">
        <f aca="false">IF($N152="","",147)</f>
        <v/>
      </c>
      <c r="B152" s="34" t="str">
        <f aca="false">IF($N152="","",IF(INDEX('NHẬP ĐƠN HÀNG'!$B$6:$B$505,$N152)="","",INDEX('NHẬP ĐƠN HÀNG'!$B$6:$B$505,$N152)))</f>
        <v/>
      </c>
      <c r="C152" s="16" t="str">
        <f aca="false">IF($N152="","",IF(INDEX('NHẬP ĐƠN HÀNG'!$C$6:$C$505,$N152)="","",INDEX('NHẬP ĐƠN HÀNG'!$C$6:$C$505,$N152)))</f>
        <v/>
      </c>
      <c r="D152" s="16" t="str">
        <f aca="false">IF($N152="","",IF(INDEX('NHẬP ĐƠN HÀNG'!$E$6:$E$505,$N152)="","",INDEX('NHẬP ĐƠN HÀNG'!$E$6:$E$505,$N152)))</f>
        <v/>
      </c>
      <c r="E152" s="16" t="str">
        <f aca="false">IF($N152="","",IF(INDEX('NHẬP ĐƠN HÀNG'!$F$6:$F$505,$N152)="","",INDEX('NHẬP ĐƠN HÀNG'!$F$6:$F$505,$N152)))</f>
        <v/>
      </c>
      <c r="F152" s="16" t="str">
        <f aca="false">IF($N152="","",IF(INDEX('NHẬP ĐƠN HÀNG'!$H$6:$H$505,$N152)="","",INDEX('NHẬP ĐƠN HÀNG'!$H$6:$H$505,$N152)))</f>
        <v/>
      </c>
      <c r="G152" s="10" t="str">
        <f aca="false">IF($N152="","",N(INDEX('NHẬP ĐƠN HÀNG'!$I$6:$I$505,$N152)))</f>
        <v/>
      </c>
      <c r="H152" s="10" t="str">
        <f aca="false">IF($N152="","",N(INDEX('NHẬP ĐƠN HÀNG'!$L$6:$L$505,$N152)))</f>
        <v/>
      </c>
      <c r="I152" s="11" t="str">
        <f aca="false">IF($N152="","",N(INDEX('NHẬP ĐƠN HÀNG'!$N$6:$N$505,$N152)))</f>
        <v/>
      </c>
      <c r="J152" s="10" t="str">
        <f aca="false">IF($N152="","",N(INDEX('NHẬP ĐƠN HÀNG'!$O$6:$O$505,$N152)))</f>
        <v/>
      </c>
      <c r="K152" s="10" t="str">
        <f aca="false">IF($N152="","",N(INDEX('NHẬP ĐƠN HÀNG'!$P$6:$P$505,$N152)))</f>
        <v/>
      </c>
      <c r="L152" s="10" t="str">
        <f aca="false">IF($N152="","",N(INDEX('NHẬP ĐƠN HÀNG'!$Q$6:$Q$505,$N152)))</f>
        <v/>
      </c>
      <c r="M152" s="10" t="str">
        <f aca="false">IF($N152="","",N(INDEX('NHẬP ĐƠN HÀNG'!$R$6:$R$505,$N152)))</f>
        <v/>
      </c>
      <c r="N152" s="0" t="str">
        <f aca="false">IFERROR(MATCH(147,'NHẬP ĐƠN HÀNG'!$Z$6:$Z$505,0),"")</f>
        <v/>
      </c>
    </row>
    <row r="153" customFormat="false" ht="15" hidden="false" customHeight="false" outlineLevel="0" collapsed="false">
      <c r="A153" s="16" t="str">
        <f aca="false">IF($N153="","",148)</f>
        <v/>
      </c>
      <c r="B153" s="34" t="str">
        <f aca="false">IF($N153="","",IF(INDEX('NHẬP ĐƠN HÀNG'!$B$6:$B$505,$N153)="","",INDEX('NHẬP ĐƠN HÀNG'!$B$6:$B$505,$N153)))</f>
        <v/>
      </c>
      <c r="C153" s="16" t="str">
        <f aca="false">IF($N153="","",IF(INDEX('NHẬP ĐƠN HÀNG'!$C$6:$C$505,$N153)="","",INDEX('NHẬP ĐƠN HÀNG'!$C$6:$C$505,$N153)))</f>
        <v/>
      </c>
      <c r="D153" s="16" t="str">
        <f aca="false">IF($N153="","",IF(INDEX('NHẬP ĐƠN HÀNG'!$E$6:$E$505,$N153)="","",INDEX('NHẬP ĐƠN HÀNG'!$E$6:$E$505,$N153)))</f>
        <v/>
      </c>
      <c r="E153" s="16" t="str">
        <f aca="false">IF($N153="","",IF(INDEX('NHẬP ĐƠN HÀNG'!$F$6:$F$505,$N153)="","",INDEX('NHẬP ĐƠN HÀNG'!$F$6:$F$505,$N153)))</f>
        <v/>
      </c>
      <c r="F153" s="16" t="str">
        <f aca="false">IF($N153="","",IF(INDEX('NHẬP ĐƠN HÀNG'!$H$6:$H$505,$N153)="","",INDEX('NHẬP ĐƠN HÀNG'!$H$6:$H$505,$N153)))</f>
        <v/>
      </c>
      <c r="G153" s="10" t="str">
        <f aca="false">IF($N153="","",N(INDEX('NHẬP ĐƠN HÀNG'!$I$6:$I$505,$N153)))</f>
        <v/>
      </c>
      <c r="H153" s="10" t="str">
        <f aca="false">IF($N153="","",N(INDEX('NHẬP ĐƠN HÀNG'!$L$6:$L$505,$N153)))</f>
        <v/>
      </c>
      <c r="I153" s="11" t="str">
        <f aca="false">IF($N153="","",N(INDEX('NHẬP ĐƠN HÀNG'!$N$6:$N$505,$N153)))</f>
        <v/>
      </c>
      <c r="J153" s="10" t="str">
        <f aca="false">IF($N153="","",N(INDEX('NHẬP ĐƠN HÀNG'!$O$6:$O$505,$N153)))</f>
        <v/>
      </c>
      <c r="K153" s="10" t="str">
        <f aca="false">IF($N153="","",N(INDEX('NHẬP ĐƠN HÀNG'!$P$6:$P$505,$N153)))</f>
        <v/>
      </c>
      <c r="L153" s="10" t="str">
        <f aca="false">IF($N153="","",N(INDEX('NHẬP ĐƠN HÀNG'!$Q$6:$Q$505,$N153)))</f>
        <v/>
      </c>
      <c r="M153" s="10" t="str">
        <f aca="false">IF($N153="","",N(INDEX('NHẬP ĐƠN HÀNG'!$R$6:$R$505,$N153)))</f>
        <v/>
      </c>
      <c r="N153" s="0" t="str">
        <f aca="false">IFERROR(MATCH(148,'NHẬP ĐƠN HÀNG'!$Z$6:$Z$505,0),"")</f>
        <v/>
      </c>
    </row>
    <row r="154" customFormat="false" ht="15" hidden="false" customHeight="false" outlineLevel="0" collapsed="false">
      <c r="A154" s="16" t="str">
        <f aca="false">IF($N154="","",149)</f>
        <v/>
      </c>
      <c r="B154" s="34" t="str">
        <f aca="false">IF($N154="","",IF(INDEX('NHẬP ĐƠN HÀNG'!$B$6:$B$505,$N154)="","",INDEX('NHẬP ĐƠN HÀNG'!$B$6:$B$505,$N154)))</f>
        <v/>
      </c>
      <c r="C154" s="16" t="str">
        <f aca="false">IF($N154="","",IF(INDEX('NHẬP ĐƠN HÀNG'!$C$6:$C$505,$N154)="","",INDEX('NHẬP ĐƠN HÀNG'!$C$6:$C$505,$N154)))</f>
        <v/>
      </c>
      <c r="D154" s="16" t="str">
        <f aca="false">IF($N154="","",IF(INDEX('NHẬP ĐƠN HÀNG'!$E$6:$E$505,$N154)="","",INDEX('NHẬP ĐƠN HÀNG'!$E$6:$E$505,$N154)))</f>
        <v/>
      </c>
      <c r="E154" s="16" t="str">
        <f aca="false">IF($N154="","",IF(INDEX('NHẬP ĐƠN HÀNG'!$F$6:$F$505,$N154)="","",INDEX('NHẬP ĐƠN HÀNG'!$F$6:$F$505,$N154)))</f>
        <v/>
      </c>
      <c r="F154" s="16" t="str">
        <f aca="false">IF($N154="","",IF(INDEX('NHẬP ĐƠN HÀNG'!$H$6:$H$505,$N154)="","",INDEX('NHẬP ĐƠN HÀNG'!$H$6:$H$505,$N154)))</f>
        <v/>
      </c>
      <c r="G154" s="10" t="str">
        <f aca="false">IF($N154="","",N(INDEX('NHẬP ĐƠN HÀNG'!$I$6:$I$505,$N154)))</f>
        <v/>
      </c>
      <c r="H154" s="10" t="str">
        <f aca="false">IF($N154="","",N(INDEX('NHẬP ĐƠN HÀNG'!$L$6:$L$505,$N154)))</f>
        <v/>
      </c>
      <c r="I154" s="11" t="str">
        <f aca="false">IF($N154="","",N(INDEX('NHẬP ĐƠN HÀNG'!$N$6:$N$505,$N154)))</f>
        <v/>
      </c>
      <c r="J154" s="10" t="str">
        <f aca="false">IF($N154="","",N(INDEX('NHẬP ĐƠN HÀNG'!$O$6:$O$505,$N154)))</f>
        <v/>
      </c>
      <c r="K154" s="10" t="str">
        <f aca="false">IF($N154="","",N(INDEX('NHẬP ĐƠN HÀNG'!$P$6:$P$505,$N154)))</f>
        <v/>
      </c>
      <c r="L154" s="10" t="str">
        <f aca="false">IF($N154="","",N(INDEX('NHẬP ĐƠN HÀNG'!$Q$6:$Q$505,$N154)))</f>
        <v/>
      </c>
      <c r="M154" s="10" t="str">
        <f aca="false">IF($N154="","",N(INDEX('NHẬP ĐƠN HÀNG'!$R$6:$R$505,$N154)))</f>
        <v/>
      </c>
      <c r="N154" s="0" t="str">
        <f aca="false">IFERROR(MATCH(149,'NHẬP ĐƠN HÀNG'!$Z$6:$Z$505,0),"")</f>
        <v/>
      </c>
    </row>
    <row r="155" customFormat="false" ht="15" hidden="false" customHeight="false" outlineLevel="0" collapsed="false">
      <c r="A155" s="16" t="str">
        <f aca="false">IF($N155="","",150)</f>
        <v/>
      </c>
      <c r="B155" s="34" t="str">
        <f aca="false">IF($N155="","",IF(INDEX('NHẬP ĐƠN HÀNG'!$B$6:$B$505,$N155)="","",INDEX('NHẬP ĐƠN HÀNG'!$B$6:$B$505,$N155)))</f>
        <v/>
      </c>
      <c r="C155" s="16" t="str">
        <f aca="false">IF($N155="","",IF(INDEX('NHẬP ĐƠN HÀNG'!$C$6:$C$505,$N155)="","",INDEX('NHẬP ĐƠN HÀNG'!$C$6:$C$505,$N155)))</f>
        <v/>
      </c>
      <c r="D155" s="16" t="str">
        <f aca="false">IF($N155="","",IF(INDEX('NHẬP ĐƠN HÀNG'!$E$6:$E$505,$N155)="","",INDEX('NHẬP ĐƠN HÀNG'!$E$6:$E$505,$N155)))</f>
        <v/>
      </c>
      <c r="E155" s="16" t="str">
        <f aca="false">IF($N155="","",IF(INDEX('NHẬP ĐƠN HÀNG'!$F$6:$F$505,$N155)="","",INDEX('NHẬP ĐƠN HÀNG'!$F$6:$F$505,$N155)))</f>
        <v/>
      </c>
      <c r="F155" s="16" t="str">
        <f aca="false">IF($N155="","",IF(INDEX('NHẬP ĐƠN HÀNG'!$H$6:$H$505,$N155)="","",INDEX('NHẬP ĐƠN HÀNG'!$H$6:$H$505,$N155)))</f>
        <v/>
      </c>
      <c r="G155" s="10" t="str">
        <f aca="false">IF($N155="","",N(INDEX('NHẬP ĐƠN HÀNG'!$I$6:$I$505,$N155)))</f>
        <v/>
      </c>
      <c r="H155" s="10" t="str">
        <f aca="false">IF($N155="","",N(INDEX('NHẬP ĐƠN HÀNG'!$L$6:$L$505,$N155)))</f>
        <v/>
      </c>
      <c r="I155" s="11" t="str">
        <f aca="false">IF($N155="","",N(INDEX('NHẬP ĐƠN HÀNG'!$N$6:$N$505,$N155)))</f>
        <v/>
      </c>
      <c r="J155" s="10" t="str">
        <f aca="false">IF($N155="","",N(INDEX('NHẬP ĐƠN HÀNG'!$O$6:$O$505,$N155)))</f>
        <v/>
      </c>
      <c r="K155" s="10" t="str">
        <f aca="false">IF($N155="","",N(INDEX('NHẬP ĐƠN HÀNG'!$P$6:$P$505,$N155)))</f>
        <v/>
      </c>
      <c r="L155" s="10" t="str">
        <f aca="false">IF($N155="","",N(INDEX('NHẬP ĐƠN HÀNG'!$Q$6:$Q$505,$N155)))</f>
        <v/>
      </c>
      <c r="M155" s="10" t="str">
        <f aca="false">IF($N155="","",N(INDEX('NHẬP ĐƠN HÀNG'!$R$6:$R$505,$N155)))</f>
        <v/>
      </c>
      <c r="N155" s="0" t="str">
        <f aca="false">IFERROR(MATCH(150,'NHẬP ĐƠN HÀNG'!$Z$6:$Z$505,0),"")</f>
        <v/>
      </c>
    </row>
    <row r="156" customFormat="false" ht="15" hidden="false" customHeight="false" outlineLevel="0" collapsed="false">
      <c r="A156" s="16" t="str">
        <f aca="false">IF($N156="","",151)</f>
        <v/>
      </c>
      <c r="B156" s="34" t="str">
        <f aca="false">IF($N156="","",IF(INDEX('NHẬP ĐƠN HÀNG'!$B$6:$B$505,$N156)="","",INDEX('NHẬP ĐƠN HÀNG'!$B$6:$B$505,$N156)))</f>
        <v/>
      </c>
      <c r="C156" s="16" t="str">
        <f aca="false">IF($N156="","",IF(INDEX('NHẬP ĐƠN HÀNG'!$C$6:$C$505,$N156)="","",INDEX('NHẬP ĐƠN HÀNG'!$C$6:$C$505,$N156)))</f>
        <v/>
      </c>
      <c r="D156" s="16" t="str">
        <f aca="false">IF($N156="","",IF(INDEX('NHẬP ĐƠN HÀNG'!$E$6:$E$505,$N156)="","",INDEX('NHẬP ĐƠN HÀNG'!$E$6:$E$505,$N156)))</f>
        <v/>
      </c>
      <c r="E156" s="16" t="str">
        <f aca="false">IF($N156="","",IF(INDEX('NHẬP ĐƠN HÀNG'!$F$6:$F$505,$N156)="","",INDEX('NHẬP ĐƠN HÀNG'!$F$6:$F$505,$N156)))</f>
        <v/>
      </c>
      <c r="F156" s="16" t="str">
        <f aca="false">IF($N156="","",IF(INDEX('NHẬP ĐƠN HÀNG'!$H$6:$H$505,$N156)="","",INDEX('NHẬP ĐƠN HÀNG'!$H$6:$H$505,$N156)))</f>
        <v/>
      </c>
      <c r="G156" s="10" t="str">
        <f aca="false">IF($N156="","",N(INDEX('NHẬP ĐƠN HÀNG'!$I$6:$I$505,$N156)))</f>
        <v/>
      </c>
      <c r="H156" s="10" t="str">
        <f aca="false">IF($N156="","",N(INDEX('NHẬP ĐƠN HÀNG'!$L$6:$L$505,$N156)))</f>
        <v/>
      </c>
      <c r="I156" s="11" t="str">
        <f aca="false">IF($N156="","",N(INDEX('NHẬP ĐƠN HÀNG'!$N$6:$N$505,$N156)))</f>
        <v/>
      </c>
      <c r="J156" s="10" t="str">
        <f aca="false">IF($N156="","",N(INDEX('NHẬP ĐƠN HÀNG'!$O$6:$O$505,$N156)))</f>
        <v/>
      </c>
      <c r="K156" s="10" t="str">
        <f aca="false">IF($N156="","",N(INDEX('NHẬP ĐƠN HÀNG'!$P$6:$P$505,$N156)))</f>
        <v/>
      </c>
      <c r="L156" s="10" t="str">
        <f aca="false">IF($N156="","",N(INDEX('NHẬP ĐƠN HÀNG'!$Q$6:$Q$505,$N156)))</f>
        <v/>
      </c>
      <c r="M156" s="10" t="str">
        <f aca="false">IF($N156="","",N(INDEX('NHẬP ĐƠN HÀNG'!$R$6:$R$505,$N156)))</f>
        <v/>
      </c>
      <c r="N156" s="0" t="str">
        <f aca="false">IFERROR(MATCH(151,'NHẬP ĐƠN HÀNG'!$Z$6:$Z$505,0),"")</f>
        <v/>
      </c>
    </row>
    <row r="157" customFormat="false" ht="15" hidden="false" customHeight="false" outlineLevel="0" collapsed="false">
      <c r="A157" s="16" t="str">
        <f aca="false">IF($N157="","",152)</f>
        <v/>
      </c>
      <c r="B157" s="34" t="str">
        <f aca="false">IF($N157="","",IF(INDEX('NHẬP ĐƠN HÀNG'!$B$6:$B$505,$N157)="","",INDEX('NHẬP ĐƠN HÀNG'!$B$6:$B$505,$N157)))</f>
        <v/>
      </c>
      <c r="C157" s="16" t="str">
        <f aca="false">IF($N157="","",IF(INDEX('NHẬP ĐƠN HÀNG'!$C$6:$C$505,$N157)="","",INDEX('NHẬP ĐƠN HÀNG'!$C$6:$C$505,$N157)))</f>
        <v/>
      </c>
      <c r="D157" s="16" t="str">
        <f aca="false">IF($N157="","",IF(INDEX('NHẬP ĐƠN HÀNG'!$E$6:$E$505,$N157)="","",INDEX('NHẬP ĐƠN HÀNG'!$E$6:$E$505,$N157)))</f>
        <v/>
      </c>
      <c r="E157" s="16" t="str">
        <f aca="false">IF($N157="","",IF(INDEX('NHẬP ĐƠN HÀNG'!$F$6:$F$505,$N157)="","",INDEX('NHẬP ĐƠN HÀNG'!$F$6:$F$505,$N157)))</f>
        <v/>
      </c>
      <c r="F157" s="16" t="str">
        <f aca="false">IF($N157="","",IF(INDEX('NHẬP ĐƠN HÀNG'!$H$6:$H$505,$N157)="","",INDEX('NHẬP ĐƠN HÀNG'!$H$6:$H$505,$N157)))</f>
        <v/>
      </c>
      <c r="G157" s="10" t="str">
        <f aca="false">IF($N157="","",N(INDEX('NHẬP ĐƠN HÀNG'!$I$6:$I$505,$N157)))</f>
        <v/>
      </c>
      <c r="H157" s="10" t="str">
        <f aca="false">IF($N157="","",N(INDEX('NHẬP ĐƠN HÀNG'!$L$6:$L$505,$N157)))</f>
        <v/>
      </c>
      <c r="I157" s="11" t="str">
        <f aca="false">IF($N157="","",N(INDEX('NHẬP ĐƠN HÀNG'!$N$6:$N$505,$N157)))</f>
        <v/>
      </c>
      <c r="J157" s="10" t="str">
        <f aca="false">IF($N157="","",N(INDEX('NHẬP ĐƠN HÀNG'!$O$6:$O$505,$N157)))</f>
        <v/>
      </c>
      <c r="K157" s="10" t="str">
        <f aca="false">IF($N157="","",N(INDEX('NHẬP ĐƠN HÀNG'!$P$6:$P$505,$N157)))</f>
        <v/>
      </c>
      <c r="L157" s="10" t="str">
        <f aca="false">IF($N157="","",N(INDEX('NHẬP ĐƠN HÀNG'!$Q$6:$Q$505,$N157)))</f>
        <v/>
      </c>
      <c r="M157" s="10" t="str">
        <f aca="false">IF($N157="","",N(INDEX('NHẬP ĐƠN HÀNG'!$R$6:$R$505,$N157)))</f>
        <v/>
      </c>
      <c r="N157" s="0" t="str">
        <f aca="false">IFERROR(MATCH(152,'NHẬP ĐƠN HÀNG'!$Z$6:$Z$505,0),"")</f>
        <v/>
      </c>
    </row>
    <row r="158" customFormat="false" ht="15" hidden="false" customHeight="false" outlineLevel="0" collapsed="false">
      <c r="A158" s="16" t="str">
        <f aca="false">IF($N158="","",153)</f>
        <v/>
      </c>
      <c r="B158" s="34" t="str">
        <f aca="false">IF($N158="","",IF(INDEX('NHẬP ĐƠN HÀNG'!$B$6:$B$505,$N158)="","",INDEX('NHẬP ĐƠN HÀNG'!$B$6:$B$505,$N158)))</f>
        <v/>
      </c>
      <c r="C158" s="16" t="str">
        <f aca="false">IF($N158="","",IF(INDEX('NHẬP ĐƠN HÀNG'!$C$6:$C$505,$N158)="","",INDEX('NHẬP ĐƠN HÀNG'!$C$6:$C$505,$N158)))</f>
        <v/>
      </c>
      <c r="D158" s="16" t="str">
        <f aca="false">IF($N158="","",IF(INDEX('NHẬP ĐƠN HÀNG'!$E$6:$E$505,$N158)="","",INDEX('NHẬP ĐƠN HÀNG'!$E$6:$E$505,$N158)))</f>
        <v/>
      </c>
      <c r="E158" s="16" t="str">
        <f aca="false">IF($N158="","",IF(INDEX('NHẬP ĐƠN HÀNG'!$F$6:$F$505,$N158)="","",INDEX('NHẬP ĐƠN HÀNG'!$F$6:$F$505,$N158)))</f>
        <v/>
      </c>
      <c r="F158" s="16" t="str">
        <f aca="false">IF($N158="","",IF(INDEX('NHẬP ĐƠN HÀNG'!$H$6:$H$505,$N158)="","",INDEX('NHẬP ĐƠN HÀNG'!$H$6:$H$505,$N158)))</f>
        <v/>
      </c>
      <c r="G158" s="10" t="str">
        <f aca="false">IF($N158="","",N(INDEX('NHẬP ĐƠN HÀNG'!$I$6:$I$505,$N158)))</f>
        <v/>
      </c>
      <c r="H158" s="10" t="str">
        <f aca="false">IF($N158="","",N(INDEX('NHẬP ĐƠN HÀNG'!$L$6:$L$505,$N158)))</f>
        <v/>
      </c>
      <c r="I158" s="11" t="str">
        <f aca="false">IF($N158="","",N(INDEX('NHẬP ĐƠN HÀNG'!$N$6:$N$505,$N158)))</f>
        <v/>
      </c>
      <c r="J158" s="10" t="str">
        <f aca="false">IF($N158="","",N(INDEX('NHẬP ĐƠN HÀNG'!$O$6:$O$505,$N158)))</f>
        <v/>
      </c>
      <c r="K158" s="10" t="str">
        <f aca="false">IF($N158="","",N(INDEX('NHẬP ĐƠN HÀNG'!$P$6:$P$505,$N158)))</f>
        <v/>
      </c>
      <c r="L158" s="10" t="str">
        <f aca="false">IF($N158="","",N(INDEX('NHẬP ĐƠN HÀNG'!$Q$6:$Q$505,$N158)))</f>
        <v/>
      </c>
      <c r="M158" s="10" t="str">
        <f aca="false">IF($N158="","",N(INDEX('NHẬP ĐƠN HÀNG'!$R$6:$R$505,$N158)))</f>
        <v/>
      </c>
      <c r="N158" s="0" t="str">
        <f aca="false">IFERROR(MATCH(153,'NHẬP ĐƠN HÀNG'!$Z$6:$Z$505,0),"")</f>
        <v/>
      </c>
    </row>
    <row r="159" customFormat="false" ht="15" hidden="false" customHeight="false" outlineLevel="0" collapsed="false">
      <c r="A159" s="16" t="str">
        <f aca="false">IF($N159="","",154)</f>
        <v/>
      </c>
      <c r="B159" s="34" t="str">
        <f aca="false">IF($N159="","",IF(INDEX('NHẬP ĐƠN HÀNG'!$B$6:$B$505,$N159)="","",INDEX('NHẬP ĐƠN HÀNG'!$B$6:$B$505,$N159)))</f>
        <v/>
      </c>
      <c r="C159" s="16" t="str">
        <f aca="false">IF($N159="","",IF(INDEX('NHẬP ĐƠN HÀNG'!$C$6:$C$505,$N159)="","",INDEX('NHẬP ĐƠN HÀNG'!$C$6:$C$505,$N159)))</f>
        <v/>
      </c>
      <c r="D159" s="16" t="str">
        <f aca="false">IF($N159="","",IF(INDEX('NHẬP ĐƠN HÀNG'!$E$6:$E$505,$N159)="","",INDEX('NHẬP ĐƠN HÀNG'!$E$6:$E$505,$N159)))</f>
        <v/>
      </c>
      <c r="E159" s="16" t="str">
        <f aca="false">IF($N159="","",IF(INDEX('NHẬP ĐƠN HÀNG'!$F$6:$F$505,$N159)="","",INDEX('NHẬP ĐƠN HÀNG'!$F$6:$F$505,$N159)))</f>
        <v/>
      </c>
      <c r="F159" s="16" t="str">
        <f aca="false">IF($N159="","",IF(INDEX('NHẬP ĐƠN HÀNG'!$H$6:$H$505,$N159)="","",INDEX('NHẬP ĐƠN HÀNG'!$H$6:$H$505,$N159)))</f>
        <v/>
      </c>
      <c r="G159" s="10" t="str">
        <f aca="false">IF($N159="","",N(INDEX('NHẬP ĐƠN HÀNG'!$I$6:$I$505,$N159)))</f>
        <v/>
      </c>
      <c r="H159" s="10" t="str">
        <f aca="false">IF($N159="","",N(INDEX('NHẬP ĐƠN HÀNG'!$L$6:$L$505,$N159)))</f>
        <v/>
      </c>
      <c r="I159" s="11" t="str">
        <f aca="false">IF($N159="","",N(INDEX('NHẬP ĐƠN HÀNG'!$N$6:$N$505,$N159)))</f>
        <v/>
      </c>
      <c r="J159" s="10" t="str">
        <f aca="false">IF($N159="","",N(INDEX('NHẬP ĐƠN HÀNG'!$O$6:$O$505,$N159)))</f>
        <v/>
      </c>
      <c r="K159" s="10" t="str">
        <f aca="false">IF($N159="","",N(INDEX('NHẬP ĐƠN HÀNG'!$P$6:$P$505,$N159)))</f>
        <v/>
      </c>
      <c r="L159" s="10" t="str">
        <f aca="false">IF($N159="","",N(INDEX('NHẬP ĐƠN HÀNG'!$Q$6:$Q$505,$N159)))</f>
        <v/>
      </c>
      <c r="M159" s="10" t="str">
        <f aca="false">IF($N159="","",N(INDEX('NHẬP ĐƠN HÀNG'!$R$6:$R$505,$N159)))</f>
        <v/>
      </c>
      <c r="N159" s="0" t="str">
        <f aca="false">IFERROR(MATCH(154,'NHẬP ĐƠN HÀNG'!$Z$6:$Z$505,0),"")</f>
        <v/>
      </c>
    </row>
    <row r="160" customFormat="false" ht="15" hidden="false" customHeight="false" outlineLevel="0" collapsed="false">
      <c r="A160" s="16" t="str">
        <f aca="false">IF($N160="","",155)</f>
        <v/>
      </c>
      <c r="B160" s="34" t="str">
        <f aca="false">IF($N160="","",IF(INDEX('NHẬP ĐƠN HÀNG'!$B$6:$B$505,$N160)="","",INDEX('NHẬP ĐƠN HÀNG'!$B$6:$B$505,$N160)))</f>
        <v/>
      </c>
      <c r="C160" s="16" t="str">
        <f aca="false">IF($N160="","",IF(INDEX('NHẬP ĐƠN HÀNG'!$C$6:$C$505,$N160)="","",INDEX('NHẬP ĐƠN HÀNG'!$C$6:$C$505,$N160)))</f>
        <v/>
      </c>
      <c r="D160" s="16" t="str">
        <f aca="false">IF($N160="","",IF(INDEX('NHẬP ĐƠN HÀNG'!$E$6:$E$505,$N160)="","",INDEX('NHẬP ĐƠN HÀNG'!$E$6:$E$505,$N160)))</f>
        <v/>
      </c>
      <c r="E160" s="16" t="str">
        <f aca="false">IF($N160="","",IF(INDEX('NHẬP ĐƠN HÀNG'!$F$6:$F$505,$N160)="","",INDEX('NHẬP ĐƠN HÀNG'!$F$6:$F$505,$N160)))</f>
        <v/>
      </c>
      <c r="F160" s="16" t="str">
        <f aca="false">IF($N160="","",IF(INDEX('NHẬP ĐƠN HÀNG'!$H$6:$H$505,$N160)="","",INDEX('NHẬP ĐƠN HÀNG'!$H$6:$H$505,$N160)))</f>
        <v/>
      </c>
      <c r="G160" s="10" t="str">
        <f aca="false">IF($N160="","",N(INDEX('NHẬP ĐƠN HÀNG'!$I$6:$I$505,$N160)))</f>
        <v/>
      </c>
      <c r="H160" s="10" t="str">
        <f aca="false">IF($N160="","",N(INDEX('NHẬP ĐƠN HÀNG'!$L$6:$L$505,$N160)))</f>
        <v/>
      </c>
      <c r="I160" s="11" t="str">
        <f aca="false">IF($N160="","",N(INDEX('NHẬP ĐƠN HÀNG'!$N$6:$N$505,$N160)))</f>
        <v/>
      </c>
      <c r="J160" s="10" t="str">
        <f aca="false">IF($N160="","",N(INDEX('NHẬP ĐƠN HÀNG'!$O$6:$O$505,$N160)))</f>
        <v/>
      </c>
      <c r="K160" s="10" t="str">
        <f aca="false">IF($N160="","",N(INDEX('NHẬP ĐƠN HÀNG'!$P$6:$P$505,$N160)))</f>
        <v/>
      </c>
      <c r="L160" s="10" t="str">
        <f aca="false">IF($N160="","",N(INDEX('NHẬP ĐƠN HÀNG'!$Q$6:$Q$505,$N160)))</f>
        <v/>
      </c>
      <c r="M160" s="10" t="str">
        <f aca="false">IF($N160="","",N(INDEX('NHẬP ĐƠN HÀNG'!$R$6:$R$505,$N160)))</f>
        <v/>
      </c>
      <c r="N160" s="0" t="str">
        <f aca="false">IFERROR(MATCH(155,'NHẬP ĐƠN HÀNG'!$Z$6:$Z$505,0),"")</f>
        <v/>
      </c>
    </row>
    <row r="161" customFormat="false" ht="15" hidden="false" customHeight="false" outlineLevel="0" collapsed="false">
      <c r="A161" s="16" t="str">
        <f aca="false">IF($N161="","",156)</f>
        <v/>
      </c>
      <c r="B161" s="34" t="str">
        <f aca="false">IF($N161="","",IF(INDEX('NHẬP ĐƠN HÀNG'!$B$6:$B$505,$N161)="","",INDEX('NHẬP ĐƠN HÀNG'!$B$6:$B$505,$N161)))</f>
        <v/>
      </c>
      <c r="C161" s="16" t="str">
        <f aca="false">IF($N161="","",IF(INDEX('NHẬP ĐƠN HÀNG'!$C$6:$C$505,$N161)="","",INDEX('NHẬP ĐƠN HÀNG'!$C$6:$C$505,$N161)))</f>
        <v/>
      </c>
      <c r="D161" s="16" t="str">
        <f aca="false">IF($N161="","",IF(INDEX('NHẬP ĐƠN HÀNG'!$E$6:$E$505,$N161)="","",INDEX('NHẬP ĐƠN HÀNG'!$E$6:$E$505,$N161)))</f>
        <v/>
      </c>
      <c r="E161" s="16" t="str">
        <f aca="false">IF($N161="","",IF(INDEX('NHẬP ĐƠN HÀNG'!$F$6:$F$505,$N161)="","",INDEX('NHẬP ĐƠN HÀNG'!$F$6:$F$505,$N161)))</f>
        <v/>
      </c>
      <c r="F161" s="16" t="str">
        <f aca="false">IF($N161="","",IF(INDEX('NHẬP ĐƠN HÀNG'!$H$6:$H$505,$N161)="","",INDEX('NHẬP ĐƠN HÀNG'!$H$6:$H$505,$N161)))</f>
        <v/>
      </c>
      <c r="G161" s="10" t="str">
        <f aca="false">IF($N161="","",N(INDEX('NHẬP ĐƠN HÀNG'!$I$6:$I$505,$N161)))</f>
        <v/>
      </c>
      <c r="H161" s="10" t="str">
        <f aca="false">IF($N161="","",N(INDEX('NHẬP ĐƠN HÀNG'!$L$6:$L$505,$N161)))</f>
        <v/>
      </c>
      <c r="I161" s="11" t="str">
        <f aca="false">IF($N161="","",N(INDEX('NHẬP ĐƠN HÀNG'!$N$6:$N$505,$N161)))</f>
        <v/>
      </c>
      <c r="J161" s="10" t="str">
        <f aca="false">IF($N161="","",N(INDEX('NHẬP ĐƠN HÀNG'!$O$6:$O$505,$N161)))</f>
        <v/>
      </c>
      <c r="K161" s="10" t="str">
        <f aca="false">IF($N161="","",N(INDEX('NHẬP ĐƠN HÀNG'!$P$6:$P$505,$N161)))</f>
        <v/>
      </c>
      <c r="L161" s="10" t="str">
        <f aca="false">IF($N161="","",N(INDEX('NHẬP ĐƠN HÀNG'!$Q$6:$Q$505,$N161)))</f>
        <v/>
      </c>
      <c r="M161" s="10" t="str">
        <f aca="false">IF($N161="","",N(INDEX('NHẬP ĐƠN HÀNG'!$R$6:$R$505,$N161)))</f>
        <v/>
      </c>
      <c r="N161" s="0" t="str">
        <f aca="false">IFERROR(MATCH(156,'NHẬP ĐƠN HÀNG'!$Z$6:$Z$505,0),"")</f>
        <v/>
      </c>
    </row>
    <row r="162" customFormat="false" ht="15" hidden="false" customHeight="false" outlineLevel="0" collapsed="false">
      <c r="A162" s="16" t="str">
        <f aca="false">IF($N162="","",157)</f>
        <v/>
      </c>
      <c r="B162" s="34" t="str">
        <f aca="false">IF($N162="","",IF(INDEX('NHẬP ĐƠN HÀNG'!$B$6:$B$505,$N162)="","",INDEX('NHẬP ĐƠN HÀNG'!$B$6:$B$505,$N162)))</f>
        <v/>
      </c>
      <c r="C162" s="16" t="str">
        <f aca="false">IF($N162="","",IF(INDEX('NHẬP ĐƠN HÀNG'!$C$6:$C$505,$N162)="","",INDEX('NHẬP ĐƠN HÀNG'!$C$6:$C$505,$N162)))</f>
        <v/>
      </c>
      <c r="D162" s="16" t="str">
        <f aca="false">IF($N162="","",IF(INDEX('NHẬP ĐƠN HÀNG'!$E$6:$E$505,$N162)="","",INDEX('NHẬP ĐƠN HÀNG'!$E$6:$E$505,$N162)))</f>
        <v/>
      </c>
      <c r="E162" s="16" t="str">
        <f aca="false">IF($N162="","",IF(INDEX('NHẬP ĐƠN HÀNG'!$F$6:$F$505,$N162)="","",INDEX('NHẬP ĐƠN HÀNG'!$F$6:$F$505,$N162)))</f>
        <v/>
      </c>
      <c r="F162" s="16" t="str">
        <f aca="false">IF($N162="","",IF(INDEX('NHẬP ĐƠN HÀNG'!$H$6:$H$505,$N162)="","",INDEX('NHẬP ĐƠN HÀNG'!$H$6:$H$505,$N162)))</f>
        <v/>
      </c>
      <c r="G162" s="10" t="str">
        <f aca="false">IF($N162="","",N(INDEX('NHẬP ĐƠN HÀNG'!$I$6:$I$505,$N162)))</f>
        <v/>
      </c>
      <c r="H162" s="10" t="str">
        <f aca="false">IF($N162="","",N(INDEX('NHẬP ĐƠN HÀNG'!$L$6:$L$505,$N162)))</f>
        <v/>
      </c>
      <c r="I162" s="11" t="str">
        <f aca="false">IF($N162="","",N(INDEX('NHẬP ĐƠN HÀNG'!$N$6:$N$505,$N162)))</f>
        <v/>
      </c>
      <c r="J162" s="10" t="str">
        <f aca="false">IF($N162="","",N(INDEX('NHẬP ĐƠN HÀNG'!$O$6:$O$505,$N162)))</f>
        <v/>
      </c>
      <c r="K162" s="10" t="str">
        <f aca="false">IF($N162="","",N(INDEX('NHẬP ĐƠN HÀNG'!$P$6:$P$505,$N162)))</f>
        <v/>
      </c>
      <c r="L162" s="10" t="str">
        <f aca="false">IF($N162="","",N(INDEX('NHẬP ĐƠN HÀNG'!$Q$6:$Q$505,$N162)))</f>
        <v/>
      </c>
      <c r="M162" s="10" t="str">
        <f aca="false">IF($N162="","",N(INDEX('NHẬP ĐƠN HÀNG'!$R$6:$R$505,$N162)))</f>
        <v/>
      </c>
      <c r="N162" s="0" t="str">
        <f aca="false">IFERROR(MATCH(157,'NHẬP ĐƠN HÀNG'!$Z$6:$Z$505,0),"")</f>
        <v/>
      </c>
    </row>
    <row r="163" customFormat="false" ht="15" hidden="false" customHeight="false" outlineLevel="0" collapsed="false">
      <c r="A163" s="16" t="str">
        <f aca="false">IF($N163="","",158)</f>
        <v/>
      </c>
      <c r="B163" s="34" t="str">
        <f aca="false">IF($N163="","",IF(INDEX('NHẬP ĐƠN HÀNG'!$B$6:$B$505,$N163)="","",INDEX('NHẬP ĐƠN HÀNG'!$B$6:$B$505,$N163)))</f>
        <v/>
      </c>
      <c r="C163" s="16" t="str">
        <f aca="false">IF($N163="","",IF(INDEX('NHẬP ĐƠN HÀNG'!$C$6:$C$505,$N163)="","",INDEX('NHẬP ĐƠN HÀNG'!$C$6:$C$505,$N163)))</f>
        <v/>
      </c>
      <c r="D163" s="16" t="str">
        <f aca="false">IF($N163="","",IF(INDEX('NHẬP ĐƠN HÀNG'!$E$6:$E$505,$N163)="","",INDEX('NHẬP ĐƠN HÀNG'!$E$6:$E$505,$N163)))</f>
        <v/>
      </c>
      <c r="E163" s="16" t="str">
        <f aca="false">IF($N163="","",IF(INDEX('NHẬP ĐƠN HÀNG'!$F$6:$F$505,$N163)="","",INDEX('NHẬP ĐƠN HÀNG'!$F$6:$F$505,$N163)))</f>
        <v/>
      </c>
      <c r="F163" s="16" t="str">
        <f aca="false">IF($N163="","",IF(INDEX('NHẬP ĐƠN HÀNG'!$H$6:$H$505,$N163)="","",INDEX('NHẬP ĐƠN HÀNG'!$H$6:$H$505,$N163)))</f>
        <v/>
      </c>
      <c r="G163" s="10" t="str">
        <f aca="false">IF($N163="","",N(INDEX('NHẬP ĐƠN HÀNG'!$I$6:$I$505,$N163)))</f>
        <v/>
      </c>
      <c r="H163" s="10" t="str">
        <f aca="false">IF($N163="","",N(INDEX('NHẬP ĐƠN HÀNG'!$L$6:$L$505,$N163)))</f>
        <v/>
      </c>
      <c r="I163" s="11" t="str">
        <f aca="false">IF($N163="","",N(INDEX('NHẬP ĐƠN HÀNG'!$N$6:$N$505,$N163)))</f>
        <v/>
      </c>
      <c r="J163" s="10" t="str">
        <f aca="false">IF($N163="","",N(INDEX('NHẬP ĐƠN HÀNG'!$O$6:$O$505,$N163)))</f>
        <v/>
      </c>
      <c r="K163" s="10" t="str">
        <f aca="false">IF($N163="","",N(INDEX('NHẬP ĐƠN HÀNG'!$P$6:$P$505,$N163)))</f>
        <v/>
      </c>
      <c r="L163" s="10" t="str">
        <f aca="false">IF($N163="","",N(INDEX('NHẬP ĐƠN HÀNG'!$Q$6:$Q$505,$N163)))</f>
        <v/>
      </c>
      <c r="M163" s="10" t="str">
        <f aca="false">IF($N163="","",N(INDEX('NHẬP ĐƠN HÀNG'!$R$6:$R$505,$N163)))</f>
        <v/>
      </c>
      <c r="N163" s="0" t="str">
        <f aca="false">IFERROR(MATCH(158,'NHẬP ĐƠN HÀNG'!$Z$6:$Z$505,0),"")</f>
        <v/>
      </c>
    </row>
    <row r="164" customFormat="false" ht="15" hidden="false" customHeight="false" outlineLevel="0" collapsed="false">
      <c r="A164" s="16" t="str">
        <f aca="false">IF($N164="","",159)</f>
        <v/>
      </c>
      <c r="B164" s="34" t="str">
        <f aca="false">IF($N164="","",IF(INDEX('NHẬP ĐƠN HÀNG'!$B$6:$B$505,$N164)="","",INDEX('NHẬP ĐƠN HÀNG'!$B$6:$B$505,$N164)))</f>
        <v/>
      </c>
      <c r="C164" s="16" t="str">
        <f aca="false">IF($N164="","",IF(INDEX('NHẬP ĐƠN HÀNG'!$C$6:$C$505,$N164)="","",INDEX('NHẬP ĐƠN HÀNG'!$C$6:$C$505,$N164)))</f>
        <v/>
      </c>
      <c r="D164" s="16" t="str">
        <f aca="false">IF($N164="","",IF(INDEX('NHẬP ĐƠN HÀNG'!$E$6:$E$505,$N164)="","",INDEX('NHẬP ĐƠN HÀNG'!$E$6:$E$505,$N164)))</f>
        <v/>
      </c>
      <c r="E164" s="16" t="str">
        <f aca="false">IF($N164="","",IF(INDEX('NHẬP ĐƠN HÀNG'!$F$6:$F$505,$N164)="","",INDEX('NHẬP ĐƠN HÀNG'!$F$6:$F$505,$N164)))</f>
        <v/>
      </c>
      <c r="F164" s="16" t="str">
        <f aca="false">IF($N164="","",IF(INDEX('NHẬP ĐƠN HÀNG'!$H$6:$H$505,$N164)="","",INDEX('NHẬP ĐƠN HÀNG'!$H$6:$H$505,$N164)))</f>
        <v/>
      </c>
      <c r="G164" s="10" t="str">
        <f aca="false">IF($N164="","",N(INDEX('NHẬP ĐƠN HÀNG'!$I$6:$I$505,$N164)))</f>
        <v/>
      </c>
      <c r="H164" s="10" t="str">
        <f aca="false">IF($N164="","",N(INDEX('NHẬP ĐƠN HÀNG'!$L$6:$L$505,$N164)))</f>
        <v/>
      </c>
      <c r="I164" s="11" t="str">
        <f aca="false">IF($N164="","",N(INDEX('NHẬP ĐƠN HÀNG'!$N$6:$N$505,$N164)))</f>
        <v/>
      </c>
      <c r="J164" s="10" t="str">
        <f aca="false">IF($N164="","",N(INDEX('NHẬP ĐƠN HÀNG'!$O$6:$O$505,$N164)))</f>
        <v/>
      </c>
      <c r="K164" s="10" t="str">
        <f aca="false">IF($N164="","",N(INDEX('NHẬP ĐƠN HÀNG'!$P$6:$P$505,$N164)))</f>
        <v/>
      </c>
      <c r="L164" s="10" t="str">
        <f aca="false">IF($N164="","",N(INDEX('NHẬP ĐƠN HÀNG'!$Q$6:$Q$505,$N164)))</f>
        <v/>
      </c>
      <c r="M164" s="10" t="str">
        <f aca="false">IF($N164="","",N(INDEX('NHẬP ĐƠN HÀNG'!$R$6:$R$505,$N164)))</f>
        <v/>
      </c>
      <c r="N164" s="0" t="str">
        <f aca="false">IFERROR(MATCH(159,'NHẬP ĐƠN HÀNG'!$Z$6:$Z$505,0),"")</f>
        <v/>
      </c>
    </row>
    <row r="165" customFormat="false" ht="15" hidden="false" customHeight="false" outlineLevel="0" collapsed="false">
      <c r="A165" s="16" t="str">
        <f aca="false">IF($N165="","",160)</f>
        <v/>
      </c>
      <c r="B165" s="34" t="str">
        <f aca="false">IF($N165="","",IF(INDEX('NHẬP ĐƠN HÀNG'!$B$6:$B$505,$N165)="","",INDEX('NHẬP ĐƠN HÀNG'!$B$6:$B$505,$N165)))</f>
        <v/>
      </c>
      <c r="C165" s="16" t="str">
        <f aca="false">IF($N165="","",IF(INDEX('NHẬP ĐƠN HÀNG'!$C$6:$C$505,$N165)="","",INDEX('NHẬP ĐƠN HÀNG'!$C$6:$C$505,$N165)))</f>
        <v/>
      </c>
      <c r="D165" s="16" t="str">
        <f aca="false">IF($N165="","",IF(INDEX('NHẬP ĐƠN HÀNG'!$E$6:$E$505,$N165)="","",INDEX('NHẬP ĐƠN HÀNG'!$E$6:$E$505,$N165)))</f>
        <v/>
      </c>
      <c r="E165" s="16" t="str">
        <f aca="false">IF($N165="","",IF(INDEX('NHẬP ĐƠN HÀNG'!$F$6:$F$505,$N165)="","",INDEX('NHẬP ĐƠN HÀNG'!$F$6:$F$505,$N165)))</f>
        <v/>
      </c>
      <c r="F165" s="16" t="str">
        <f aca="false">IF($N165="","",IF(INDEX('NHẬP ĐƠN HÀNG'!$H$6:$H$505,$N165)="","",INDEX('NHẬP ĐƠN HÀNG'!$H$6:$H$505,$N165)))</f>
        <v/>
      </c>
      <c r="G165" s="10" t="str">
        <f aca="false">IF($N165="","",N(INDEX('NHẬP ĐƠN HÀNG'!$I$6:$I$505,$N165)))</f>
        <v/>
      </c>
      <c r="H165" s="10" t="str">
        <f aca="false">IF($N165="","",N(INDEX('NHẬP ĐƠN HÀNG'!$L$6:$L$505,$N165)))</f>
        <v/>
      </c>
      <c r="I165" s="11" t="str">
        <f aca="false">IF($N165="","",N(INDEX('NHẬP ĐƠN HÀNG'!$N$6:$N$505,$N165)))</f>
        <v/>
      </c>
      <c r="J165" s="10" t="str">
        <f aca="false">IF($N165="","",N(INDEX('NHẬP ĐƠN HÀNG'!$O$6:$O$505,$N165)))</f>
        <v/>
      </c>
      <c r="K165" s="10" t="str">
        <f aca="false">IF($N165="","",N(INDEX('NHẬP ĐƠN HÀNG'!$P$6:$P$505,$N165)))</f>
        <v/>
      </c>
      <c r="L165" s="10" t="str">
        <f aca="false">IF($N165="","",N(INDEX('NHẬP ĐƠN HÀNG'!$Q$6:$Q$505,$N165)))</f>
        <v/>
      </c>
      <c r="M165" s="10" t="str">
        <f aca="false">IF($N165="","",N(INDEX('NHẬP ĐƠN HÀNG'!$R$6:$R$505,$N165)))</f>
        <v/>
      </c>
      <c r="N165" s="0" t="str">
        <f aca="false">IFERROR(MATCH(160,'NHẬP ĐƠN HÀNG'!$Z$6:$Z$505,0),"")</f>
        <v/>
      </c>
    </row>
    <row r="166" customFormat="false" ht="15" hidden="false" customHeight="false" outlineLevel="0" collapsed="false">
      <c r="A166" s="16" t="str">
        <f aca="false">IF($N166="","",161)</f>
        <v/>
      </c>
      <c r="B166" s="34" t="str">
        <f aca="false">IF($N166="","",IF(INDEX('NHẬP ĐƠN HÀNG'!$B$6:$B$505,$N166)="","",INDEX('NHẬP ĐƠN HÀNG'!$B$6:$B$505,$N166)))</f>
        <v/>
      </c>
      <c r="C166" s="16" t="str">
        <f aca="false">IF($N166="","",IF(INDEX('NHẬP ĐƠN HÀNG'!$C$6:$C$505,$N166)="","",INDEX('NHẬP ĐƠN HÀNG'!$C$6:$C$505,$N166)))</f>
        <v/>
      </c>
      <c r="D166" s="16" t="str">
        <f aca="false">IF($N166="","",IF(INDEX('NHẬP ĐƠN HÀNG'!$E$6:$E$505,$N166)="","",INDEX('NHẬP ĐƠN HÀNG'!$E$6:$E$505,$N166)))</f>
        <v/>
      </c>
      <c r="E166" s="16" t="str">
        <f aca="false">IF($N166="","",IF(INDEX('NHẬP ĐƠN HÀNG'!$F$6:$F$505,$N166)="","",INDEX('NHẬP ĐƠN HÀNG'!$F$6:$F$505,$N166)))</f>
        <v/>
      </c>
      <c r="F166" s="16" t="str">
        <f aca="false">IF($N166="","",IF(INDEX('NHẬP ĐƠN HÀNG'!$H$6:$H$505,$N166)="","",INDEX('NHẬP ĐƠN HÀNG'!$H$6:$H$505,$N166)))</f>
        <v/>
      </c>
      <c r="G166" s="10" t="str">
        <f aca="false">IF($N166="","",N(INDEX('NHẬP ĐƠN HÀNG'!$I$6:$I$505,$N166)))</f>
        <v/>
      </c>
      <c r="H166" s="10" t="str">
        <f aca="false">IF($N166="","",N(INDEX('NHẬP ĐƠN HÀNG'!$L$6:$L$505,$N166)))</f>
        <v/>
      </c>
      <c r="I166" s="11" t="str">
        <f aca="false">IF($N166="","",N(INDEX('NHẬP ĐƠN HÀNG'!$N$6:$N$505,$N166)))</f>
        <v/>
      </c>
      <c r="J166" s="10" t="str">
        <f aca="false">IF($N166="","",N(INDEX('NHẬP ĐƠN HÀNG'!$O$6:$O$505,$N166)))</f>
        <v/>
      </c>
      <c r="K166" s="10" t="str">
        <f aca="false">IF($N166="","",N(INDEX('NHẬP ĐƠN HÀNG'!$P$6:$P$505,$N166)))</f>
        <v/>
      </c>
      <c r="L166" s="10" t="str">
        <f aca="false">IF($N166="","",N(INDEX('NHẬP ĐƠN HÀNG'!$Q$6:$Q$505,$N166)))</f>
        <v/>
      </c>
      <c r="M166" s="10" t="str">
        <f aca="false">IF($N166="","",N(INDEX('NHẬP ĐƠN HÀNG'!$R$6:$R$505,$N166)))</f>
        <v/>
      </c>
      <c r="N166" s="0" t="str">
        <f aca="false">IFERROR(MATCH(161,'NHẬP ĐƠN HÀNG'!$Z$6:$Z$505,0),"")</f>
        <v/>
      </c>
    </row>
    <row r="167" customFormat="false" ht="15" hidden="false" customHeight="false" outlineLevel="0" collapsed="false">
      <c r="A167" s="16" t="str">
        <f aca="false">IF($N167="","",162)</f>
        <v/>
      </c>
      <c r="B167" s="34" t="str">
        <f aca="false">IF($N167="","",IF(INDEX('NHẬP ĐƠN HÀNG'!$B$6:$B$505,$N167)="","",INDEX('NHẬP ĐƠN HÀNG'!$B$6:$B$505,$N167)))</f>
        <v/>
      </c>
      <c r="C167" s="16" t="str">
        <f aca="false">IF($N167="","",IF(INDEX('NHẬP ĐƠN HÀNG'!$C$6:$C$505,$N167)="","",INDEX('NHẬP ĐƠN HÀNG'!$C$6:$C$505,$N167)))</f>
        <v/>
      </c>
      <c r="D167" s="16" t="str">
        <f aca="false">IF($N167="","",IF(INDEX('NHẬP ĐƠN HÀNG'!$E$6:$E$505,$N167)="","",INDEX('NHẬP ĐƠN HÀNG'!$E$6:$E$505,$N167)))</f>
        <v/>
      </c>
      <c r="E167" s="16" t="str">
        <f aca="false">IF($N167="","",IF(INDEX('NHẬP ĐƠN HÀNG'!$F$6:$F$505,$N167)="","",INDEX('NHẬP ĐƠN HÀNG'!$F$6:$F$505,$N167)))</f>
        <v/>
      </c>
      <c r="F167" s="16" t="str">
        <f aca="false">IF($N167="","",IF(INDEX('NHẬP ĐƠN HÀNG'!$H$6:$H$505,$N167)="","",INDEX('NHẬP ĐƠN HÀNG'!$H$6:$H$505,$N167)))</f>
        <v/>
      </c>
      <c r="G167" s="10" t="str">
        <f aca="false">IF($N167="","",N(INDEX('NHẬP ĐƠN HÀNG'!$I$6:$I$505,$N167)))</f>
        <v/>
      </c>
      <c r="H167" s="10" t="str">
        <f aca="false">IF($N167="","",N(INDEX('NHẬP ĐƠN HÀNG'!$L$6:$L$505,$N167)))</f>
        <v/>
      </c>
      <c r="I167" s="11" t="str">
        <f aca="false">IF($N167="","",N(INDEX('NHẬP ĐƠN HÀNG'!$N$6:$N$505,$N167)))</f>
        <v/>
      </c>
      <c r="J167" s="10" t="str">
        <f aca="false">IF($N167="","",N(INDEX('NHẬP ĐƠN HÀNG'!$O$6:$O$505,$N167)))</f>
        <v/>
      </c>
      <c r="K167" s="10" t="str">
        <f aca="false">IF($N167="","",N(INDEX('NHẬP ĐƠN HÀNG'!$P$6:$P$505,$N167)))</f>
        <v/>
      </c>
      <c r="L167" s="10" t="str">
        <f aca="false">IF($N167="","",N(INDEX('NHẬP ĐƠN HÀNG'!$Q$6:$Q$505,$N167)))</f>
        <v/>
      </c>
      <c r="M167" s="10" t="str">
        <f aca="false">IF($N167="","",N(INDEX('NHẬP ĐƠN HÀNG'!$R$6:$R$505,$N167)))</f>
        <v/>
      </c>
      <c r="N167" s="0" t="str">
        <f aca="false">IFERROR(MATCH(162,'NHẬP ĐƠN HÀNG'!$Z$6:$Z$505,0),"")</f>
        <v/>
      </c>
    </row>
    <row r="168" customFormat="false" ht="15" hidden="false" customHeight="false" outlineLevel="0" collapsed="false">
      <c r="A168" s="16" t="str">
        <f aca="false">IF($N168="","",163)</f>
        <v/>
      </c>
      <c r="B168" s="34" t="str">
        <f aca="false">IF($N168="","",IF(INDEX('NHẬP ĐƠN HÀNG'!$B$6:$B$505,$N168)="","",INDEX('NHẬP ĐƠN HÀNG'!$B$6:$B$505,$N168)))</f>
        <v/>
      </c>
      <c r="C168" s="16" t="str">
        <f aca="false">IF($N168="","",IF(INDEX('NHẬP ĐƠN HÀNG'!$C$6:$C$505,$N168)="","",INDEX('NHẬP ĐƠN HÀNG'!$C$6:$C$505,$N168)))</f>
        <v/>
      </c>
      <c r="D168" s="16" t="str">
        <f aca="false">IF($N168="","",IF(INDEX('NHẬP ĐƠN HÀNG'!$E$6:$E$505,$N168)="","",INDEX('NHẬP ĐƠN HÀNG'!$E$6:$E$505,$N168)))</f>
        <v/>
      </c>
      <c r="E168" s="16" t="str">
        <f aca="false">IF($N168="","",IF(INDEX('NHẬP ĐƠN HÀNG'!$F$6:$F$505,$N168)="","",INDEX('NHẬP ĐƠN HÀNG'!$F$6:$F$505,$N168)))</f>
        <v/>
      </c>
      <c r="F168" s="16" t="str">
        <f aca="false">IF($N168="","",IF(INDEX('NHẬP ĐƠN HÀNG'!$H$6:$H$505,$N168)="","",INDEX('NHẬP ĐƠN HÀNG'!$H$6:$H$505,$N168)))</f>
        <v/>
      </c>
      <c r="G168" s="10" t="str">
        <f aca="false">IF($N168="","",N(INDEX('NHẬP ĐƠN HÀNG'!$I$6:$I$505,$N168)))</f>
        <v/>
      </c>
      <c r="H168" s="10" t="str">
        <f aca="false">IF($N168="","",N(INDEX('NHẬP ĐƠN HÀNG'!$L$6:$L$505,$N168)))</f>
        <v/>
      </c>
      <c r="I168" s="11" t="str">
        <f aca="false">IF($N168="","",N(INDEX('NHẬP ĐƠN HÀNG'!$N$6:$N$505,$N168)))</f>
        <v/>
      </c>
      <c r="J168" s="10" t="str">
        <f aca="false">IF($N168="","",N(INDEX('NHẬP ĐƠN HÀNG'!$O$6:$O$505,$N168)))</f>
        <v/>
      </c>
      <c r="K168" s="10" t="str">
        <f aca="false">IF($N168="","",N(INDEX('NHẬP ĐƠN HÀNG'!$P$6:$P$505,$N168)))</f>
        <v/>
      </c>
      <c r="L168" s="10" t="str">
        <f aca="false">IF($N168="","",N(INDEX('NHẬP ĐƠN HÀNG'!$Q$6:$Q$505,$N168)))</f>
        <v/>
      </c>
      <c r="M168" s="10" t="str">
        <f aca="false">IF($N168="","",N(INDEX('NHẬP ĐƠN HÀNG'!$R$6:$R$505,$N168)))</f>
        <v/>
      </c>
      <c r="N168" s="0" t="str">
        <f aca="false">IFERROR(MATCH(163,'NHẬP ĐƠN HÀNG'!$Z$6:$Z$505,0),"")</f>
        <v/>
      </c>
    </row>
    <row r="169" customFormat="false" ht="15" hidden="false" customHeight="false" outlineLevel="0" collapsed="false">
      <c r="A169" s="16" t="str">
        <f aca="false">IF($N169="","",164)</f>
        <v/>
      </c>
      <c r="B169" s="34" t="str">
        <f aca="false">IF($N169="","",IF(INDEX('NHẬP ĐƠN HÀNG'!$B$6:$B$505,$N169)="","",INDEX('NHẬP ĐƠN HÀNG'!$B$6:$B$505,$N169)))</f>
        <v/>
      </c>
      <c r="C169" s="16" t="str">
        <f aca="false">IF($N169="","",IF(INDEX('NHẬP ĐƠN HÀNG'!$C$6:$C$505,$N169)="","",INDEX('NHẬP ĐƠN HÀNG'!$C$6:$C$505,$N169)))</f>
        <v/>
      </c>
      <c r="D169" s="16" t="str">
        <f aca="false">IF($N169="","",IF(INDEX('NHẬP ĐƠN HÀNG'!$E$6:$E$505,$N169)="","",INDEX('NHẬP ĐƠN HÀNG'!$E$6:$E$505,$N169)))</f>
        <v/>
      </c>
      <c r="E169" s="16" t="str">
        <f aca="false">IF($N169="","",IF(INDEX('NHẬP ĐƠN HÀNG'!$F$6:$F$505,$N169)="","",INDEX('NHẬP ĐƠN HÀNG'!$F$6:$F$505,$N169)))</f>
        <v/>
      </c>
      <c r="F169" s="16" t="str">
        <f aca="false">IF($N169="","",IF(INDEX('NHẬP ĐƠN HÀNG'!$H$6:$H$505,$N169)="","",INDEX('NHẬP ĐƠN HÀNG'!$H$6:$H$505,$N169)))</f>
        <v/>
      </c>
      <c r="G169" s="10" t="str">
        <f aca="false">IF($N169="","",N(INDEX('NHẬP ĐƠN HÀNG'!$I$6:$I$505,$N169)))</f>
        <v/>
      </c>
      <c r="H169" s="10" t="str">
        <f aca="false">IF($N169="","",N(INDEX('NHẬP ĐƠN HÀNG'!$L$6:$L$505,$N169)))</f>
        <v/>
      </c>
      <c r="I169" s="11" t="str">
        <f aca="false">IF($N169="","",N(INDEX('NHẬP ĐƠN HÀNG'!$N$6:$N$505,$N169)))</f>
        <v/>
      </c>
      <c r="J169" s="10" t="str">
        <f aca="false">IF($N169="","",N(INDEX('NHẬP ĐƠN HÀNG'!$O$6:$O$505,$N169)))</f>
        <v/>
      </c>
      <c r="K169" s="10" t="str">
        <f aca="false">IF($N169="","",N(INDEX('NHẬP ĐƠN HÀNG'!$P$6:$P$505,$N169)))</f>
        <v/>
      </c>
      <c r="L169" s="10" t="str">
        <f aca="false">IF($N169="","",N(INDEX('NHẬP ĐƠN HÀNG'!$Q$6:$Q$505,$N169)))</f>
        <v/>
      </c>
      <c r="M169" s="10" t="str">
        <f aca="false">IF($N169="","",N(INDEX('NHẬP ĐƠN HÀNG'!$R$6:$R$505,$N169)))</f>
        <v/>
      </c>
      <c r="N169" s="0" t="str">
        <f aca="false">IFERROR(MATCH(164,'NHẬP ĐƠN HÀNG'!$Z$6:$Z$505,0),"")</f>
        <v/>
      </c>
    </row>
    <row r="170" customFormat="false" ht="15" hidden="false" customHeight="false" outlineLevel="0" collapsed="false">
      <c r="A170" s="16" t="str">
        <f aca="false">IF($N170="","",165)</f>
        <v/>
      </c>
      <c r="B170" s="34" t="str">
        <f aca="false">IF($N170="","",IF(INDEX('NHẬP ĐƠN HÀNG'!$B$6:$B$505,$N170)="","",INDEX('NHẬP ĐƠN HÀNG'!$B$6:$B$505,$N170)))</f>
        <v/>
      </c>
      <c r="C170" s="16" t="str">
        <f aca="false">IF($N170="","",IF(INDEX('NHẬP ĐƠN HÀNG'!$C$6:$C$505,$N170)="","",INDEX('NHẬP ĐƠN HÀNG'!$C$6:$C$505,$N170)))</f>
        <v/>
      </c>
      <c r="D170" s="16" t="str">
        <f aca="false">IF($N170="","",IF(INDEX('NHẬP ĐƠN HÀNG'!$E$6:$E$505,$N170)="","",INDEX('NHẬP ĐƠN HÀNG'!$E$6:$E$505,$N170)))</f>
        <v/>
      </c>
      <c r="E170" s="16" t="str">
        <f aca="false">IF($N170="","",IF(INDEX('NHẬP ĐƠN HÀNG'!$F$6:$F$505,$N170)="","",INDEX('NHẬP ĐƠN HÀNG'!$F$6:$F$505,$N170)))</f>
        <v/>
      </c>
      <c r="F170" s="16" t="str">
        <f aca="false">IF($N170="","",IF(INDEX('NHẬP ĐƠN HÀNG'!$H$6:$H$505,$N170)="","",INDEX('NHẬP ĐƠN HÀNG'!$H$6:$H$505,$N170)))</f>
        <v/>
      </c>
      <c r="G170" s="10" t="str">
        <f aca="false">IF($N170="","",N(INDEX('NHẬP ĐƠN HÀNG'!$I$6:$I$505,$N170)))</f>
        <v/>
      </c>
      <c r="H170" s="10" t="str">
        <f aca="false">IF($N170="","",N(INDEX('NHẬP ĐƠN HÀNG'!$L$6:$L$505,$N170)))</f>
        <v/>
      </c>
      <c r="I170" s="11" t="str">
        <f aca="false">IF($N170="","",N(INDEX('NHẬP ĐƠN HÀNG'!$N$6:$N$505,$N170)))</f>
        <v/>
      </c>
      <c r="J170" s="10" t="str">
        <f aca="false">IF($N170="","",N(INDEX('NHẬP ĐƠN HÀNG'!$O$6:$O$505,$N170)))</f>
        <v/>
      </c>
      <c r="K170" s="10" t="str">
        <f aca="false">IF($N170="","",N(INDEX('NHẬP ĐƠN HÀNG'!$P$6:$P$505,$N170)))</f>
        <v/>
      </c>
      <c r="L170" s="10" t="str">
        <f aca="false">IF($N170="","",N(INDEX('NHẬP ĐƠN HÀNG'!$Q$6:$Q$505,$N170)))</f>
        <v/>
      </c>
      <c r="M170" s="10" t="str">
        <f aca="false">IF($N170="","",N(INDEX('NHẬP ĐƠN HÀNG'!$R$6:$R$505,$N170)))</f>
        <v/>
      </c>
      <c r="N170" s="0" t="str">
        <f aca="false">IFERROR(MATCH(165,'NHẬP ĐƠN HÀNG'!$Z$6:$Z$505,0),"")</f>
        <v/>
      </c>
    </row>
    <row r="171" customFormat="false" ht="15" hidden="false" customHeight="false" outlineLevel="0" collapsed="false">
      <c r="A171" s="16" t="str">
        <f aca="false">IF($N171="","",166)</f>
        <v/>
      </c>
      <c r="B171" s="34" t="str">
        <f aca="false">IF($N171="","",IF(INDEX('NHẬP ĐƠN HÀNG'!$B$6:$B$505,$N171)="","",INDEX('NHẬP ĐƠN HÀNG'!$B$6:$B$505,$N171)))</f>
        <v/>
      </c>
      <c r="C171" s="16" t="str">
        <f aca="false">IF($N171="","",IF(INDEX('NHẬP ĐƠN HÀNG'!$C$6:$C$505,$N171)="","",INDEX('NHẬP ĐƠN HÀNG'!$C$6:$C$505,$N171)))</f>
        <v/>
      </c>
      <c r="D171" s="16" t="str">
        <f aca="false">IF($N171="","",IF(INDEX('NHẬP ĐƠN HÀNG'!$E$6:$E$505,$N171)="","",INDEX('NHẬP ĐƠN HÀNG'!$E$6:$E$505,$N171)))</f>
        <v/>
      </c>
      <c r="E171" s="16" t="str">
        <f aca="false">IF($N171="","",IF(INDEX('NHẬP ĐƠN HÀNG'!$F$6:$F$505,$N171)="","",INDEX('NHẬP ĐƠN HÀNG'!$F$6:$F$505,$N171)))</f>
        <v/>
      </c>
      <c r="F171" s="16" t="str">
        <f aca="false">IF($N171="","",IF(INDEX('NHẬP ĐƠN HÀNG'!$H$6:$H$505,$N171)="","",INDEX('NHẬP ĐƠN HÀNG'!$H$6:$H$505,$N171)))</f>
        <v/>
      </c>
      <c r="G171" s="10" t="str">
        <f aca="false">IF($N171="","",N(INDEX('NHẬP ĐƠN HÀNG'!$I$6:$I$505,$N171)))</f>
        <v/>
      </c>
      <c r="H171" s="10" t="str">
        <f aca="false">IF($N171="","",N(INDEX('NHẬP ĐƠN HÀNG'!$L$6:$L$505,$N171)))</f>
        <v/>
      </c>
      <c r="I171" s="11" t="str">
        <f aca="false">IF($N171="","",N(INDEX('NHẬP ĐƠN HÀNG'!$N$6:$N$505,$N171)))</f>
        <v/>
      </c>
      <c r="J171" s="10" t="str">
        <f aca="false">IF($N171="","",N(INDEX('NHẬP ĐƠN HÀNG'!$O$6:$O$505,$N171)))</f>
        <v/>
      </c>
      <c r="K171" s="10" t="str">
        <f aca="false">IF($N171="","",N(INDEX('NHẬP ĐƠN HÀNG'!$P$6:$P$505,$N171)))</f>
        <v/>
      </c>
      <c r="L171" s="10" t="str">
        <f aca="false">IF($N171="","",N(INDEX('NHẬP ĐƠN HÀNG'!$Q$6:$Q$505,$N171)))</f>
        <v/>
      </c>
      <c r="M171" s="10" t="str">
        <f aca="false">IF($N171="","",N(INDEX('NHẬP ĐƠN HÀNG'!$R$6:$R$505,$N171)))</f>
        <v/>
      </c>
      <c r="N171" s="0" t="str">
        <f aca="false">IFERROR(MATCH(166,'NHẬP ĐƠN HÀNG'!$Z$6:$Z$505,0),"")</f>
        <v/>
      </c>
    </row>
    <row r="172" customFormat="false" ht="15" hidden="false" customHeight="false" outlineLevel="0" collapsed="false">
      <c r="A172" s="16" t="str">
        <f aca="false">IF($N172="","",167)</f>
        <v/>
      </c>
      <c r="B172" s="34" t="str">
        <f aca="false">IF($N172="","",IF(INDEX('NHẬP ĐƠN HÀNG'!$B$6:$B$505,$N172)="","",INDEX('NHẬP ĐƠN HÀNG'!$B$6:$B$505,$N172)))</f>
        <v/>
      </c>
      <c r="C172" s="16" t="str">
        <f aca="false">IF($N172="","",IF(INDEX('NHẬP ĐƠN HÀNG'!$C$6:$C$505,$N172)="","",INDEX('NHẬP ĐƠN HÀNG'!$C$6:$C$505,$N172)))</f>
        <v/>
      </c>
      <c r="D172" s="16" t="str">
        <f aca="false">IF($N172="","",IF(INDEX('NHẬP ĐƠN HÀNG'!$E$6:$E$505,$N172)="","",INDEX('NHẬP ĐƠN HÀNG'!$E$6:$E$505,$N172)))</f>
        <v/>
      </c>
      <c r="E172" s="16" t="str">
        <f aca="false">IF($N172="","",IF(INDEX('NHẬP ĐƠN HÀNG'!$F$6:$F$505,$N172)="","",INDEX('NHẬP ĐƠN HÀNG'!$F$6:$F$505,$N172)))</f>
        <v/>
      </c>
      <c r="F172" s="16" t="str">
        <f aca="false">IF($N172="","",IF(INDEX('NHẬP ĐƠN HÀNG'!$H$6:$H$505,$N172)="","",INDEX('NHẬP ĐƠN HÀNG'!$H$6:$H$505,$N172)))</f>
        <v/>
      </c>
      <c r="G172" s="10" t="str">
        <f aca="false">IF($N172="","",N(INDEX('NHẬP ĐƠN HÀNG'!$I$6:$I$505,$N172)))</f>
        <v/>
      </c>
      <c r="H172" s="10" t="str">
        <f aca="false">IF($N172="","",N(INDEX('NHẬP ĐƠN HÀNG'!$L$6:$L$505,$N172)))</f>
        <v/>
      </c>
      <c r="I172" s="11" t="str">
        <f aca="false">IF($N172="","",N(INDEX('NHẬP ĐƠN HÀNG'!$N$6:$N$505,$N172)))</f>
        <v/>
      </c>
      <c r="J172" s="10" t="str">
        <f aca="false">IF($N172="","",N(INDEX('NHẬP ĐƠN HÀNG'!$O$6:$O$505,$N172)))</f>
        <v/>
      </c>
      <c r="K172" s="10" t="str">
        <f aca="false">IF($N172="","",N(INDEX('NHẬP ĐƠN HÀNG'!$P$6:$P$505,$N172)))</f>
        <v/>
      </c>
      <c r="L172" s="10" t="str">
        <f aca="false">IF($N172="","",N(INDEX('NHẬP ĐƠN HÀNG'!$Q$6:$Q$505,$N172)))</f>
        <v/>
      </c>
      <c r="M172" s="10" t="str">
        <f aca="false">IF($N172="","",N(INDEX('NHẬP ĐƠN HÀNG'!$R$6:$R$505,$N172)))</f>
        <v/>
      </c>
      <c r="N172" s="0" t="str">
        <f aca="false">IFERROR(MATCH(167,'NHẬP ĐƠN HÀNG'!$Z$6:$Z$505,0),"")</f>
        <v/>
      </c>
    </row>
    <row r="173" customFormat="false" ht="15" hidden="false" customHeight="false" outlineLevel="0" collapsed="false">
      <c r="A173" s="16" t="str">
        <f aca="false">IF($N173="","",168)</f>
        <v/>
      </c>
      <c r="B173" s="34" t="str">
        <f aca="false">IF($N173="","",IF(INDEX('NHẬP ĐƠN HÀNG'!$B$6:$B$505,$N173)="","",INDEX('NHẬP ĐƠN HÀNG'!$B$6:$B$505,$N173)))</f>
        <v/>
      </c>
      <c r="C173" s="16" t="str">
        <f aca="false">IF($N173="","",IF(INDEX('NHẬP ĐƠN HÀNG'!$C$6:$C$505,$N173)="","",INDEX('NHẬP ĐƠN HÀNG'!$C$6:$C$505,$N173)))</f>
        <v/>
      </c>
      <c r="D173" s="16" t="str">
        <f aca="false">IF($N173="","",IF(INDEX('NHẬP ĐƠN HÀNG'!$E$6:$E$505,$N173)="","",INDEX('NHẬP ĐƠN HÀNG'!$E$6:$E$505,$N173)))</f>
        <v/>
      </c>
      <c r="E173" s="16" t="str">
        <f aca="false">IF($N173="","",IF(INDEX('NHẬP ĐƠN HÀNG'!$F$6:$F$505,$N173)="","",INDEX('NHẬP ĐƠN HÀNG'!$F$6:$F$505,$N173)))</f>
        <v/>
      </c>
      <c r="F173" s="16" t="str">
        <f aca="false">IF($N173="","",IF(INDEX('NHẬP ĐƠN HÀNG'!$H$6:$H$505,$N173)="","",INDEX('NHẬP ĐƠN HÀNG'!$H$6:$H$505,$N173)))</f>
        <v/>
      </c>
      <c r="G173" s="10" t="str">
        <f aca="false">IF($N173="","",N(INDEX('NHẬP ĐƠN HÀNG'!$I$6:$I$505,$N173)))</f>
        <v/>
      </c>
      <c r="H173" s="10" t="str">
        <f aca="false">IF($N173="","",N(INDEX('NHẬP ĐƠN HÀNG'!$L$6:$L$505,$N173)))</f>
        <v/>
      </c>
      <c r="I173" s="11" t="str">
        <f aca="false">IF($N173="","",N(INDEX('NHẬP ĐƠN HÀNG'!$N$6:$N$505,$N173)))</f>
        <v/>
      </c>
      <c r="J173" s="10" t="str">
        <f aca="false">IF($N173="","",N(INDEX('NHẬP ĐƠN HÀNG'!$O$6:$O$505,$N173)))</f>
        <v/>
      </c>
      <c r="K173" s="10" t="str">
        <f aca="false">IF($N173="","",N(INDEX('NHẬP ĐƠN HÀNG'!$P$6:$P$505,$N173)))</f>
        <v/>
      </c>
      <c r="L173" s="10" t="str">
        <f aca="false">IF($N173="","",N(INDEX('NHẬP ĐƠN HÀNG'!$Q$6:$Q$505,$N173)))</f>
        <v/>
      </c>
      <c r="M173" s="10" t="str">
        <f aca="false">IF($N173="","",N(INDEX('NHẬP ĐƠN HÀNG'!$R$6:$R$505,$N173)))</f>
        <v/>
      </c>
      <c r="N173" s="0" t="str">
        <f aca="false">IFERROR(MATCH(168,'NHẬP ĐƠN HÀNG'!$Z$6:$Z$505,0),"")</f>
        <v/>
      </c>
    </row>
    <row r="174" customFormat="false" ht="15" hidden="false" customHeight="false" outlineLevel="0" collapsed="false">
      <c r="A174" s="16" t="str">
        <f aca="false">IF($N174="","",169)</f>
        <v/>
      </c>
      <c r="B174" s="34" t="str">
        <f aca="false">IF($N174="","",IF(INDEX('NHẬP ĐƠN HÀNG'!$B$6:$B$505,$N174)="","",INDEX('NHẬP ĐƠN HÀNG'!$B$6:$B$505,$N174)))</f>
        <v/>
      </c>
      <c r="C174" s="16" t="str">
        <f aca="false">IF($N174="","",IF(INDEX('NHẬP ĐƠN HÀNG'!$C$6:$C$505,$N174)="","",INDEX('NHẬP ĐƠN HÀNG'!$C$6:$C$505,$N174)))</f>
        <v/>
      </c>
      <c r="D174" s="16" t="str">
        <f aca="false">IF($N174="","",IF(INDEX('NHẬP ĐƠN HÀNG'!$E$6:$E$505,$N174)="","",INDEX('NHẬP ĐƠN HÀNG'!$E$6:$E$505,$N174)))</f>
        <v/>
      </c>
      <c r="E174" s="16" t="str">
        <f aca="false">IF($N174="","",IF(INDEX('NHẬP ĐƠN HÀNG'!$F$6:$F$505,$N174)="","",INDEX('NHẬP ĐƠN HÀNG'!$F$6:$F$505,$N174)))</f>
        <v/>
      </c>
      <c r="F174" s="16" t="str">
        <f aca="false">IF($N174="","",IF(INDEX('NHẬP ĐƠN HÀNG'!$H$6:$H$505,$N174)="","",INDEX('NHẬP ĐƠN HÀNG'!$H$6:$H$505,$N174)))</f>
        <v/>
      </c>
      <c r="G174" s="10" t="str">
        <f aca="false">IF($N174="","",N(INDEX('NHẬP ĐƠN HÀNG'!$I$6:$I$505,$N174)))</f>
        <v/>
      </c>
      <c r="H174" s="10" t="str">
        <f aca="false">IF($N174="","",N(INDEX('NHẬP ĐƠN HÀNG'!$L$6:$L$505,$N174)))</f>
        <v/>
      </c>
      <c r="I174" s="11" t="str">
        <f aca="false">IF($N174="","",N(INDEX('NHẬP ĐƠN HÀNG'!$N$6:$N$505,$N174)))</f>
        <v/>
      </c>
      <c r="J174" s="10" t="str">
        <f aca="false">IF($N174="","",N(INDEX('NHẬP ĐƠN HÀNG'!$O$6:$O$505,$N174)))</f>
        <v/>
      </c>
      <c r="K174" s="10" t="str">
        <f aca="false">IF($N174="","",N(INDEX('NHẬP ĐƠN HÀNG'!$P$6:$P$505,$N174)))</f>
        <v/>
      </c>
      <c r="L174" s="10" t="str">
        <f aca="false">IF($N174="","",N(INDEX('NHẬP ĐƠN HÀNG'!$Q$6:$Q$505,$N174)))</f>
        <v/>
      </c>
      <c r="M174" s="10" t="str">
        <f aca="false">IF($N174="","",N(INDEX('NHẬP ĐƠN HÀNG'!$R$6:$R$505,$N174)))</f>
        <v/>
      </c>
      <c r="N174" s="0" t="str">
        <f aca="false">IFERROR(MATCH(169,'NHẬP ĐƠN HÀNG'!$Z$6:$Z$505,0),"")</f>
        <v/>
      </c>
    </row>
    <row r="175" customFormat="false" ht="15" hidden="false" customHeight="false" outlineLevel="0" collapsed="false">
      <c r="A175" s="16" t="str">
        <f aca="false">IF($N175="","",170)</f>
        <v/>
      </c>
      <c r="B175" s="34" t="str">
        <f aca="false">IF($N175="","",IF(INDEX('NHẬP ĐƠN HÀNG'!$B$6:$B$505,$N175)="","",INDEX('NHẬP ĐƠN HÀNG'!$B$6:$B$505,$N175)))</f>
        <v/>
      </c>
      <c r="C175" s="16" t="str">
        <f aca="false">IF($N175="","",IF(INDEX('NHẬP ĐƠN HÀNG'!$C$6:$C$505,$N175)="","",INDEX('NHẬP ĐƠN HÀNG'!$C$6:$C$505,$N175)))</f>
        <v/>
      </c>
      <c r="D175" s="16" t="str">
        <f aca="false">IF($N175="","",IF(INDEX('NHẬP ĐƠN HÀNG'!$E$6:$E$505,$N175)="","",INDEX('NHẬP ĐƠN HÀNG'!$E$6:$E$505,$N175)))</f>
        <v/>
      </c>
      <c r="E175" s="16" t="str">
        <f aca="false">IF($N175="","",IF(INDEX('NHẬP ĐƠN HÀNG'!$F$6:$F$505,$N175)="","",INDEX('NHẬP ĐƠN HÀNG'!$F$6:$F$505,$N175)))</f>
        <v/>
      </c>
      <c r="F175" s="16" t="str">
        <f aca="false">IF($N175="","",IF(INDEX('NHẬP ĐƠN HÀNG'!$H$6:$H$505,$N175)="","",INDEX('NHẬP ĐƠN HÀNG'!$H$6:$H$505,$N175)))</f>
        <v/>
      </c>
      <c r="G175" s="10" t="str">
        <f aca="false">IF($N175="","",N(INDEX('NHẬP ĐƠN HÀNG'!$I$6:$I$505,$N175)))</f>
        <v/>
      </c>
      <c r="H175" s="10" t="str">
        <f aca="false">IF($N175="","",N(INDEX('NHẬP ĐƠN HÀNG'!$L$6:$L$505,$N175)))</f>
        <v/>
      </c>
      <c r="I175" s="11" t="str">
        <f aca="false">IF($N175="","",N(INDEX('NHẬP ĐƠN HÀNG'!$N$6:$N$505,$N175)))</f>
        <v/>
      </c>
      <c r="J175" s="10" t="str">
        <f aca="false">IF($N175="","",N(INDEX('NHẬP ĐƠN HÀNG'!$O$6:$O$505,$N175)))</f>
        <v/>
      </c>
      <c r="K175" s="10" t="str">
        <f aca="false">IF($N175="","",N(INDEX('NHẬP ĐƠN HÀNG'!$P$6:$P$505,$N175)))</f>
        <v/>
      </c>
      <c r="L175" s="10" t="str">
        <f aca="false">IF($N175="","",N(INDEX('NHẬP ĐƠN HÀNG'!$Q$6:$Q$505,$N175)))</f>
        <v/>
      </c>
      <c r="M175" s="10" t="str">
        <f aca="false">IF($N175="","",N(INDEX('NHẬP ĐƠN HÀNG'!$R$6:$R$505,$N175)))</f>
        <v/>
      </c>
      <c r="N175" s="0" t="str">
        <f aca="false">IFERROR(MATCH(170,'NHẬP ĐƠN HÀNG'!$Z$6:$Z$505,0),"")</f>
        <v/>
      </c>
    </row>
    <row r="176" customFormat="false" ht="15" hidden="false" customHeight="false" outlineLevel="0" collapsed="false">
      <c r="A176" s="16" t="str">
        <f aca="false">IF($N176="","",171)</f>
        <v/>
      </c>
      <c r="B176" s="34" t="str">
        <f aca="false">IF($N176="","",IF(INDEX('NHẬP ĐƠN HÀNG'!$B$6:$B$505,$N176)="","",INDEX('NHẬP ĐƠN HÀNG'!$B$6:$B$505,$N176)))</f>
        <v/>
      </c>
      <c r="C176" s="16" t="str">
        <f aca="false">IF($N176="","",IF(INDEX('NHẬP ĐƠN HÀNG'!$C$6:$C$505,$N176)="","",INDEX('NHẬP ĐƠN HÀNG'!$C$6:$C$505,$N176)))</f>
        <v/>
      </c>
      <c r="D176" s="16" t="str">
        <f aca="false">IF($N176="","",IF(INDEX('NHẬP ĐƠN HÀNG'!$E$6:$E$505,$N176)="","",INDEX('NHẬP ĐƠN HÀNG'!$E$6:$E$505,$N176)))</f>
        <v/>
      </c>
      <c r="E176" s="16" t="str">
        <f aca="false">IF($N176="","",IF(INDEX('NHẬP ĐƠN HÀNG'!$F$6:$F$505,$N176)="","",INDEX('NHẬP ĐƠN HÀNG'!$F$6:$F$505,$N176)))</f>
        <v/>
      </c>
      <c r="F176" s="16" t="str">
        <f aca="false">IF($N176="","",IF(INDEX('NHẬP ĐƠN HÀNG'!$H$6:$H$505,$N176)="","",INDEX('NHẬP ĐƠN HÀNG'!$H$6:$H$505,$N176)))</f>
        <v/>
      </c>
      <c r="G176" s="10" t="str">
        <f aca="false">IF($N176="","",N(INDEX('NHẬP ĐƠN HÀNG'!$I$6:$I$505,$N176)))</f>
        <v/>
      </c>
      <c r="H176" s="10" t="str">
        <f aca="false">IF($N176="","",N(INDEX('NHẬP ĐƠN HÀNG'!$L$6:$L$505,$N176)))</f>
        <v/>
      </c>
      <c r="I176" s="11" t="str">
        <f aca="false">IF($N176="","",N(INDEX('NHẬP ĐƠN HÀNG'!$N$6:$N$505,$N176)))</f>
        <v/>
      </c>
      <c r="J176" s="10" t="str">
        <f aca="false">IF($N176="","",N(INDEX('NHẬP ĐƠN HÀNG'!$O$6:$O$505,$N176)))</f>
        <v/>
      </c>
      <c r="K176" s="10" t="str">
        <f aca="false">IF($N176="","",N(INDEX('NHẬP ĐƠN HÀNG'!$P$6:$P$505,$N176)))</f>
        <v/>
      </c>
      <c r="L176" s="10" t="str">
        <f aca="false">IF($N176="","",N(INDEX('NHẬP ĐƠN HÀNG'!$Q$6:$Q$505,$N176)))</f>
        <v/>
      </c>
      <c r="M176" s="10" t="str">
        <f aca="false">IF($N176="","",N(INDEX('NHẬP ĐƠN HÀNG'!$R$6:$R$505,$N176)))</f>
        <v/>
      </c>
      <c r="N176" s="0" t="str">
        <f aca="false">IFERROR(MATCH(171,'NHẬP ĐƠN HÀNG'!$Z$6:$Z$505,0),"")</f>
        <v/>
      </c>
    </row>
    <row r="177" customFormat="false" ht="15" hidden="false" customHeight="false" outlineLevel="0" collapsed="false">
      <c r="A177" s="16" t="str">
        <f aca="false">IF($N177="","",172)</f>
        <v/>
      </c>
      <c r="B177" s="34" t="str">
        <f aca="false">IF($N177="","",IF(INDEX('NHẬP ĐƠN HÀNG'!$B$6:$B$505,$N177)="","",INDEX('NHẬP ĐƠN HÀNG'!$B$6:$B$505,$N177)))</f>
        <v/>
      </c>
      <c r="C177" s="16" t="str">
        <f aca="false">IF($N177="","",IF(INDEX('NHẬP ĐƠN HÀNG'!$C$6:$C$505,$N177)="","",INDEX('NHẬP ĐƠN HÀNG'!$C$6:$C$505,$N177)))</f>
        <v/>
      </c>
      <c r="D177" s="16" t="str">
        <f aca="false">IF($N177="","",IF(INDEX('NHẬP ĐƠN HÀNG'!$E$6:$E$505,$N177)="","",INDEX('NHẬP ĐƠN HÀNG'!$E$6:$E$505,$N177)))</f>
        <v/>
      </c>
      <c r="E177" s="16" t="str">
        <f aca="false">IF($N177="","",IF(INDEX('NHẬP ĐƠN HÀNG'!$F$6:$F$505,$N177)="","",INDEX('NHẬP ĐƠN HÀNG'!$F$6:$F$505,$N177)))</f>
        <v/>
      </c>
      <c r="F177" s="16" t="str">
        <f aca="false">IF($N177="","",IF(INDEX('NHẬP ĐƠN HÀNG'!$H$6:$H$505,$N177)="","",INDEX('NHẬP ĐƠN HÀNG'!$H$6:$H$505,$N177)))</f>
        <v/>
      </c>
      <c r="G177" s="10" t="str">
        <f aca="false">IF($N177="","",N(INDEX('NHẬP ĐƠN HÀNG'!$I$6:$I$505,$N177)))</f>
        <v/>
      </c>
      <c r="H177" s="10" t="str">
        <f aca="false">IF($N177="","",N(INDEX('NHẬP ĐƠN HÀNG'!$L$6:$L$505,$N177)))</f>
        <v/>
      </c>
      <c r="I177" s="11" t="str">
        <f aca="false">IF($N177="","",N(INDEX('NHẬP ĐƠN HÀNG'!$N$6:$N$505,$N177)))</f>
        <v/>
      </c>
      <c r="J177" s="10" t="str">
        <f aca="false">IF($N177="","",N(INDEX('NHẬP ĐƠN HÀNG'!$O$6:$O$505,$N177)))</f>
        <v/>
      </c>
      <c r="K177" s="10" t="str">
        <f aca="false">IF($N177="","",N(INDEX('NHẬP ĐƠN HÀNG'!$P$6:$P$505,$N177)))</f>
        <v/>
      </c>
      <c r="L177" s="10" t="str">
        <f aca="false">IF($N177="","",N(INDEX('NHẬP ĐƠN HÀNG'!$Q$6:$Q$505,$N177)))</f>
        <v/>
      </c>
      <c r="M177" s="10" t="str">
        <f aca="false">IF($N177="","",N(INDEX('NHẬP ĐƠN HÀNG'!$R$6:$R$505,$N177)))</f>
        <v/>
      </c>
      <c r="N177" s="0" t="str">
        <f aca="false">IFERROR(MATCH(172,'NHẬP ĐƠN HÀNG'!$Z$6:$Z$505,0),"")</f>
        <v/>
      </c>
    </row>
    <row r="178" customFormat="false" ht="15" hidden="false" customHeight="false" outlineLevel="0" collapsed="false">
      <c r="A178" s="16" t="str">
        <f aca="false">IF($N178="","",173)</f>
        <v/>
      </c>
      <c r="B178" s="34" t="str">
        <f aca="false">IF($N178="","",IF(INDEX('NHẬP ĐƠN HÀNG'!$B$6:$B$505,$N178)="","",INDEX('NHẬP ĐƠN HÀNG'!$B$6:$B$505,$N178)))</f>
        <v/>
      </c>
      <c r="C178" s="16" t="str">
        <f aca="false">IF($N178="","",IF(INDEX('NHẬP ĐƠN HÀNG'!$C$6:$C$505,$N178)="","",INDEX('NHẬP ĐƠN HÀNG'!$C$6:$C$505,$N178)))</f>
        <v/>
      </c>
      <c r="D178" s="16" t="str">
        <f aca="false">IF($N178="","",IF(INDEX('NHẬP ĐƠN HÀNG'!$E$6:$E$505,$N178)="","",INDEX('NHẬP ĐƠN HÀNG'!$E$6:$E$505,$N178)))</f>
        <v/>
      </c>
      <c r="E178" s="16" t="str">
        <f aca="false">IF($N178="","",IF(INDEX('NHẬP ĐƠN HÀNG'!$F$6:$F$505,$N178)="","",INDEX('NHẬP ĐƠN HÀNG'!$F$6:$F$505,$N178)))</f>
        <v/>
      </c>
      <c r="F178" s="16" t="str">
        <f aca="false">IF($N178="","",IF(INDEX('NHẬP ĐƠN HÀNG'!$H$6:$H$505,$N178)="","",INDEX('NHẬP ĐƠN HÀNG'!$H$6:$H$505,$N178)))</f>
        <v/>
      </c>
      <c r="G178" s="10" t="str">
        <f aca="false">IF($N178="","",N(INDEX('NHẬP ĐƠN HÀNG'!$I$6:$I$505,$N178)))</f>
        <v/>
      </c>
      <c r="H178" s="10" t="str">
        <f aca="false">IF($N178="","",N(INDEX('NHẬP ĐƠN HÀNG'!$L$6:$L$505,$N178)))</f>
        <v/>
      </c>
      <c r="I178" s="11" t="str">
        <f aca="false">IF($N178="","",N(INDEX('NHẬP ĐƠN HÀNG'!$N$6:$N$505,$N178)))</f>
        <v/>
      </c>
      <c r="J178" s="10" t="str">
        <f aca="false">IF($N178="","",N(INDEX('NHẬP ĐƠN HÀNG'!$O$6:$O$505,$N178)))</f>
        <v/>
      </c>
      <c r="K178" s="10" t="str">
        <f aca="false">IF($N178="","",N(INDEX('NHẬP ĐƠN HÀNG'!$P$6:$P$505,$N178)))</f>
        <v/>
      </c>
      <c r="L178" s="10" t="str">
        <f aca="false">IF($N178="","",N(INDEX('NHẬP ĐƠN HÀNG'!$Q$6:$Q$505,$N178)))</f>
        <v/>
      </c>
      <c r="M178" s="10" t="str">
        <f aca="false">IF($N178="","",N(INDEX('NHẬP ĐƠN HÀNG'!$R$6:$R$505,$N178)))</f>
        <v/>
      </c>
      <c r="N178" s="0" t="str">
        <f aca="false">IFERROR(MATCH(173,'NHẬP ĐƠN HÀNG'!$Z$6:$Z$505,0),"")</f>
        <v/>
      </c>
    </row>
    <row r="179" customFormat="false" ht="15" hidden="false" customHeight="false" outlineLevel="0" collapsed="false">
      <c r="A179" s="16" t="str">
        <f aca="false">IF($N179="","",174)</f>
        <v/>
      </c>
      <c r="B179" s="34" t="str">
        <f aca="false">IF($N179="","",IF(INDEX('NHẬP ĐƠN HÀNG'!$B$6:$B$505,$N179)="","",INDEX('NHẬP ĐƠN HÀNG'!$B$6:$B$505,$N179)))</f>
        <v/>
      </c>
      <c r="C179" s="16" t="str">
        <f aca="false">IF($N179="","",IF(INDEX('NHẬP ĐƠN HÀNG'!$C$6:$C$505,$N179)="","",INDEX('NHẬP ĐƠN HÀNG'!$C$6:$C$505,$N179)))</f>
        <v/>
      </c>
      <c r="D179" s="16" t="str">
        <f aca="false">IF($N179="","",IF(INDEX('NHẬP ĐƠN HÀNG'!$E$6:$E$505,$N179)="","",INDEX('NHẬP ĐƠN HÀNG'!$E$6:$E$505,$N179)))</f>
        <v/>
      </c>
      <c r="E179" s="16" t="str">
        <f aca="false">IF($N179="","",IF(INDEX('NHẬP ĐƠN HÀNG'!$F$6:$F$505,$N179)="","",INDEX('NHẬP ĐƠN HÀNG'!$F$6:$F$505,$N179)))</f>
        <v/>
      </c>
      <c r="F179" s="16" t="str">
        <f aca="false">IF($N179="","",IF(INDEX('NHẬP ĐƠN HÀNG'!$H$6:$H$505,$N179)="","",INDEX('NHẬP ĐƠN HÀNG'!$H$6:$H$505,$N179)))</f>
        <v/>
      </c>
      <c r="G179" s="10" t="str">
        <f aca="false">IF($N179="","",N(INDEX('NHẬP ĐƠN HÀNG'!$I$6:$I$505,$N179)))</f>
        <v/>
      </c>
      <c r="H179" s="10" t="str">
        <f aca="false">IF($N179="","",N(INDEX('NHẬP ĐƠN HÀNG'!$L$6:$L$505,$N179)))</f>
        <v/>
      </c>
      <c r="I179" s="11" t="str">
        <f aca="false">IF($N179="","",N(INDEX('NHẬP ĐƠN HÀNG'!$N$6:$N$505,$N179)))</f>
        <v/>
      </c>
      <c r="J179" s="10" t="str">
        <f aca="false">IF($N179="","",N(INDEX('NHẬP ĐƠN HÀNG'!$O$6:$O$505,$N179)))</f>
        <v/>
      </c>
      <c r="K179" s="10" t="str">
        <f aca="false">IF($N179="","",N(INDEX('NHẬP ĐƠN HÀNG'!$P$6:$P$505,$N179)))</f>
        <v/>
      </c>
      <c r="L179" s="10" t="str">
        <f aca="false">IF($N179="","",N(INDEX('NHẬP ĐƠN HÀNG'!$Q$6:$Q$505,$N179)))</f>
        <v/>
      </c>
      <c r="M179" s="10" t="str">
        <f aca="false">IF($N179="","",N(INDEX('NHẬP ĐƠN HÀNG'!$R$6:$R$505,$N179)))</f>
        <v/>
      </c>
      <c r="N179" s="0" t="str">
        <f aca="false">IFERROR(MATCH(174,'NHẬP ĐƠN HÀNG'!$Z$6:$Z$505,0),"")</f>
        <v/>
      </c>
    </row>
    <row r="180" customFormat="false" ht="15" hidden="false" customHeight="false" outlineLevel="0" collapsed="false">
      <c r="A180" s="16" t="str">
        <f aca="false">IF($N180="","",175)</f>
        <v/>
      </c>
      <c r="B180" s="34" t="str">
        <f aca="false">IF($N180="","",IF(INDEX('NHẬP ĐƠN HÀNG'!$B$6:$B$505,$N180)="","",INDEX('NHẬP ĐƠN HÀNG'!$B$6:$B$505,$N180)))</f>
        <v/>
      </c>
      <c r="C180" s="16" t="str">
        <f aca="false">IF($N180="","",IF(INDEX('NHẬP ĐƠN HÀNG'!$C$6:$C$505,$N180)="","",INDEX('NHẬP ĐƠN HÀNG'!$C$6:$C$505,$N180)))</f>
        <v/>
      </c>
      <c r="D180" s="16" t="str">
        <f aca="false">IF($N180="","",IF(INDEX('NHẬP ĐƠN HÀNG'!$E$6:$E$505,$N180)="","",INDEX('NHẬP ĐƠN HÀNG'!$E$6:$E$505,$N180)))</f>
        <v/>
      </c>
      <c r="E180" s="16" t="str">
        <f aca="false">IF($N180="","",IF(INDEX('NHẬP ĐƠN HÀNG'!$F$6:$F$505,$N180)="","",INDEX('NHẬP ĐƠN HÀNG'!$F$6:$F$505,$N180)))</f>
        <v/>
      </c>
      <c r="F180" s="16" t="str">
        <f aca="false">IF($N180="","",IF(INDEX('NHẬP ĐƠN HÀNG'!$H$6:$H$505,$N180)="","",INDEX('NHẬP ĐƠN HÀNG'!$H$6:$H$505,$N180)))</f>
        <v/>
      </c>
      <c r="G180" s="10" t="str">
        <f aca="false">IF($N180="","",N(INDEX('NHẬP ĐƠN HÀNG'!$I$6:$I$505,$N180)))</f>
        <v/>
      </c>
      <c r="H180" s="10" t="str">
        <f aca="false">IF($N180="","",N(INDEX('NHẬP ĐƠN HÀNG'!$L$6:$L$505,$N180)))</f>
        <v/>
      </c>
      <c r="I180" s="11" t="str">
        <f aca="false">IF($N180="","",N(INDEX('NHẬP ĐƠN HÀNG'!$N$6:$N$505,$N180)))</f>
        <v/>
      </c>
      <c r="J180" s="10" t="str">
        <f aca="false">IF($N180="","",N(INDEX('NHẬP ĐƠN HÀNG'!$O$6:$O$505,$N180)))</f>
        <v/>
      </c>
      <c r="K180" s="10" t="str">
        <f aca="false">IF($N180="","",N(INDEX('NHẬP ĐƠN HÀNG'!$P$6:$P$505,$N180)))</f>
        <v/>
      </c>
      <c r="L180" s="10" t="str">
        <f aca="false">IF($N180="","",N(INDEX('NHẬP ĐƠN HÀNG'!$Q$6:$Q$505,$N180)))</f>
        <v/>
      </c>
      <c r="M180" s="10" t="str">
        <f aca="false">IF($N180="","",N(INDEX('NHẬP ĐƠN HÀNG'!$R$6:$R$505,$N180)))</f>
        <v/>
      </c>
      <c r="N180" s="0" t="str">
        <f aca="false">IFERROR(MATCH(175,'NHẬP ĐƠN HÀNG'!$Z$6:$Z$505,0),"")</f>
        <v/>
      </c>
    </row>
    <row r="181" customFormat="false" ht="15" hidden="false" customHeight="false" outlineLevel="0" collapsed="false">
      <c r="A181" s="16" t="str">
        <f aca="false">IF($N181="","",176)</f>
        <v/>
      </c>
      <c r="B181" s="34" t="str">
        <f aca="false">IF($N181="","",IF(INDEX('NHẬP ĐƠN HÀNG'!$B$6:$B$505,$N181)="","",INDEX('NHẬP ĐƠN HÀNG'!$B$6:$B$505,$N181)))</f>
        <v/>
      </c>
      <c r="C181" s="16" t="str">
        <f aca="false">IF($N181="","",IF(INDEX('NHẬP ĐƠN HÀNG'!$C$6:$C$505,$N181)="","",INDEX('NHẬP ĐƠN HÀNG'!$C$6:$C$505,$N181)))</f>
        <v/>
      </c>
      <c r="D181" s="16" t="str">
        <f aca="false">IF($N181="","",IF(INDEX('NHẬP ĐƠN HÀNG'!$E$6:$E$505,$N181)="","",INDEX('NHẬP ĐƠN HÀNG'!$E$6:$E$505,$N181)))</f>
        <v/>
      </c>
      <c r="E181" s="16" t="str">
        <f aca="false">IF($N181="","",IF(INDEX('NHẬP ĐƠN HÀNG'!$F$6:$F$505,$N181)="","",INDEX('NHẬP ĐƠN HÀNG'!$F$6:$F$505,$N181)))</f>
        <v/>
      </c>
      <c r="F181" s="16" t="str">
        <f aca="false">IF($N181="","",IF(INDEX('NHẬP ĐƠN HÀNG'!$H$6:$H$505,$N181)="","",INDEX('NHẬP ĐƠN HÀNG'!$H$6:$H$505,$N181)))</f>
        <v/>
      </c>
      <c r="G181" s="10" t="str">
        <f aca="false">IF($N181="","",N(INDEX('NHẬP ĐƠN HÀNG'!$I$6:$I$505,$N181)))</f>
        <v/>
      </c>
      <c r="H181" s="10" t="str">
        <f aca="false">IF($N181="","",N(INDEX('NHẬP ĐƠN HÀNG'!$L$6:$L$505,$N181)))</f>
        <v/>
      </c>
      <c r="I181" s="11" t="str">
        <f aca="false">IF($N181="","",N(INDEX('NHẬP ĐƠN HÀNG'!$N$6:$N$505,$N181)))</f>
        <v/>
      </c>
      <c r="J181" s="10" t="str">
        <f aca="false">IF($N181="","",N(INDEX('NHẬP ĐƠN HÀNG'!$O$6:$O$505,$N181)))</f>
        <v/>
      </c>
      <c r="K181" s="10" t="str">
        <f aca="false">IF($N181="","",N(INDEX('NHẬP ĐƠN HÀNG'!$P$6:$P$505,$N181)))</f>
        <v/>
      </c>
      <c r="L181" s="10" t="str">
        <f aca="false">IF($N181="","",N(INDEX('NHẬP ĐƠN HÀNG'!$Q$6:$Q$505,$N181)))</f>
        <v/>
      </c>
      <c r="M181" s="10" t="str">
        <f aca="false">IF($N181="","",N(INDEX('NHẬP ĐƠN HÀNG'!$R$6:$R$505,$N181)))</f>
        <v/>
      </c>
      <c r="N181" s="0" t="str">
        <f aca="false">IFERROR(MATCH(176,'NHẬP ĐƠN HÀNG'!$Z$6:$Z$505,0),"")</f>
        <v/>
      </c>
    </row>
    <row r="182" customFormat="false" ht="15" hidden="false" customHeight="false" outlineLevel="0" collapsed="false">
      <c r="A182" s="16" t="str">
        <f aca="false">IF($N182="","",177)</f>
        <v/>
      </c>
      <c r="B182" s="34" t="str">
        <f aca="false">IF($N182="","",IF(INDEX('NHẬP ĐƠN HÀNG'!$B$6:$B$505,$N182)="","",INDEX('NHẬP ĐƠN HÀNG'!$B$6:$B$505,$N182)))</f>
        <v/>
      </c>
      <c r="C182" s="16" t="str">
        <f aca="false">IF($N182="","",IF(INDEX('NHẬP ĐƠN HÀNG'!$C$6:$C$505,$N182)="","",INDEX('NHẬP ĐƠN HÀNG'!$C$6:$C$505,$N182)))</f>
        <v/>
      </c>
      <c r="D182" s="16" t="str">
        <f aca="false">IF($N182="","",IF(INDEX('NHẬP ĐƠN HÀNG'!$E$6:$E$505,$N182)="","",INDEX('NHẬP ĐƠN HÀNG'!$E$6:$E$505,$N182)))</f>
        <v/>
      </c>
      <c r="E182" s="16" t="str">
        <f aca="false">IF($N182="","",IF(INDEX('NHẬP ĐƠN HÀNG'!$F$6:$F$505,$N182)="","",INDEX('NHẬP ĐƠN HÀNG'!$F$6:$F$505,$N182)))</f>
        <v/>
      </c>
      <c r="F182" s="16" t="str">
        <f aca="false">IF($N182="","",IF(INDEX('NHẬP ĐƠN HÀNG'!$H$6:$H$505,$N182)="","",INDEX('NHẬP ĐƠN HÀNG'!$H$6:$H$505,$N182)))</f>
        <v/>
      </c>
      <c r="G182" s="10" t="str">
        <f aca="false">IF($N182="","",N(INDEX('NHẬP ĐƠN HÀNG'!$I$6:$I$505,$N182)))</f>
        <v/>
      </c>
      <c r="H182" s="10" t="str">
        <f aca="false">IF($N182="","",N(INDEX('NHẬP ĐƠN HÀNG'!$L$6:$L$505,$N182)))</f>
        <v/>
      </c>
      <c r="I182" s="11" t="str">
        <f aca="false">IF($N182="","",N(INDEX('NHẬP ĐƠN HÀNG'!$N$6:$N$505,$N182)))</f>
        <v/>
      </c>
      <c r="J182" s="10" t="str">
        <f aca="false">IF($N182="","",N(INDEX('NHẬP ĐƠN HÀNG'!$O$6:$O$505,$N182)))</f>
        <v/>
      </c>
      <c r="K182" s="10" t="str">
        <f aca="false">IF($N182="","",N(INDEX('NHẬP ĐƠN HÀNG'!$P$6:$P$505,$N182)))</f>
        <v/>
      </c>
      <c r="L182" s="10" t="str">
        <f aca="false">IF($N182="","",N(INDEX('NHẬP ĐƠN HÀNG'!$Q$6:$Q$505,$N182)))</f>
        <v/>
      </c>
      <c r="M182" s="10" t="str">
        <f aca="false">IF($N182="","",N(INDEX('NHẬP ĐƠN HÀNG'!$R$6:$R$505,$N182)))</f>
        <v/>
      </c>
      <c r="N182" s="0" t="str">
        <f aca="false">IFERROR(MATCH(177,'NHẬP ĐƠN HÀNG'!$Z$6:$Z$505,0),"")</f>
        <v/>
      </c>
    </row>
    <row r="183" customFormat="false" ht="15" hidden="false" customHeight="false" outlineLevel="0" collapsed="false">
      <c r="A183" s="16" t="str">
        <f aca="false">IF($N183="","",178)</f>
        <v/>
      </c>
      <c r="B183" s="34" t="str">
        <f aca="false">IF($N183="","",IF(INDEX('NHẬP ĐƠN HÀNG'!$B$6:$B$505,$N183)="","",INDEX('NHẬP ĐƠN HÀNG'!$B$6:$B$505,$N183)))</f>
        <v/>
      </c>
      <c r="C183" s="16" t="str">
        <f aca="false">IF($N183="","",IF(INDEX('NHẬP ĐƠN HÀNG'!$C$6:$C$505,$N183)="","",INDEX('NHẬP ĐƠN HÀNG'!$C$6:$C$505,$N183)))</f>
        <v/>
      </c>
      <c r="D183" s="16" t="str">
        <f aca="false">IF($N183="","",IF(INDEX('NHẬP ĐƠN HÀNG'!$E$6:$E$505,$N183)="","",INDEX('NHẬP ĐƠN HÀNG'!$E$6:$E$505,$N183)))</f>
        <v/>
      </c>
      <c r="E183" s="16" t="str">
        <f aca="false">IF($N183="","",IF(INDEX('NHẬP ĐƠN HÀNG'!$F$6:$F$505,$N183)="","",INDEX('NHẬP ĐƠN HÀNG'!$F$6:$F$505,$N183)))</f>
        <v/>
      </c>
      <c r="F183" s="16" t="str">
        <f aca="false">IF($N183="","",IF(INDEX('NHẬP ĐƠN HÀNG'!$H$6:$H$505,$N183)="","",INDEX('NHẬP ĐƠN HÀNG'!$H$6:$H$505,$N183)))</f>
        <v/>
      </c>
      <c r="G183" s="10" t="str">
        <f aca="false">IF($N183="","",N(INDEX('NHẬP ĐƠN HÀNG'!$I$6:$I$505,$N183)))</f>
        <v/>
      </c>
      <c r="H183" s="10" t="str">
        <f aca="false">IF($N183="","",N(INDEX('NHẬP ĐƠN HÀNG'!$L$6:$L$505,$N183)))</f>
        <v/>
      </c>
      <c r="I183" s="11" t="str">
        <f aca="false">IF($N183="","",N(INDEX('NHẬP ĐƠN HÀNG'!$N$6:$N$505,$N183)))</f>
        <v/>
      </c>
      <c r="J183" s="10" t="str">
        <f aca="false">IF($N183="","",N(INDEX('NHẬP ĐƠN HÀNG'!$O$6:$O$505,$N183)))</f>
        <v/>
      </c>
      <c r="K183" s="10" t="str">
        <f aca="false">IF($N183="","",N(INDEX('NHẬP ĐƠN HÀNG'!$P$6:$P$505,$N183)))</f>
        <v/>
      </c>
      <c r="L183" s="10" t="str">
        <f aca="false">IF($N183="","",N(INDEX('NHẬP ĐƠN HÀNG'!$Q$6:$Q$505,$N183)))</f>
        <v/>
      </c>
      <c r="M183" s="10" t="str">
        <f aca="false">IF($N183="","",N(INDEX('NHẬP ĐƠN HÀNG'!$R$6:$R$505,$N183)))</f>
        <v/>
      </c>
      <c r="N183" s="0" t="str">
        <f aca="false">IFERROR(MATCH(178,'NHẬP ĐƠN HÀNG'!$Z$6:$Z$505,0),"")</f>
        <v/>
      </c>
    </row>
    <row r="184" customFormat="false" ht="15" hidden="false" customHeight="false" outlineLevel="0" collapsed="false">
      <c r="A184" s="16" t="str">
        <f aca="false">IF($N184="","",179)</f>
        <v/>
      </c>
      <c r="B184" s="34" t="str">
        <f aca="false">IF($N184="","",IF(INDEX('NHẬP ĐƠN HÀNG'!$B$6:$B$505,$N184)="","",INDEX('NHẬP ĐƠN HÀNG'!$B$6:$B$505,$N184)))</f>
        <v/>
      </c>
      <c r="C184" s="16" t="str">
        <f aca="false">IF($N184="","",IF(INDEX('NHẬP ĐƠN HÀNG'!$C$6:$C$505,$N184)="","",INDEX('NHẬP ĐƠN HÀNG'!$C$6:$C$505,$N184)))</f>
        <v/>
      </c>
      <c r="D184" s="16" t="str">
        <f aca="false">IF($N184="","",IF(INDEX('NHẬP ĐƠN HÀNG'!$E$6:$E$505,$N184)="","",INDEX('NHẬP ĐƠN HÀNG'!$E$6:$E$505,$N184)))</f>
        <v/>
      </c>
      <c r="E184" s="16" t="str">
        <f aca="false">IF($N184="","",IF(INDEX('NHẬP ĐƠN HÀNG'!$F$6:$F$505,$N184)="","",INDEX('NHẬP ĐƠN HÀNG'!$F$6:$F$505,$N184)))</f>
        <v/>
      </c>
      <c r="F184" s="16" t="str">
        <f aca="false">IF($N184="","",IF(INDEX('NHẬP ĐƠN HÀNG'!$H$6:$H$505,$N184)="","",INDEX('NHẬP ĐƠN HÀNG'!$H$6:$H$505,$N184)))</f>
        <v/>
      </c>
      <c r="G184" s="10" t="str">
        <f aca="false">IF($N184="","",N(INDEX('NHẬP ĐƠN HÀNG'!$I$6:$I$505,$N184)))</f>
        <v/>
      </c>
      <c r="H184" s="10" t="str">
        <f aca="false">IF($N184="","",N(INDEX('NHẬP ĐƠN HÀNG'!$L$6:$L$505,$N184)))</f>
        <v/>
      </c>
      <c r="I184" s="11" t="str">
        <f aca="false">IF($N184="","",N(INDEX('NHẬP ĐƠN HÀNG'!$N$6:$N$505,$N184)))</f>
        <v/>
      </c>
      <c r="J184" s="10" t="str">
        <f aca="false">IF($N184="","",N(INDEX('NHẬP ĐƠN HÀNG'!$O$6:$O$505,$N184)))</f>
        <v/>
      </c>
      <c r="K184" s="10" t="str">
        <f aca="false">IF($N184="","",N(INDEX('NHẬP ĐƠN HÀNG'!$P$6:$P$505,$N184)))</f>
        <v/>
      </c>
      <c r="L184" s="10" t="str">
        <f aca="false">IF($N184="","",N(INDEX('NHẬP ĐƠN HÀNG'!$Q$6:$Q$505,$N184)))</f>
        <v/>
      </c>
      <c r="M184" s="10" t="str">
        <f aca="false">IF($N184="","",N(INDEX('NHẬP ĐƠN HÀNG'!$R$6:$R$505,$N184)))</f>
        <v/>
      </c>
      <c r="N184" s="0" t="str">
        <f aca="false">IFERROR(MATCH(179,'NHẬP ĐƠN HÀNG'!$Z$6:$Z$505,0),"")</f>
        <v/>
      </c>
    </row>
    <row r="185" customFormat="false" ht="15" hidden="false" customHeight="false" outlineLevel="0" collapsed="false">
      <c r="A185" s="16" t="str">
        <f aca="false">IF($N185="","",180)</f>
        <v/>
      </c>
      <c r="B185" s="34" t="str">
        <f aca="false">IF($N185="","",IF(INDEX('NHẬP ĐƠN HÀNG'!$B$6:$B$505,$N185)="","",INDEX('NHẬP ĐƠN HÀNG'!$B$6:$B$505,$N185)))</f>
        <v/>
      </c>
      <c r="C185" s="16" t="str">
        <f aca="false">IF($N185="","",IF(INDEX('NHẬP ĐƠN HÀNG'!$C$6:$C$505,$N185)="","",INDEX('NHẬP ĐƠN HÀNG'!$C$6:$C$505,$N185)))</f>
        <v/>
      </c>
      <c r="D185" s="16" t="str">
        <f aca="false">IF($N185="","",IF(INDEX('NHẬP ĐƠN HÀNG'!$E$6:$E$505,$N185)="","",INDEX('NHẬP ĐƠN HÀNG'!$E$6:$E$505,$N185)))</f>
        <v/>
      </c>
      <c r="E185" s="16" t="str">
        <f aca="false">IF($N185="","",IF(INDEX('NHẬP ĐƠN HÀNG'!$F$6:$F$505,$N185)="","",INDEX('NHẬP ĐƠN HÀNG'!$F$6:$F$505,$N185)))</f>
        <v/>
      </c>
      <c r="F185" s="16" t="str">
        <f aca="false">IF($N185="","",IF(INDEX('NHẬP ĐƠN HÀNG'!$H$6:$H$505,$N185)="","",INDEX('NHẬP ĐƠN HÀNG'!$H$6:$H$505,$N185)))</f>
        <v/>
      </c>
      <c r="G185" s="10" t="str">
        <f aca="false">IF($N185="","",N(INDEX('NHẬP ĐƠN HÀNG'!$I$6:$I$505,$N185)))</f>
        <v/>
      </c>
      <c r="H185" s="10" t="str">
        <f aca="false">IF($N185="","",N(INDEX('NHẬP ĐƠN HÀNG'!$L$6:$L$505,$N185)))</f>
        <v/>
      </c>
      <c r="I185" s="11" t="str">
        <f aca="false">IF($N185="","",N(INDEX('NHẬP ĐƠN HÀNG'!$N$6:$N$505,$N185)))</f>
        <v/>
      </c>
      <c r="J185" s="10" t="str">
        <f aca="false">IF($N185="","",N(INDEX('NHẬP ĐƠN HÀNG'!$O$6:$O$505,$N185)))</f>
        <v/>
      </c>
      <c r="K185" s="10" t="str">
        <f aca="false">IF($N185="","",N(INDEX('NHẬP ĐƠN HÀNG'!$P$6:$P$505,$N185)))</f>
        <v/>
      </c>
      <c r="L185" s="10" t="str">
        <f aca="false">IF($N185="","",N(INDEX('NHẬP ĐƠN HÀNG'!$Q$6:$Q$505,$N185)))</f>
        <v/>
      </c>
      <c r="M185" s="10" t="str">
        <f aca="false">IF($N185="","",N(INDEX('NHẬP ĐƠN HÀNG'!$R$6:$R$505,$N185)))</f>
        <v/>
      </c>
      <c r="N185" s="0" t="str">
        <f aca="false">IFERROR(MATCH(180,'NHẬP ĐƠN HÀNG'!$Z$6:$Z$505,0),"")</f>
        <v/>
      </c>
    </row>
    <row r="186" customFormat="false" ht="15" hidden="false" customHeight="false" outlineLevel="0" collapsed="false">
      <c r="A186" s="16" t="str">
        <f aca="false">IF($N186="","",181)</f>
        <v/>
      </c>
      <c r="B186" s="34" t="str">
        <f aca="false">IF($N186="","",IF(INDEX('NHẬP ĐƠN HÀNG'!$B$6:$B$505,$N186)="","",INDEX('NHẬP ĐƠN HÀNG'!$B$6:$B$505,$N186)))</f>
        <v/>
      </c>
      <c r="C186" s="16" t="str">
        <f aca="false">IF($N186="","",IF(INDEX('NHẬP ĐƠN HÀNG'!$C$6:$C$505,$N186)="","",INDEX('NHẬP ĐƠN HÀNG'!$C$6:$C$505,$N186)))</f>
        <v/>
      </c>
      <c r="D186" s="16" t="str">
        <f aca="false">IF($N186="","",IF(INDEX('NHẬP ĐƠN HÀNG'!$E$6:$E$505,$N186)="","",INDEX('NHẬP ĐƠN HÀNG'!$E$6:$E$505,$N186)))</f>
        <v/>
      </c>
      <c r="E186" s="16" t="str">
        <f aca="false">IF($N186="","",IF(INDEX('NHẬP ĐƠN HÀNG'!$F$6:$F$505,$N186)="","",INDEX('NHẬP ĐƠN HÀNG'!$F$6:$F$505,$N186)))</f>
        <v/>
      </c>
      <c r="F186" s="16" t="str">
        <f aca="false">IF($N186="","",IF(INDEX('NHẬP ĐƠN HÀNG'!$H$6:$H$505,$N186)="","",INDEX('NHẬP ĐƠN HÀNG'!$H$6:$H$505,$N186)))</f>
        <v/>
      </c>
      <c r="G186" s="10" t="str">
        <f aca="false">IF($N186="","",N(INDEX('NHẬP ĐƠN HÀNG'!$I$6:$I$505,$N186)))</f>
        <v/>
      </c>
      <c r="H186" s="10" t="str">
        <f aca="false">IF($N186="","",N(INDEX('NHẬP ĐƠN HÀNG'!$L$6:$L$505,$N186)))</f>
        <v/>
      </c>
      <c r="I186" s="11" t="str">
        <f aca="false">IF($N186="","",N(INDEX('NHẬP ĐƠN HÀNG'!$N$6:$N$505,$N186)))</f>
        <v/>
      </c>
      <c r="J186" s="10" t="str">
        <f aca="false">IF($N186="","",N(INDEX('NHẬP ĐƠN HÀNG'!$O$6:$O$505,$N186)))</f>
        <v/>
      </c>
      <c r="K186" s="10" t="str">
        <f aca="false">IF($N186="","",N(INDEX('NHẬP ĐƠN HÀNG'!$P$6:$P$505,$N186)))</f>
        <v/>
      </c>
      <c r="L186" s="10" t="str">
        <f aca="false">IF($N186="","",N(INDEX('NHẬP ĐƠN HÀNG'!$Q$6:$Q$505,$N186)))</f>
        <v/>
      </c>
      <c r="M186" s="10" t="str">
        <f aca="false">IF($N186="","",N(INDEX('NHẬP ĐƠN HÀNG'!$R$6:$R$505,$N186)))</f>
        <v/>
      </c>
      <c r="N186" s="0" t="str">
        <f aca="false">IFERROR(MATCH(181,'NHẬP ĐƠN HÀNG'!$Z$6:$Z$505,0),"")</f>
        <v/>
      </c>
    </row>
    <row r="187" customFormat="false" ht="15" hidden="false" customHeight="false" outlineLevel="0" collapsed="false">
      <c r="A187" s="16" t="str">
        <f aca="false">IF($N187="","",182)</f>
        <v/>
      </c>
      <c r="B187" s="34" t="str">
        <f aca="false">IF($N187="","",IF(INDEX('NHẬP ĐƠN HÀNG'!$B$6:$B$505,$N187)="","",INDEX('NHẬP ĐƠN HÀNG'!$B$6:$B$505,$N187)))</f>
        <v/>
      </c>
      <c r="C187" s="16" t="str">
        <f aca="false">IF($N187="","",IF(INDEX('NHẬP ĐƠN HÀNG'!$C$6:$C$505,$N187)="","",INDEX('NHẬP ĐƠN HÀNG'!$C$6:$C$505,$N187)))</f>
        <v/>
      </c>
      <c r="D187" s="16" t="str">
        <f aca="false">IF($N187="","",IF(INDEX('NHẬP ĐƠN HÀNG'!$E$6:$E$505,$N187)="","",INDEX('NHẬP ĐƠN HÀNG'!$E$6:$E$505,$N187)))</f>
        <v/>
      </c>
      <c r="E187" s="16" t="str">
        <f aca="false">IF($N187="","",IF(INDEX('NHẬP ĐƠN HÀNG'!$F$6:$F$505,$N187)="","",INDEX('NHẬP ĐƠN HÀNG'!$F$6:$F$505,$N187)))</f>
        <v/>
      </c>
      <c r="F187" s="16" t="str">
        <f aca="false">IF($N187="","",IF(INDEX('NHẬP ĐƠN HÀNG'!$H$6:$H$505,$N187)="","",INDEX('NHẬP ĐƠN HÀNG'!$H$6:$H$505,$N187)))</f>
        <v/>
      </c>
      <c r="G187" s="10" t="str">
        <f aca="false">IF($N187="","",N(INDEX('NHẬP ĐƠN HÀNG'!$I$6:$I$505,$N187)))</f>
        <v/>
      </c>
      <c r="H187" s="10" t="str">
        <f aca="false">IF($N187="","",N(INDEX('NHẬP ĐƠN HÀNG'!$L$6:$L$505,$N187)))</f>
        <v/>
      </c>
      <c r="I187" s="11" t="str">
        <f aca="false">IF($N187="","",N(INDEX('NHẬP ĐƠN HÀNG'!$N$6:$N$505,$N187)))</f>
        <v/>
      </c>
      <c r="J187" s="10" t="str">
        <f aca="false">IF($N187="","",N(INDEX('NHẬP ĐƠN HÀNG'!$O$6:$O$505,$N187)))</f>
        <v/>
      </c>
      <c r="K187" s="10" t="str">
        <f aca="false">IF($N187="","",N(INDEX('NHẬP ĐƠN HÀNG'!$P$6:$P$505,$N187)))</f>
        <v/>
      </c>
      <c r="L187" s="10" t="str">
        <f aca="false">IF($N187="","",N(INDEX('NHẬP ĐƠN HÀNG'!$Q$6:$Q$505,$N187)))</f>
        <v/>
      </c>
      <c r="M187" s="10" t="str">
        <f aca="false">IF($N187="","",N(INDEX('NHẬP ĐƠN HÀNG'!$R$6:$R$505,$N187)))</f>
        <v/>
      </c>
      <c r="N187" s="0" t="str">
        <f aca="false">IFERROR(MATCH(182,'NHẬP ĐƠN HÀNG'!$Z$6:$Z$505,0),"")</f>
        <v/>
      </c>
    </row>
    <row r="188" customFormat="false" ht="15" hidden="false" customHeight="false" outlineLevel="0" collapsed="false">
      <c r="A188" s="16" t="str">
        <f aca="false">IF($N188="","",183)</f>
        <v/>
      </c>
      <c r="B188" s="34" t="str">
        <f aca="false">IF($N188="","",IF(INDEX('NHẬP ĐƠN HÀNG'!$B$6:$B$505,$N188)="","",INDEX('NHẬP ĐƠN HÀNG'!$B$6:$B$505,$N188)))</f>
        <v/>
      </c>
      <c r="C188" s="16" t="str">
        <f aca="false">IF($N188="","",IF(INDEX('NHẬP ĐƠN HÀNG'!$C$6:$C$505,$N188)="","",INDEX('NHẬP ĐƠN HÀNG'!$C$6:$C$505,$N188)))</f>
        <v/>
      </c>
      <c r="D188" s="16" t="str">
        <f aca="false">IF($N188="","",IF(INDEX('NHẬP ĐƠN HÀNG'!$E$6:$E$505,$N188)="","",INDEX('NHẬP ĐƠN HÀNG'!$E$6:$E$505,$N188)))</f>
        <v/>
      </c>
      <c r="E188" s="16" t="str">
        <f aca="false">IF($N188="","",IF(INDEX('NHẬP ĐƠN HÀNG'!$F$6:$F$505,$N188)="","",INDEX('NHẬP ĐƠN HÀNG'!$F$6:$F$505,$N188)))</f>
        <v/>
      </c>
      <c r="F188" s="16" t="str">
        <f aca="false">IF($N188="","",IF(INDEX('NHẬP ĐƠN HÀNG'!$H$6:$H$505,$N188)="","",INDEX('NHẬP ĐƠN HÀNG'!$H$6:$H$505,$N188)))</f>
        <v/>
      </c>
      <c r="G188" s="10" t="str">
        <f aca="false">IF($N188="","",N(INDEX('NHẬP ĐƠN HÀNG'!$I$6:$I$505,$N188)))</f>
        <v/>
      </c>
      <c r="H188" s="10" t="str">
        <f aca="false">IF($N188="","",N(INDEX('NHẬP ĐƠN HÀNG'!$L$6:$L$505,$N188)))</f>
        <v/>
      </c>
      <c r="I188" s="11" t="str">
        <f aca="false">IF($N188="","",N(INDEX('NHẬP ĐƠN HÀNG'!$N$6:$N$505,$N188)))</f>
        <v/>
      </c>
      <c r="J188" s="10" t="str">
        <f aca="false">IF($N188="","",N(INDEX('NHẬP ĐƠN HÀNG'!$O$6:$O$505,$N188)))</f>
        <v/>
      </c>
      <c r="K188" s="10" t="str">
        <f aca="false">IF($N188="","",N(INDEX('NHẬP ĐƠN HÀNG'!$P$6:$P$505,$N188)))</f>
        <v/>
      </c>
      <c r="L188" s="10" t="str">
        <f aca="false">IF($N188="","",N(INDEX('NHẬP ĐƠN HÀNG'!$Q$6:$Q$505,$N188)))</f>
        <v/>
      </c>
      <c r="M188" s="10" t="str">
        <f aca="false">IF($N188="","",N(INDEX('NHẬP ĐƠN HÀNG'!$R$6:$R$505,$N188)))</f>
        <v/>
      </c>
      <c r="N188" s="0" t="str">
        <f aca="false">IFERROR(MATCH(183,'NHẬP ĐƠN HÀNG'!$Z$6:$Z$505,0),"")</f>
        <v/>
      </c>
    </row>
    <row r="189" customFormat="false" ht="15" hidden="false" customHeight="false" outlineLevel="0" collapsed="false">
      <c r="A189" s="16" t="str">
        <f aca="false">IF($N189="","",184)</f>
        <v/>
      </c>
      <c r="B189" s="34" t="str">
        <f aca="false">IF($N189="","",IF(INDEX('NHẬP ĐƠN HÀNG'!$B$6:$B$505,$N189)="","",INDEX('NHẬP ĐƠN HÀNG'!$B$6:$B$505,$N189)))</f>
        <v/>
      </c>
      <c r="C189" s="16" t="str">
        <f aca="false">IF($N189="","",IF(INDEX('NHẬP ĐƠN HÀNG'!$C$6:$C$505,$N189)="","",INDEX('NHẬP ĐƠN HÀNG'!$C$6:$C$505,$N189)))</f>
        <v/>
      </c>
      <c r="D189" s="16" t="str">
        <f aca="false">IF($N189="","",IF(INDEX('NHẬP ĐƠN HÀNG'!$E$6:$E$505,$N189)="","",INDEX('NHẬP ĐƠN HÀNG'!$E$6:$E$505,$N189)))</f>
        <v/>
      </c>
      <c r="E189" s="16" t="str">
        <f aca="false">IF($N189="","",IF(INDEX('NHẬP ĐƠN HÀNG'!$F$6:$F$505,$N189)="","",INDEX('NHẬP ĐƠN HÀNG'!$F$6:$F$505,$N189)))</f>
        <v/>
      </c>
      <c r="F189" s="16" t="str">
        <f aca="false">IF($N189="","",IF(INDEX('NHẬP ĐƠN HÀNG'!$H$6:$H$505,$N189)="","",INDEX('NHẬP ĐƠN HÀNG'!$H$6:$H$505,$N189)))</f>
        <v/>
      </c>
      <c r="G189" s="10" t="str">
        <f aca="false">IF($N189="","",N(INDEX('NHẬP ĐƠN HÀNG'!$I$6:$I$505,$N189)))</f>
        <v/>
      </c>
      <c r="H189" s="10" t="str">
        <f aca="false">IF($N189="","",N(INDEX('NHẬP ĐƠN HÀNG'!$L$6:$L$505,$N189)))</f>
        <v/>
      </c>
      <c r="I189" s="11" t="str">
        <f aca="false">IF($N189="","",N(INDEX('NHẬP ĐƠN HÀNG'!$N$6:$N$505,$N189)))</f>
        <v/>
      </c>
      <c r="J189" s="10" t="str">
        <f aca="false">IF($N189="","",N(INDEX('NHẬP ĐƠN HÀNG'!$O$6:$O$505,$N189)))</f>
        <v/>
      </c>
      <c r="K189" s="10" t="str">
        <f aca="false">IF($N189="","",N(INDEX('NHẬP ĐƠN HÀNG'!$P$6:$P$505,$N189)))</f>
        <v/>
      </c>
      <c r="L189" s="10" t="str">
        <f aca="false">IF($N189="","",N(INDEX('NHẬP ĐƠN HÀNG'!$Q$6:$Q$505,$N189)))</f>
        <v/>
      </c>
      <c r="M189" s="10" t="str">
        <f aca="false">IF($N189="","",N(INDEX('NHẬP ĐƠN HÀNG'!$R$6:$R$505,$N189)))</f>
        <v/>
      </c>
      <c r="N189" s="0" t="str">
        <f aca="false">IFERROR(MATCH(184,'NHẬP ĐƠN HÀNG'!$Z$6:$Z$505,0),"")</f>
        <v/>
      </c>
    </row>
    <row r="190" customFormat="false" ht="15" hidden="false" customHeight="false" outlineLevel="0" collapsed="false">
      <c r="A190" s="16" t="str">
        <f aca="false">IF($N190="","",185)</f>
        <v/>
      </c>
      <c r="B190" s="34" t="str">
        <f aca="false">IF($N190="","",IF(INDEX('NHẬP ĐƠN HÀNG'!$B$6:$B$505,$N190)="","",INDEX('NHẬP ĐƠN HÀNG'!$B$6:$B$505,$N190)))</f>
        <v/>
      </c>
      <c r="C190" s="16" t="str">
        <f aca="false">IF($N190="","",IF(INDEX('NHẬP ĐƠN HÀNG'!$C$6:$C$505,$N190)="","",INDEX('NHẬP ĐƠN HÀNG'!$C$6:$C$505,$N190)))</f>
        <v/>
      </c>
      <c r="D190" s="16" t="str">
        <f aca="false">IF($N190="","",IF(INDEX('NHẬP ĐƠN HÀNG'!$E$6:$E$505,$N190)="","",INDEX('NHẬP ĐƠN HÀNG'!$E$6:$E$505,$N190)))</f>
        <v/>
      </c>
      <c r="E190" s="16" t="str">
        <f aca="false">IF($N190="","",IF(INDEX('NHẬP ĐƠN HÀNG'!$F$6:$F$505,$N190)="","",INDEX('NHẬP ĐƠN HÀNG'!$F$6:$F$505,$N190)))</f>
        <v/>
      </c>
      <c r="F190" s="16" t="str">
        <f aca="false">IF($N190="","",IF(INDEX('NHẬP ĐƠN HÀNG'!$H$6:$H$505,$N190)="","",INDEX('NHẬP ĐƠN HÀNG'!$H$6:$H$505,$N190)))</f>
        <v/>
      </c>
      <c r="G190" s="10" t="str">
        <f aca="false">IF($N190="","",N(INDEX('NHẬP ĐƠN HÀNG'!$I$6:$I$505,$N190)))</f>
        <v/>
      </c>
      <c r="H190" s="10" t="str">
        <f aca="false">IF($N190="","",N(INDEX('NHẬP ĐƠN HÀNG'!$L$6:$L$505,$N190)))</f>
        <v/>
      </c>
      <c r="I190" s="11" t="str">
        <f aca="false">IF($N190="","",N(INDEX('NHẬP ĐƠN HÀNG'!$N$6:$N$505,$N190)))</f>
        <v/>
      </c>
      <c r="J190" s="10" t="str">
        <f aca="false">IF($N190="","",N(INDEX('NHẬP ĐƠN HÀNG'!$O$6:$O$505,$N190)))</f>
        <v/>
      </c>
      <c r="K190" s="10" t="str">
        <f aca="false">IF($N190="","",N(INDEX('NHẬP ĐƠN HÀNG'!$P$6:$P$505,$N190)))</f>
        <v/>
      </c>
      <c r="L190" s="10" t="str">
        <f aca="false">IF($N190="","",N(INDEX('NHẬP ĐƠN HÀNG'!$Q$6:$Q$505,$N190)))</f>
        <v/>
      </c>
      <c r="M190" s="10" t="str">
        <f aca="false">IF($N190="","",N(INDEX('NHẬP ĐƠN HÀNG'!$R$6:$R$505,$N190)))</f>
        <v/>
      </c>
      <c r="N190" s="0" t="str">
        <f aca="false">IFERROR(MATCH(185,'NHẬP ĐƠN HÀNG'!$Z$6:$Z$505,0),"")</f>
        <v/>
      </c>
    </row>
    <row r="191" customFormat="false" ht="15" hidden="false" customHeight="false" outlineLevel="0" collapsed="false">
      <c r="A191" s="16" t="str">
        <f aca="false">IF($N191="","",186)</f>
        <v/>
      </c>
      <c r="B191" s="34" t="str">
        <f aca="false">IF($N191="","",IF(INDEX('NHẬP ĐƠN HÀNG'!$B$6:$B$505,$N191)="","",INDEX('NHẬP ĐƠN HÀNG'!$B$6:$B$505,$N191)))</f>
        <v/>
      </c>
      <c r="C191" s="16" t="str">
        <f aca="false">IF($N191="","",IF(INDEX('NHẬP ĐƠN HÀNG'!$C$6:$C$505,$N191)="","",INDEX('NHẬP ĐƠN HÀNG'!$C$6:$C$505,$N191)))</f>
        <v/>
      </c>
      <c r="D191" s="16" t="str">
        <f aca="false">IF($N191="","",IF(INDEX('NHẬP ĐƠN HÀNG'!$E$6:$E$505,$N191)="","",INDEX('NHẬP ĐƠN HÀNG'!$E$6:$E$505,$N191)))</f>
        <v/>
      </c>
      <c r="E191" s="16" t="str">
        <f aca="false">IF($N191="","",IF(INDEX('NHẬP ĐƠN HÀNG'!$F$6:$F$505,$N191)="","",INDEX('NHẬP ĐƠN HÀNG'!$F$6:$F$505,$N191)))</f>
        <v/>
      </c>
      <c r="F191" s="16" t="str">
        <f aca="false">IF($N191="","",IF(INDEX('NHẬP ĐƠN HÀNG'!$H$6:$H$505,$N191)="","",INDEX('NHẬP ĐƠN HÀNG'!$H$6:$H$505,$N191)))</f>
        <v/>
      </c>
      <c r="G191" s="10" t="str">
        <f aca="false">IF($N191="","",N(INDEX('NHẬP ĐƠN HÀNG'!$I$6:$I$505,$N191)))</f>
        <v/>
      </c>
      <c r="H191" s="10" t="str">
        <f aca="false">IF($N191="","",N(INDEX('NHẬP ĐƠN HÀNG'!$L$6:$L$505,$N191)))</f>
        <v/>
      </c>
      <c r="I191" s="11" t="str">
        <f aca="false">IF($N191="","",N(INDEX('NHẬP ĐƠN HÀNG'!$N$6:$N$505,$N191)))</f>
        <v/>
      </c>
      <c r="J191" s="10" t="str">
        <f aca="false">IF($N191="","",N(INDEX('NHẬP ĐƠN HÀNG'!$O$6:$O$505,$N191)))</f>
        <v/>
      </c>
      <c r="K191" s="10" t="str">
        <f aca="false">IF($N191="","",N(INDEX('NHẬP ĐƠN HÀNG'!$P$6:$P$505,$N191)))</f>
        <v/>
      </c>
      <c r="L191" s="10" t="str">
        <f aca="false">IF($N191="","",N(INDEX('NHẬP ĐƠN HÀNG'!$Q$6:$Q$505,$N191)))</f>
        <v/>
      </c>
      <c r="M191" s="10" t="str">
        <f aca="false">IF($N191="","",N(INDEX('NHẬP ĐƠN HÀNG'!$R$6:$R$505,$N191)))</f>
        <v/>
      </c>
      <c r="N191" s="0" t="str">
        <f aca="false">IFERROR(MATCH(186,'NHẬP ĐƠN HÀNG'!$Z$6:$Z$505,0),"")</f>
        <v/>
      </c>
    </row>
    <row r="192" customFormat="false" ht="15" hidden="false" customHeight="false" outlineLevel="0" collapsed="false">
      <c r="A192" s="16" t="str">
        <f aca="false">IF($N192="","",187)</f>
        <v/>
      </c>
      <c r="B192" s="34" t="str">
        <f aca="false">IF($N192="","",IF(INDEX('NHẬP ĐƠN HÀNG'!$B$6:$B$505,$N192)="","",INDEX('NHẬP ĐƠN HÀNG'!$B$6:$B$505,$N192)))</f>
        <v/>
      </c>
      <c r="C192" s="16" t="str">
        <f aca="false">IF($N192="","",IF(INDEX('NHẬP ĐƠN HÀNG'!$C$6:$C$505,$N192)="","",INDEX('NHẬP ĐƠN HÀNG'!$C$6:$C$505,$N192)))</f>
        <v/>
      </c>
      <c r="D192" s="16" t="str">
        <f aca="false">IF($N192="","",IF(INDEX('NHẬP ĐƠN HÀNG'!$E$6:$E$505,$N192)="","",INDEX('NHẬP ĐƠN HÀNG'!$E$6:$E$505,$N192)))</f>
        <v/>
      </c>
      <c r="E192" s="16" t="str">
        <f aca="false">IF($N192="","",IF(INDEX('NHẬP ĐƠN HÀNG'!$F$6:$F$505,$N192)="","",INDEX('NHẬP ĐƠN HÀNG'!$F$6:$F$505,$N192)))</f>
        <v/>
      </c>
      <c r="F192" s="16" t="str">
        <f aca="false">IF($N192="","",IF(INDEX('NHẬP ĐƠN HÀNG'!$H$6:$H$505,$N192)="","",INDEX('NHẬP ĐƠN HÀNG'!$H$6:$H$505,$N192)))</f>
        <v/>
      </c>
      <c r="G192" s="10" t="str">
        <f aca="false">IF($N192="","",N(INDEX('NHẬP ĐƠN HÀNG'!$I$6:$I$505,$N192)))</f>
        <v/>
      </c>
      <c r="H192" s="10" t="str">
        <f aca="false">IF($N192="","",N(INDEX('NHẬP ĐƠN HÀNG'!$L$6:$L$505,$N192)))</f>
        <v/>
      </c>
      <c r="I192" s="11" t="str">
        <f aca="false">IF($N192="","",N(INDEX('NHẬP ĐƠN HÀNG'!$N$6:$N$505,$N192)))</f>
        <v/>
      </c>
      <c r="J192" s="10" t="str">
        <f aca="false">IF($N192="","",N(INDEX('NHẬP ĐƠN HÀNG'!$O$6:$O$505,$N192)))</f>
        <v/>
      </c>
      <c r="K192" s="10" t="str">
        <f aca="false">IF($N192="","",N(INDEX('NHẬP ĐƠN HÀNG'!$P$6:$P$505,$N192)))</f>
        <v/>
      </c>
      <c r="L192" s="10" t="str">
        <f aca="false">IF($N192="","",N(INDEX('NHẬP ĐƠN HÀNG'!$Q$6:$Q$505,$N192)))</f>
        <v/>
      </c>
      <c r="M192" s="10" t="str">
        <f aca="false">IF($N192="","",N(INDEX('NHẬP ĐƠN HÀNG'!$R$6:$R$505,$N192)))</f>
        <v/>
      </c>
      <c r="N192" s="0" t="str">
        <f aca="false">IFERROR(MATCH(187,'NHẬP ĐƠN HÀNG'!$Z$6:$Z$505,0),"")</f>
        <v/>
      </c>
    </row>
    <row r="193" customFormat="false" ht="15" hidden="false" customHeight="false" outlineLevel="0" collapsed="false">
      <c r="A193" s="16" t="str">
        <f aca="false">IF($N193="","",188)</f>
        <v/>
      </c>
      <c r="B193" s="34" t="str">
        <f aca="false">IF($N193="","",IF(INDEX('NHẬP ĐƠN HÀNG'!$B$6:$B$505,$N193)="","",INDEX('NHẬP ĐƠN HÀNG'!$B$6:$B$505,$N193)))</f>
        <v/>
      </c>
      <c r="C193" s="16" t="str">
        <f aca="false">IF($N193="","",IF(INDEX('NHẬP ĐƠN HÀNG'!$C$6:$C$505,$N193)="","",INDEX('NHẬP ĐƠN HÀNG'!$C$6:$C$505,$N193)))</f>
        <v/>
      </c>
      <c r="D193" s="16" t="str">
        <f aca="false">IF($N193="","",IF(INDEX('NHẬP ĐƠN HÀNG'!$E$6:$E$505,$N193)="","",INDEX('NHẬP ĐƠN HÀNG'!$E$6:$E$505,$N193)))</f>
        <v/>
      </c>
      <c r="E193" s="16" t="str">
        <f aca="false">IF($N193="","",IF(INDEX('NHẬP ĐƠN HÀNG'!$F$6:$F$505,$N193)="","",INDEX('NHẬP ĐƠN HÀNG'!$F$6:$F$505,$N193)))</f>
        <v/>
      </c>
      <c r="F193" s="16" t="str">
        <f aca="false">IF($N193="","",IF(INDEX('NHẬP ĐƠN HÀNG'!$H$6:$H$505,$N193)="","",INDEX('NHẬP ĐƠN HÀNG'!$H$6:$H$505,$N193)))</f>
        <v/>
      </c>
      <c r="G193" s="10" t="str">
        <f aca="false">IF($N193="","",N(INDEX('NHẬP ĐƠN HÀNG'!$I$6:$I$505,$N193)))</f>
        <v/>
      </c>
      <c r="H193" s="10" t="str">
        <f aca="false">IF($N193="","",N(INDEX('NHẬP ĐƠN HÀNG'!$L$6:$L$505,$N193)))</f>
        <v/>
      </c>
      <c r="I193" s="11" t="str">
        <f aca="false">IF($N193="","",N(INDEX('NHẬP ĐƠN HÀNG'!$N$6:$N$505,$N193)))</f>
        <v/>
      </c>
      <c r="J193" s="10" t="str">
        <f aca="false">IF($N193="","",N(INDEX('NHẬP ĐƠN HÀNG'!$O$6:$O$505,$N193)))</f>
        <v/>
      </c>
      <c r="K193" s="10" t="str">
        <f aca="false">IF($N193="","",N(INDEX('NHẬP ĐƠN HÀNG'!$P$6:$P$505,$N193)))</f>
        <v/>
      </c>
      <c r="L193" s="10" t="str">
        <f aca="false">IF($N193="","",N(INDEX('NHẬP ĐƠN HÀNG'!$Q$6:$Q$505,$N193)))</f>
        <v/>
      </c>
      <c r="M193" s="10" t="str">
        <f aca="false">IF($N193="","",N(INDEX('NHẬP ĐƠN HÀNG'!$R$6:$R$505,$N193)))</f>
        <v/>
      </c>
      <c r="N193" s="0" t="str">
        <f aca="false">IFERROR(MATCH(188,'NHẬP ĐƠN HÀNG'!$Z$6:$Z$505,0),"")</f>
        <v/>
      </c>
    </row>
    <row r="194" customFormat="false" ht="15" hidden="false" customHeight="false" outlineLevel="0" collapsed="false">
      <c r="A194" s="16" t="str">
        <f aca="false">IF($N194="","",189)</f>
        <v/>
      </c>
      <c r="B194" s="34" t="str">
        <f aca="false">IF($N194="","",IF(INDEX('NHẬP ĐƠN HÀNG'!$B$6:$B$505,$N194)="","",INDEX('NHẬP ĐƠN HÀNG'!$B$6:$B$505,$N194)))</f>
        <v/>
      </c>
      <c r="C194" s="16" t="str">
        <f aca="false">IF($N194="","",IF(INDEX('NHẬP ĐƠN HÀNG'!$C$6:$C$505,$N194)="","",INDEX('NHẬP ĐƠN HÀNG'!$C$6:$C$505,$N194)))</f>
        <v/>
      </c>
      <c r="D194" s="16" t="str">
        <f aca="false">IF($N194="","",IF(INDEX('NHẬP ĐƠN HÀNG'!$E$6:$E$505,$N194)="","",INDEX('NHẬP ĐƠN HÀNG'!$E$6:$E$505,$N194)))</f>
        <v/>
      </c>
      <c r="E194" s="16" t="str">
        <f aca="false">IF($N194="","",IF(INDEX('NHẬP ĐƠN HÀNG'!$F$6:$F$505,$N194)="","",INDEX('NHẬP ĐƠN HÀNG'!$F$6:$F$505,$N194)))</f>
        <v/>
      </c>
      <c r="F194" s="16" t="str">
        <f aca="false">IF($N194="","",IF(INDEX('NHẬP ĐƠN HÀNG'!$H$6:$H$505,$N194)="","",INDEX('NHẬP ĐƠN HÀNG'!$H$6:$H$505,$N194)))</f>
        <v/>
      </c>
      <c r="G194" s="10" t="str">
        <f aca="false">IF($N194="","",N(INDEX('NHẬP ĐƠN HÀNG'!$I$6:$I$505,$N194)))</f>
        <v/>
      </c>
      <c r="H194" s="10" t="str">
        <f aca="false">IF($N194="","",N(INDEX('NHẬP ĐƠN HÀNG'!$L$6:$L$505,$N194)))</f>
        <v/>
      </c>
      <c r="I194" s="11" t="str">
        <f aca="false">IF($N194="","",N(INDEX('NHẬP ĐƠN HÀNG'!$N$6:$N$505,$N194)))</f>
        <v/>
      </c>
      <c r="J194" s="10" t="str">
        <f aca="false">IF($N194="","",N(INDEX('NHẬP ĐƠN HÀNG'!$O$6:$O$505,$N194)))</f>
        <v/>
      </c>
      <c r="K194" s="10" t="str">
        <f aca="false">IF($N194="","",N(INDEX('NHẬP ĐƠN HÀNG'!$P$6:$P$505,$N194)))</f>
        <v/>
      </c>
      <c r="L194" s="10" t="str">
        <f aca="false">IF($N194="","",N(INDEX('NHẬP ĐƠN HÀNG'!$Q$6:$Q$505,$N194)))</f>
        <v/>
      </c>
      <c r="M194" s="10" t="str">
        <f aca="false">IF($N194="","",N(INDEX('NHẬP ĐƠN HÀNG'!$R$6:$R$505,$N194)))</f>
        <v/>
      </c>
      <c r="N194" s="0" t="str">
        <f aca="false">IFERROR(MATCH(189,'NHẬP ĐƠN HÀNG'!$Z$6:$Z$505,0),"")</f>
        <v/>
      </c>
    </row>
    <row r="195" customFormat="false" ht="15" hidden="false" customHeight="false" outlineLevel="0" collapsed="false">
      <c r="A195" s="16" t="str">
        <f aca="false">IF($N195="","",190)</f>
        <v/>
      </c>
      <c r="B195" s="34" t="str">
        <f aca="false">IF($N195="","",IF(INDEX('NHẬP ĐƠN HÀNG'!$B$6:$B$505,$N195)="","",INDEX('NHẬP ĐƠN HÀNG'!$B$6:$B$505,$N195)))</f>
        <v/>
      </c>
      <c r="C195" s="16" t="str">
        <f aca="false">IF($N195="","",IF(INDEX('NHẬP ĐƠN HÀNG'!$C$6:$C$505,$N195)="","",INDEX('NHẬP ĐƠN HÀNG'!$C$6:$C$505,$N195)))</f>
        <v/>
      </c>
      <c r="D195" s="16" t="str">
        <f aca="false">IF($N195="","",IF(INDEX('NHẬP ĐƠN HÀNG'!$E$6:$E$505,$N195)="","",INDEX('NHẬP ĐƠN HÀNG'!$E$6:$E$505,$N195)))</f>
        <v/>
      </c>
      <c r="E195" s="16" t="str">
        <f aca="false">IF($N195="","",IF(INDEX('NHẬP ĐƠN HÀNG'!$F$6:$F$505,$N195)="","",INDEX('NHẬP ĐƠN HÀNG'!$F$6:$F$505,$N195)))</f>
        <v/>
      </c>
      <c r="F195" s="16" t="str">
        <f aca="false">IF($N195="","",IF(INDEX('NHẬP ĐƠN HÀNG'!$H$6:$H$505,$N195)="","",INDEX('NHẬP ĐƠN HÀNG'!$H$6:$H$505,$N195)))</f>
        <v/>
      </c>
      <c r="G195" s="10" t="str">
        <f aca="false">IF($N195="","",N(INDEX('NHẬP ĐƠN HÀNG'!$I$6:$I$505,$N195)))</f>
        <v/>
      </c>
      <c r="H195" s="10" t="str">
        <f aca="false">IF($N195="","",N(INDEX('NHẬP ĐƠN HÀNG'!$L$6:$L$505,$N195)))</f>
        <v/>
      </c>
      <c r="I195" s="11" t="str">
        <f aca="false">IF($N195="","",N(INDEX('NHẬP ĐƠN HÀNG'!$N$6:$N$505,$N195)))</f>
        <v/>
      </c>
      <c r="J195" s="10" t="str">
        <f aca="false">IF($N195="","",N(INDEX('NHẬP ĐƠN HÀNG'!$O$6:$O$505,$N195)))</f>
        <v/>
      </c>
      <c r="K195" s="10" t="str">
        <f aca="false">IF($N195="","",N(INDEX('NHẬP ĐƠN HÀNG'!$P$6:$P$505,$N195)))</f>
        <v/>
      </c>
      <c r="L195" s="10" t="str">
        <f aca="false">IF($N195="","",N(INDEX('NHẬP ĐƠN HÀNG'!$Q$6:$Q$505,$N195)))</f>
        <v/>
      </c>
      <c r="M195" s="10" t="str">
        <f aca="false">IF($N195="","",N(INDEX('NHẬP ĐƠN HÀNG'!$R$6:$R$505,$N195)))</f>
        <v/>
      </c>
      <c r="N195" s="0" t="str">
        <f aca="false">IFERROR(MATCH(190,'NHẬP ĐƠN HÀNG'!$Z$6:$Z$505,0),"")</f>
        <v/>
      </c>
    </row>
    <row r="196" customFormat="false" ht="15" hidden="false" customHeight="false" outlineLevel="0" collapsed="false">
      <c r="A196" s="16" t="str">
        <f aca="false">IF($N196="","",191)</f>
        <v/>
      </c>
      <c r="B196" s="34" t="str">
        <f aca="false">IF($N196="","",IF(INDEX('NHẬP ĐƠN HÀNG'!$B$6:$B$505,$N196)="","",INDEX('NHẬP ĐƠN HÀNG'!$B$6:$B$505,$N196)))</f>
        <v/>
      </c>
      <c r="C196" s="16" t="str">
        <f aca="false">IF($N196="","",IF(INDEX('NHẬP ĐƠN HÀNG'!$C$6:$C$505,$N196)="","",INDEX('NHẬP ĐƠN HÀNG'!$C$6:$C$505,$N196)))</f>
        <v/>
      </c>
      <c r="D196" s="16" t="str">
        <f aca="false">IF($N196="","",IF(INDEX('NHẬP ĐƠN HÀNG'!$E$6:$E$505,$N196)="","",INDEX('NHẬP ĐƠN HÀNG'!$E$6:$E$505,$N196)))</f>
        <v/>
      </c>
      <c r="E196" s="16" t="str">
        <f aca="false">IF($N196="","",IF(INDEX('NHẬP ĐƠN HÀNG'!$F$6:$F$505,$N196)="","",INDEX('NHẬP ĐƠN HÀNG'!$F$6:$F$505,$N196)))</f>
        <v/>
      </c>
      <c r="F196" s="16" t="str">
        <f aca="false">IF($N196="","",IF(INDEX('NHẬP ĐƠN HÀNG'!$H$6:$H$505,$N196)="","",INDEX('NHẬP ĐƠN HÀNG'!$H$6:$H$505,$N196)))</f>
        <v/>
      </c>
      <c r="G196" s="10" t="str">
        <f aca="false">IF($N196="","",N(INDEX('NHẬP ĐƠN HÀNG'!$I$6:$I$505,$N196)))</f>
        <v/>
      </c>
      <c r="H196" s="10" t="str">
        <f aca="false">IF($N196="","",N(INDEX('NHẬP ĐƠN HÀNG'!$L$6:$L$505,$N196)))</f>
        <v/>
      </c>
      <c r="I196" s="11" t="str">
        <f aca="false">IF($N196="","",N(INDEX('NHẬP ĐƠN HÀNG'!$N$6:$N$505,$N196)))</f>
        <v/>
      </c>
      <c r="J196" s="10" t="str">
        <f aca="false">IF($N196="","",N(INDEX('NHẬP ĐƠN HÀNG'!$O$6:$O$505,$N196)))</f>
        <v/>
      </c>
      <c r="K196" s="10" t="str">
        <f aca="false">IF($N196="","",N(INDEX('NHẬP ĐƠN HÀNG'!$P$6:$P$505,$N196)))</f>
        <v/>
      </c>
      <c r="L196" s="10" t="str">
        <f aca="false">IF($N196="","",N(INDEX('NHẬP ĐƠN HÀNG'!$Q$6:$Q$505,$N196)))</f>
        <v/>
      </c>
      <c r="M196" s="10" t="str">
        <f aca="false">IF($N196="","",N(INDEX('NHẬP ĐƠN HÀNG'!$R$6:$R$505,$N196)))</f>
        <v/>
      </c>
      <c r="N196" s="0" t="str">
        <f aca="false">IFERROR(MATCH(191,'NHẬP ĐƠN HÀNG'!$Z$6:$Z$505,0),"")</f>
        <v/>
      </c>
    </row>
    <row r="197" customFormat="false" ht="15" hidden="false" customHeight="false" outlineLevel="0" collapsed="false">
      <c r="A197" s="16" t="str">
        <f aca="false">IF($N197="","",192)</f>
        <v/>
      </c>
      <c r="B197" s="34" t="str">
        <f aca="false">IF($N197="","",IF(INDEX('NHẬP ĐƠN HÀNG'!$B$6:$B$505,$N197)="","",INDEX('NHẬP ĐƠN HÀNG'!$B$6:$B$505,$N197)))</f>
        <v/>
      </c>
      <c r="C197" s="16" t="str">
        <f aca="false">IF($N197="","",IF(INDEX('NHẬP ĐƠN HÀNG'!$C$6:$C$505,$N197)="","",INDEX('NHẬP ĐƠN HÀNG'!$C$6:$C$505,$N197)))</f>
        <v/>
      </c>
      <c r="D197" s="16" t="str">
        <f aca="false">IF($N197="","",IF(INDEX('NHẬP ĐƠN HÀNG'!$E$6:$E$505,$N197)="","",INDEX('NHẬP ĐƠN HÀNG'!$E$6:$E$505,$N197)))</f>
        <v/>
      </c>
      <c r="E197" s="16" t="str">
        <f aca="false">IF($N197="","",IF(INDEX('NHẬP ĐƠN HÀNG'!$F$6:$F$505,$N197)="","",INDEX('NHẬP ĐƠN HÀNG'!$F$6:$F$505,$N197)))</f>
        <v/>
      </c>
      <c r="F197" s="16" t="str">
        <f aca="false">IF($N197="","",IF(INDEX('NHẬP ĐƠN HÀNG'!$H$6:$H$505,$N197)="","",INDEX('NHẬP ĐƠN HÀNG'!$H$6:$H$505,$N197)))</f>
        <v/>
      </c>
      <c r="G197" s="10" t="str">
        <f aca="false">IF($N197="","",N(INDEX('NHẬP ĐƠN HÀNG'!$I$6:$I$505,$N197)))</f>
        <v/>
      </c>
      <c r="H197" s="10" t="str">
        <f aca="false">IF($N197="","",N(INDEX('NHẬP ĐƠN HÀNG'!$L$6:$L$505,$N197)))</f>
        <v/>
      </c>
      <c r="I197" s="11" t="str">
        <f aca="false">IF($N197="","",N(INDEX('NHẬP ĐƠN HÀNG'!$N$6:$N$505,$N197)))</f>
        <v/>
      </c>
      <c r="J197" s="10" t="str">
        <f aca="false">IF($N197="","",N(INDEX('NHẬP ĐƠN HÀNG'!$O$6:$O$505,$N197)))</f>
        <v/>
      </c>
      <c r="K197" s="10" t="str">
        <f aca="false">IF($N197="","",N(INDEX('NHẬP ĐƠN HÀNG'!$P$6:$P$505,$N197)))</f>
        <v/>
      </c>
      <c r="L197" s="10" t="str">
        <f aca="false">IF($N197="","",N(INDEX('NHẬP ĐƠN HÀNG'!$Q$6:$Q$505,$N197)))</f>
        <v/>
      </c>
      <c r="M197" s="10" t="str">
        <f aca="false">IF($N197="","",N(INDEX('NHẬP ĐƠN HÀNG'!$R$6:$R$505,$N197)))</f>
        <v/>
      </c>
      <c r="N197" s="0" t="str">
        <f aca="false">IFERROR(MATCH(192,'NHẬP ĐƠN HÀNG'!$Z$6:$Z$505,0),"")</f>
        <v/>
      </c>
    </row>
    <row r="198" customFormat="false" ht="15" hidden="false" customHeight="false" outlineLevel="0" collapsed="false">
      <c r="A198" s="16" t="str">
        <f aca="false">IF($N198="","",193)</f>
        <v/>
      </c>
      <c r="B198" s="34" t="str">
        <f aca="false">IF($N198="","",IF(INDEX('NHẬP ĐƠN HÀNG'!$B$6:$B$505,$N198)="","",INDEX('NHẬP ĐƠN HÀNG'!$B$6:$B$505,$N198)))</f>
        <v/>
      </c>
      <c r="C198" s="16" t="str">
        <f aca="false">IF($N198="","",IF(INDEX('NHẬP ĐƠN HÀNG'!$C$6:$C$505,$N198)="","",INDEX('NHẬP ĐƠN HÀNG'!$C$6:$C$505,$N198)))</f>
        <v/>
      </c>
      <c r="D198" s="16" t="str">
        <f aca="false">IF($N198="","",IF(INDEX('NHẬP ĐƠN HÀNG'!$E$6:$E$505,$N198)="","",INDEX('NHẬP ĐƠN HÀNG'!$E$6:$E$505,$N198)))</f>
        <v/>
      </c>
      <c r="E198" s="16" t="str">
        <f aca="false">IF($N198="","",IF(INDEX('NHẬP ĐƠN HÀNG'!$F$6:$F$505,$N198)="","",INDEX('NHẬP ĐƠN HÀNG'!$F$6:$F$505,$N198)))</f>
        <v/>
      </c>
      <c r="F198" s="16" t="str">
        <f aca="false">IF($N198="","",IF(INDEX('NHẬP ĐƠN HÀNG'!$H$6:$H$505,$N198)="","",INDEX('NHẬP ĐƠN HÀNG'!$H$6:$H$505,$N198)))</f>
        <v/>
      </c>
      <c r="G198" s="10" t="str">
        <f aca="false">IF($N198="","",N(INDEX('NHẬP ĐƠN HÀNG'!$I$6:$I$505,$N198)))</f>
        <v/>
      </c>
      <c r="H198" s="10" t="str">
        <f aca="false">IF($N198="","",N(INDEX('NHẬP ĐƠN HÀNG'!$L$6:$L$505,$N198)))</f>
        <v/>
      </c>
      <c r="I198" s="11" t="str">
        <f aca="false">IF($N198="","",N(INDEX('NHẬP ĐƠN HÀNG'!$N$6:$N$505,$N198)))</f>
        <v/>
      </c>
      <c r="J198" s="10" t="str">
        <f aca="false">IF($N198="","",N(INDEX('NHẬP ĐƠN HÀNG'!$O$6:$O$505,$N198)))</f>
        <v/>
      </c>
      <c r="K198" s="10" t="str">
        <f aca="false">IF($N198="","",N(INDEX('NHẬP ĐƠN HÀNG'!$P$6:$P$505,$N198)))</f>
        <v/>
      </c>
      <c r="L198" s="10" t="str">
        <f aca="false">IF($N198="","",N(INDEX('NHẬP ĐƠN HÀNG'!$Q$6:$Q$505,$N198)))</f>
        <v/>
      </c>
      <c r="M198" s="10" t="str">
        <f aca="false">IF($N198="","",N(INDEX('NHẬP ĐƠN HÀNG'!$R$6:$R$505,$N198)))</f>
        <v/>
      </c>
      <c r="N198" s="0" t="str">
        <f aca="false">IFERROR(MATCH(193,'NHẬP ĐƠN HÀNG'!$Z$6:$Z$505,0),"")</f>
        <v/>
      </c>
    </row>
    <row r="199" customFormat="false" ht="15" hidden="false" customHeight="false" outlineLevel="0" collapsed="false">
      <c r="A199" s="16" t="str">
        <f aca="false">IF($N199="","",194)</f>
        <v/>
      </c>
      <c r="B199" s="34" t="str">
        <f aca="false">IF($N199="","",IF(INDEX('NHẬP ĐƠN HÀNG'!$B$6:$B$505,$N199)="","",INDEX('NHẬP ĐƠN HÀNG'!$B$6:$B$505,$N199)))</f>
        <v/>
      </c>
      <c r="C199" s="16" t="str">
        <f aca="false">IF($N199="","",IF(INDEX('NHẬP ĐƠN HÀNG'!$C$6:$C$505,$N199)="","",INDEX('NHẬP ĐƠN HÀNG'!$C$6:$C$505,$N199)))</f>
        <v/>
      </c>
      <c r="D199" s="16" t="str">
        <f aca="false">IF($N199="","",IF(INDEX('NHẬP ĐƠN HÀNG'!$E$6:$E$505,$N199)="","",INDEX('NHẬP ĐƠN HÀNG'!$E$6:$E$505,$N199)))</f>
        <v/>
      </c>
      <c r="E199" s="16" t="str">
        <f aca="false">IF($N199="","",IF(INDEX('NHẬP ĐƠN HÀNG'!$F$6:$F$505,$N199)="","",INDEX('NHẬP ĐƠN HÀNG'!$F$6:$F$505,$N199)))</f>
        <v/>
      </c>
      <c r="F199" s="16" t="str">
        <f aca="false">IF($N199="","",IF(INDEX('NHẬP ĐƠN HÀNG'!$H$6:$H$505,$N199)="","",INDEX('NHẬP ĐƠN HÀNG'!$H$6:$H$505,$N199)))</f>
        <v/>
      </c>
      <c r="G199" s="10" t="str">
        <f aca="false">IF($N199="","",N(INDEX('NHẬP ĐƠN HÀNG'!$I$6:$I$505,$N199)))</f>
        <v/>
      </c>
      <c r="H199" s="10" t="str">
        <f aca="false">IF($N199="","",N(INDEX('NHẬP ĐƠN HÀNG'!$L$6:$L$505,$N199)))</f>
        <v/>
      </c>
      <c r="I199" s="11" t="str">
        <f aca="false">IF($N199="","",N(INDEX('NHẬP ĐƠN HÀNG'!$N$6:$N$505,$N199)))</f>
        <v/>
      </c>
      <c r="J199" s="10" t="str">
        <f aca="false">IF($N199="","",N(INDEX('NHẬP ĐƠN HÀNG'!$O$6:$O$505,$N199)))</f>
        <v/>
      </c>
      <c r="K199" s="10" t="str">
        <f aca="false">IF($N199="","",N(INDEX('NHẬP ĐƠN HÀNG'!$P$6:$P$505,$N199)))</f>
        <v/>
      </c>
      <c r="L199" s="10" t="str">
        <f aca="false">IF($N199="","",N(INDEX('NHẬP ĐƠN HÀNG'!$Q$6:$Q$505,$N199)))</f>
        <v/>
      </c>
      <c r="M199" s="10" t="str">
        <f aca="false">IF($N199="","",N(INDEX('NHẬP ĐƠN HÀNG'!$R$6:$R$505,$N199)))</f>
        <v/>
      </c>
      <c r="N199" s="0" t="str">
        <f aca="false">IFERROR(MATCH(194,'NHẬP ĐƠN HÀNG'!$Z$6:$Z$505,0),"")</f>
        <v/>
      </c>
    </row>
    <row r="200" customFormat="false" ht="15" hidden="false" customHeight="false" outlineLevel="0" collapsed="false">
      <c r="A200" s="16" t="str">
        <f aca="false">IF($N200="","",195)</f>
        <v/>
      </c>
      <c r="B200" s="34" t="str">
        <f aca="false">IF($N200="","",IF(INDEX('NHẬP ĐƠN HÀNG'!$B$6:$B$505,$N200)="","",INDEX('NHẬP ĐƠN HÀNG'!$B$6:$B$505,$N200)))</f>
        <v/>
      </c>
      <c r="C200" s="16" t="str">
        <f aca="false">IF($N200="","",IF(INDEX('NHẬP ĐƠN HÀNG'!$C$6:$C$505,$N200)="","",INDEX('NHẬP ĐƠN HÀNG'!$C$6:$C$505,$N200)))</f>
        <v/>
      </c>
      <c r="D200" s="16" t="str">
        <f aca="false">IF($N200="","",IF(INDEX('NHẬP ĐƠN HÀNG'!$E$6:$E$505,$N200)="","",INDEX('NHẬP ĐƠN HÀNG'!$E$6:$E$505,$N200)))</f>
        <v/>
      </c>
      <c r="E200" s="16" t="str">
        <f aca="false">IF($N200="","",IF(INDEX('NHẬP ĐƠN HÀNG'!$F$6:$F$505,$N200)="","",INDEX('NHẬP ĐƠN HÀNG'!$F$6:$F$505,$N200)))</f>
        <v/>
      </c>
      <c r="F200" s="16" t="str">
        <f aca="false">IF($N200="","",IF(INDEX('NHẬP ĐƠN HÀNG'!$H$6:$H$505,$N200)="","",INDEX('NHẬP ĐƠN HÀNG'!$H$6:$H$505,$N200)))</f>
        <v/>
      </c>
      <c r="G200" s="10" t="str">
        <f aca="false">IF($N200="","",N(INDEX('NHẬP ĐƠN HÀNG'!$I$6:$I$505,$N200)))</f>
        <v/>
      </c>
      <c r="H200" s="10" t="str">
        <f aca="false">IF($N200="","",N(INDEX('NHẬP ĐƠN HÀNG'!$L$6:$L$505,$N200)))</f>
        <v/>
      </c>
      <c r="I200" s="11" t="str">
        <f aca="false">IF($N200="","",N(INDEX('NHẬP ĐƠN HÀNG'!$N$6:$N$505,$N200)))</f>
        <v/>
      </c>
      <c r="J200" s="10" t="str">
        <f aca="false">IF($N200="","",N(INDEX('NHẬP ĐƠN HÀNG'!$O$6:$O$505,$N200)))</f>
        <v/>
      </c>
      <c r="K200" s="10" t="str">
        <f aca="false">IF($N200="","",N(INDEX('NHẬP ĐƠN HÀNG'!$P$6:$P$505,$N200)))</f>
        <v/>
      </c>
      <c r="L200" s="10" t="str">
        <f aca="false">IF($N200="","",N(INDEX('NHẬP ĐƠN HÀNG'!$Q$6:$Q$505,$N200)))</f>
        <v/>
      </c>
      <c r="M200" s="10" t="str">
        <f aca="false">IF($N200="","",N(INDEX('NHẬP ĐƠN HÀNG'!$R$6:$R$505,$N200)))</f>
        <v/>
      </c>
      <c r="N200" s="0" t="str">
        <f aca="false">IFERROR(MATCH(195,'NHẬP ĐƠN HÀNG'!$Z$6:$Z$505,0),"")</f>
        <v/>
      </c>
    </row>
    <row r="201" customFormat="false" ht="15" hidden="false" customHeight="false" outlineLevel="0" collapsed="false">
      <c r="A201" s="16" t="str">
        <f aca="false">IF($N201="","",196)</f>
        <v/>
      </c>
      <c r="B201" s="34" t="str">
        <f aca="false">IF($N201="","",IF(INDEX('NHẬP ĐƠN HÀNG'!$B$6:$B$505,$N201)="","",INDEX('NHẬP ĐƠN HÀNG'!$B$6:$B$505,$N201)))</f>
        <v/>
      </c>
      <c r="C201" s="16" t="str">
        <f aca="false">IF($N201="","",IF(INDEX('NHẬP ĐƠN HÀNG'!$C$6:$C$505,$N201)="","",INDEX('NHẬP ĐƠN HÀNG'!$C$6:$C$505,$N201)))</f>
        <v/>
      </c>
      <c r="D201" s="16" t="str">
        <f aca="false">IF($N201="","",IF(INDEX('NHẬP ĐƠN HÀNG'!$E$6:$E$505,$N201)="","",INDEX('NHẬP ĐƠN HÀNG'!$E$6:$E$505,$N201)))</f>
        <v/>
      </c>
      <c r="E201" s="16" t="str">
        <f aca="false">IF($N201="","",IF(INDEX('NHẬP ĐƠN HÀNG'!$F$6:$F$505,$N201)="","",INDEX('NHẬP ĐƠN HÀNG'!$F$6:$F$505,$N201)))</f>
        <v/>
      </c>
      <c r="F201" s="16" t="str">
        <f aca="false">IF($N201="","",IF(INDEX('NHẬP ĐƠN HÀNG'!$H$6:$H$505,$N201)="","",INDEX('NHẬP ĐƠN HÀNG'!$H$6:$H$505,$N201)))</f>
        <v/>
      </c>
      <c r="G201" s="10" t="str">
        <f aca="false">IF($N201="","",N(INDEX('NHẬP ĐƠN HÀNG'!$I$6:$I$505,$N201)))</f>
        <v/>
      </c>
      <c r="H201" s="10" t="str">
        <f aca="false">IF($N201="","",N(INDEX('NHẬP ĐƠN HÀNG'!$L$6:$L$505,$N201)))</f>
        <v/>
      </c>
      <c r="I201" s="11" t="str">
        <f aca="false">IF($N201="","",N(INDEX('NHẬP ĐƠN HÀNG'!$N$6:$N$505,$N201)))</f>
        <v/>
      </c>
      <c r="J201" s="10" t="str">
        <f aca="false">IF($N201="","",N(INDEX('NHẬP ĐƠN HÀNG'!$O$6:$O$505,$N201)))</f>
        <v/>
      </c>
      <c r="K201" s="10" t="str">
        <f aca="false">IF($N201="","",N(INDEX('NHẬP ĐƠN HÀNG'!$P$6:$P$505,$N201)))</f>
        <v/>
      </c>
      <c r="L201" s="10" t="str">
        <f aca="false">IF($N201="","",N(INDEX('NHẬP ĐƠN HÀNG'!$Q$6:$Q$505,$N201)))</f>
        <v/>
      </c>
      <c r="M201" s="10" t="str">
        <f aca="false">IF($N201="","",N(INDEX('NHẬP ĐƠN HÀNG'!$R$6:$R$505,$N201)))</f>
        <v/>
      </c>
      <c r="N201" s="0" t="str">
        <f aca="false">IFERROR(MATCH(196,'NHẬP ĐƠN HÀNG'!$Z$6:$Z$505,0),"")</f>
        <v/>
      </c>
    </row>
    <row r="202" customFormat="false" ht="15" hidden="false" customHeight="false" outlineLevel="0" collapsed="false">
      <c r="A202" s="16" t="str">
        <f aca="false">IF($N202="","",197)</f>
        <v/>
      </c>
      <c r="B202" s="34" t="str">
        <f aca="false">IF($N202="","",IF(INDEX('NHẬP ĐƠN HÀNG'!$B$6:$B$505,$N202)="","",INDEX('NHẬP ĐƠN HÀNG'!$B$6:$B$505,$N202)))</f>
        <v/>
      </c>
      <c r="C202" s="16" t="str">
        <f aca="false">IF($N202="","",IF(INDEX('NHẬP ĐƠN HÀNG'!$C$6:$C$505,$N202)="","",INDEX('NHẬP ĐƠN HÀNG'!$C$6:$C$505,$N202)))</f>
        <v/>
      </c>
      <c r="D202" s="16" t="str">
        <f aca="false">IF($N202="","",IF(INDEX('NHẬP ĐƠN HÀNG'!$E$6:$E$505,$N202)="","",INDEX('NHẬP ĐƠN HÀNG'!$E$6:$E$505,$N202)))</f>
        <v/>
      </c>
      <c r="E202" s="16" t="str">
        <f aca="false">IF($N202="","",IF(INDEX('NHẬP ĐƠN HÀNG'!$F$6:$F$505,$N202)="","",INDEX('NHẬP ĐƠN HÀNG'!$F$6:$F$505,$N202)))</f>
        <v/>
      </c>
      <c r="F202" s="16" t="str">
        <f aca="false">IF($N202="","",IF(INDEX('NHẬP ĐƠN HÀNG'!$H$6:$H$505,$N202)="","",INDEX('NHẬP ĐƠN HÀNG'!$H$6:$H$505,$N202)))</f>
        <v/>
      </c>
      <c r="G202" s="10" t="str">
        <f aca="false">IF($N202="","",N(INDEX('NHẬP ĐƠN HÀNG'!$I$6:$I$505,$N202)))</f>
        <v/>
      </c>
      <c r="H202" s="10" t="str">
        <f aca="false">IF($N202="","",N(INDEX('NHẬP ĐƠN HÀNG'!$L$6:$L$505,$N202)))</f>
        <v/>
      </c>
      <c r="I202" s="11" t="str">
        <f aca="false">IF($N202="","",N(INDEX('NHẬP ĐƠN HÀNG'!$N$6:$N$505,$N202)))</f>
        <v/>
      </c>
      <c r="J202" s="10" t="str">
        <f aca="false">IF($N202="","",N(INDEX('NHẬP ĐƠN HÀNG'!$O$6:$O$505,$N202)))</f>
        <v/>
      </c>
      <c r="K202" s="10" t="str">
        <f aca="false">IF($N202="","",N(INDEX('NHẬP ĐƠN HÀNG'!$P$6:$P$505,$N202)))</f>
        <v/>
      </c>
      <c r="L202" s="10" t="str">
        <f aca="false">IF($N202="","",N(INDEX('NHẬP ĐƠN HÀNG'!$Q$6:$Q$505,$N202)))</f>
        <v/>
      </c>
      <c r="M202" s="10" t="str">
        <f aca="false">IF($N202="","",N(INDEX('NHẬP ĐƠN HÀNG'!$R$6:$R$505,$N202)))</f>
        <v/>
      </c>
      <c r="N202" s="0" t="str">
        <f aca="false">IFERROR(MATCH(197,'NHẬP ĐƠN HÀNG'!$Z$6:$Z$505,0),"")</f>
        <v/>
      </c>
    </row>
    <row r="203" customFormat="false" ht="15" hidden="false" customHeight="false" outlineLevel="0" collapsed="false">
      <c r="A203" s="16" t="str">
        <f aca="false">IF($N203="","",198)</f>
        <v/>
      </c>
      <c r="B203" s="34" t="str">
        <f aca="false">IF($N203="","",IF(INDEX('NHẬP ĐƠN HÀNG'!$B$6:$B$505,$N203)="","",INDEX('NHẬP ĐƠN HÀNG'!$B$6:$B$505,$N203)))</f>
        <v/>
      </c>
      <c r="C203" s="16" t="str">
        <f aca="false">IF($N203="","",IF(INDEX('NHẬP ĐƠN HÀNG'!$C$6:$C$505,$N203)="","",INDEX('NHẬP ĐƠN HÀNG'!$C$6:$C$505,$N203)))</f>
        <v/>
      </c>
      <c r="D203" s="16" t="str">
        <f aca="false">IF($N203="","",IF(INDEX('NHẬP ĐƠN HÀNG'!$E$6:$E$505,$N203)="","",INDEX('NHẬP ĐƠN HÀNG'!$E$6:$E$505,$N203)))</f>
        <v/>
      </c>
      <c r="E203" s="16" t="str">
        <f aca="false">IF($N203="","",IF(INDEX('NHẬP ĐƠN HÀNG'!$F$6:$F$505,$N203)="","",INDEX('NHẬP ĐƠN HÀNG'!$F$6:$F$505,$N203)))</f>
        <v/>
      </c>
      <c r="F203" s="16" t="str">
        <f aca="false">IF($N203="","",IF(INDEX('NHẬP ĐƠN HÀNG'!$H$6:$H$505,$N203)="","",INDEX('NHẬP ĐƠN HÀNG'!$H$6:$H$505,$N203)))</f>
        <v/>
      </c>
      <c r="G203" s="10" t="str">
        <f aca="false">IF($N203="","",N(INDEX('NHẬP ĐƠN HÀNG'!$I$6:$I$505,$N203)))</f>
        <v/>
      </c>
      <c r="H203" s="10" t="str">
        <f aca="false">IF($N203="","",N(INDEX('NHẬP ĐƠN HÀNG'!$L$6:$L$505,$N203)))</f>
        <v/>
      </c>
      <c r="I203" s="11" t="str">
        <f aca="false">IF($N203="","",N(INDEX('NHẬP ĐƠN HÀNG'!$N$6:$N$505,$N203)))</f>
        <v/>
      </c>
      <c r="J203" s="10" t="str">
        <f aca="false">IF($N203="","",N(INDEX('NHẬP ĐƠN HÀNG'!$O$6:$O$505,$N203)))</f>
        <v/>
      </c>
      <c r="K203" s="10" t="str">
        <f aca="false">IF($N203="","",N(INDEX('NHẬP ĐƠN HÀNG'!$P$6:$P$505,$N203)))</f>
        <v/>
      </c>
      <c r="L203" s="10" t="str">
        <f aca="false">IF($N203="","",N(INDEX('NHẬP ĐƠN HÀNG'!$Q$6:$Q$505,$N203)))</f>
        <v/>
      </c>
      <c r="M203" s="10" t="str">
        <f aca="false">IF($N203="","",N(INDEX('NHẬP ĐƠN HÀNG'!$R$6:$R$505,$N203)))</f>
        <v/>
      </c>
      <c r="N203" s="0" t="str">
        <f aca="false">IFERROR(MATCH(198,'NHẬP ĐƠN HÀNG'!$Z$6:$Z$505,0),"")</f>
        <v/>
      </c>
    </row>
    <row r="204" customFormat="false" ht="15" hidden="false" customHeight="false" outlineLevel="0" collapsed="false">
      <c r="A204" s="16" t="str">
        <f aca="false">IF($N204="","",199)</f>
        <v/>
      </c>
      <c r="B204" s="34" t="str">
        <f aca="false">IF($N204="","",IF(INDEX('NHẬP ĐƠN HÀNG'!$B$6:$B$505,$N204)="","",INDEX('NHẬP ĐƠN HÀNG'!$B$6:$B$505,$N204)))</f>
        <v/>
      </c>
      <c r="C204" s="16" t="str">
        <f aca="false">IF($N204="","",IF(INDEX('NHẬP ĐƠN HÀNG'!$C$6:$C$505,$N204)="","",INDEX('NHẬP ĐƠN HÀNG'!$C$6:$C$505,$N204)))</f>
        <v/>
      </c>
      <c r="D204" s="16" t="str">
        <f aca="false">IF($N204="","",IF(INDEX('NHẬP ĐƠN HÀNG'!$E$6:$E$505,$N204)="","",INDEX('NHẬP ĐƠN HÀNG'!$E$6:$E$505,$N204)))</f>
        <v/>
      </c>
      <c r="E204" s="16" t="str">
        <f aca="false">IF($N204="","",IF(INDEX('NHẬP ĐƠN HÀNG'!$F$6:$F$505,$N204)="","",INDEX('NHẬP ĐƠN HÀNG'!$F$6:$F$505,$N204)))</f>
        <v/>
      </c>
      <c r="F204" s="16" t="str">
        <f aca="false">IF($N204="","",IF(INDEX('NHẬP ĐƠN HÀNG'!$H$6:$H$505,$N204)="","",INDEX('NHẬP ĐƠN HÀNG'!$H$6:$H$505,$N204)))</f>
        <v/>
      </c>
      <c r="G204" s="10" t="str">
        <f aca="false">IF($N204="","",N(INDEX('NHẬP ĐƠN HÀNG'!$I$6:$I$505,$N204)))</f>
        <v/>
      </c>
      <c r="H204" s="10" t="str">
        <f aca="false">IF($N204="","",N(INDEX('NHẬP ĐƠN HÀNG'!$L$6:$L$505,$N204)))</f>
        <v/>
      </c>
      <c r="I204" s="11" t="str">
        <f aca="false">IF($N204="","",N(INDEX('NHẬP ĐƠN HÀNG'!$N$6:$N$505,$N204)))</f>
        <v/>
      </c>
      <c r="J204" s="10" t="str">
        <f aca="false">IF($N204="","",N(INDEX('NHẬP ĐƠN HÀNG'!$O$6:$O$505,$N204)))</f>
        <v/>
      </c>
      <c r="K204" s="10" t="str">
        <f aca="false">IF($N204="","",N(INDEX('NHẬP ĐƠN HÀNG'!$P$6:$P$505,$N204)))</f>
        <v/>
      </c>
      <c r="L204" s="10" t="str">
        <f aca="false">IF($N204="","",N(INDEX('NHẬP ĐƠN HÀNG'!$Q$6:$Q$505,$N204)))</f>
        <v/>
      </c>
      <c r="M204" s="10" t="str">
        <f aca="false">IF($N204="","",N(INDEX('NHẬP ĐƠN HÀNG'!$R$6:$R$505,$N204)))</f>
        <v/>
      </c>
      <c r="N204" s="0" t="str">
        <f aca="false">IFERROR(MATCH(199,'NHẬP ĐƠN HÀNG'!$Z$6:$Z$505,0),"")</f>
        <v/>
      </c>
    </row>
    <row r="205" customFormat="false" ht="15" hidden="false" customHeight="false" outlineLevel="0" collapsed="false">
      <c r="A205" s="16" t="str">
        <f aca="false">IF($N205="","",200)</f>
        <v/>
      </c>
      <c r="B205" s="34" t="str">
        <f aca="false">IF($N205="","",IF(INDEX('NHẬP ĐƠN HÀNG'!$B$6:$B$505,$N205)="","",INDEX('NHẬP ĐƠN HÀNG'!$B$6:$B$505,$N205)))</f>
        <v/>
      </c>
      <c r="C205" s="16" t="str">
        <f aca="false">IF($N205="","",IF(INDEX('NHẬP ĐƠN HÀNG'!$C$6:$C$505,$N205)="","",INDEX('NHẬP ĐƠN HÀNG'!$C$6:$C$505,$N205)))</f>
        <v/>
      </c>
      <c r="D205" s="16" t="str">
        <f aca="false">IF($N205="","",IF(INDEX('NHẬP ĐƠN HÀNG'!$E$6:$E$505,$N205)="","",INDEX('NHẬP ĐƠN HÀNG'!$E$6:$E$505,$N205)))</f>
        <v/>
      </c>
      <c r="E205" s="16" t="str">
        <f aca="false">IF($N205="","",IF(INDEX('NHẬP ĐƠN HÀNG'!$F$6:$F$505,$N205)="","",INDEX('NHẬP ĐƠN HÀNG'!$F$6:$F$505,$N205)))</f>
        <v/>
      </c>
      <c r="F205" s="16" t="str">
        <f aca="false">IF($N205="","",IF(INDEX('NHẬP ĐƠN HÀNG'!$H$6:$H$505,$N205)="","",INDEX('NHẬP ĐƠN HÀNG'!$H$6:$H$505,$N205)))</f>
        <v/>
      </c>
      <c r="G205" s="10" t="str">
        <f aca="false">IF($N205="","",N(INDEX('NHẬP ĐƠN HÀNG'!$I$6:$I$505,$N205)))</f>
        <v/>
      </c>
      <c r="H205" s="10" t="str">
        <f aca="false">IF($N205="","",N(INDEX('NHẬP ĐƠN HÀNG'!$L$6:$L$505,$N205)))</f>
        <v/>
      </c>
      <c r="I205" s="11" t="str">
        <f aca="false">IF($N205="","",N(INDEX('NHẬP ĐƠN HÀNG'!$N$6:$N$505,$N205)))</f>
        <v/>
      </c>
      <c r="J205" s="10" t="str">
        <f aca="false">IF($N205="","",N(INDEX('NHẬP ĐƠN HÀNG'!$O$6:$O$505,$N205)))</f>
        <v/>
      </c>
      <c r="K205" s="10" t="str">
        <f aca="false">IF($N205="","",N(INDEX('NHẬP ĐƠN HÀNG'!$P$6:$P$505,$N205)))</f>
        <v/>
      </c>
      <c r="L205" s="10" t="str">
        <f aca="false">IF($N205="","",N(INDEX('NHẬP ĐƠN HÀNG'!$Q$6:$Q$505,$N205)))</f>
        <v/>
      </c>
      <c r="M205" s="10" t="str">
        <f aca="false">IF($N205="","",N(INDEX('NHẬP ĐƠN HÀNG'!$R$6:$R$505,$N205)))</f>
        <v/>
      </c>
      <c r="N205" s="0" t="str">
        <f aca="false">IFERROR(MATCH(200,'NHẬP ĐƠN HÀNG'!$Z$6:$Z$505,0),"")</f>
        <v/>
      </c>
    </row>
  </sheetData>
  <autoFilter ref="A5:M205"/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L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32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7"/>
    <col collapsed="false" customWidth="true" hidden="false" outlineLevel="0" max="10" min="9" style="0" width="15"/>
    <col collapsed="false" customWidth="true" hidden="false" outlineLevel="0" max="11" min="11" style="0" width="28"/>
    <col collapsed="false" customWidth="true" hidden="true" outlineLevel="0" max="12" min="12" style="0" width="13"/>
  </cols>
  <sheetData>
    <row r="1" customFormat="false" ht="30" hidden="false" customHeight="true" outlineLevel="0" collapsed="false">
      <c r="A1" s="1" t="s">
        <v>177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178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37" t="s">
        <v>179</v>
      </c>
      <c r="B3" s="38" t="n">
        <f aca="false">SUMIF('NHẬP ĐƠN HÀNG'!$N$6:$N$505,0,'NHẬP ĐƠN HÀNG'!$L$6:$L$505)</f>
        <v>14160000</v>
      </c>
      <c r="C3" s="37" t="s">
        <v>180</v>
      </c>
      <c r="D3" s="38" t="n">
        <f aca="false">SUMIF('NHẬP ĐƠN HÀNG'!$N$6:$N$505,0,'NHẬP ĐƠN HÀNG'!$Q$6:$Q$505)</f>
        <v>6110000</v>
      </c>
      <c r="E3" s="37" t="s">
        <v>181</v>
      </c>
      <c r="F3" s="39" t="n">
        <f aca="false">SUMIF('NHẬP ĐƠN HÀNG'!$N$6:$N$505,0,'NHẬP ĐƠN HÀNG'!$R$6:$R$505)</f>
        <v>8050000</v>
      </c>
    </row>
    <row r="5" customFormat="false" ht="33.75" hidden="false" customHeight="true" outlineLevel="0" collapsed="false">
      <c r="A5" s="7" t="s">
        <v>92</v>
      </c>
      <c r="B5" s="7" t="s">
        <v>93</v>
      </c>
      <c r="C5" s="7" t="s">
        <v>94</v>
      </c>
      <c r="D5" s="7" t="s">
        <v>95</v>
      </c>
      <c r="E5" s="7" t="s">
        <v>55</v>
      </c>
      <c r="F5" s="7" t="s">
        <v>99</v>
      </c>
      <c r="G5" s="7" t="s">
        <v>85</v>
      </c>
      <c r="H5" s="7" t="s">
        <v>104</v>
      </c>
      <c r="I5" s="7" t="s">
        <v>90</v>
      </c>
      <c r="J5" s="7" t="s">
        <v>87</v>
      </c>
      <c r="K5" s="7" t="s">
        <v>61</v>
      </c>
    </row>
    <row r="6" customFormat="false" ht="15" hidden="false" customHeight="false" outlineLevel="0" collapsed="false">
      <c r="A6" s="16" t="n">
        <f aca="false">IF($L6="","",1)</f>
        <v>1</v>
      </c>
      <c r="B6" s="34" t="n">
        <f aca="false">IF($L6="","",IF(INDEX('NHẬP ĐƠN HÀNG'!$B$6:$B$505,$L6)="","",INDEX('NHẬP ĐƠN HÀNG'!$B$6:$B$505,$L6)))</f>
        <v>46224</v>
      </c>
      <c r="C6" s="16" t="str">
        <f aca="false">IF($L6="","",IF(INDEX('NHẬP ĐƠN HÀNG'!$C$6:$C$505,$L6)="","",INDEX('NHẬP ĐƠN HÀNG'!$C$6:$C$505,$L6)))</f>
        <v>NGUYỆT ANH</v>
      </c>
      <c r="D6" s="16" t="str">
        <f aca="false">IF($L6="","",IF(INDEX('NHẬP ĐƠN HÀNG'!$D$6:$D$505,$L6)="","",INDEX('NHẬP ĐƠN HÀNG'!$D$6:$D$505,$L6)))</f>
        <v>0914121088</v>
      </c>
      <c r="E6" s="16" t="str">
        <f aca="false">IF($L6="","",IF(INDEX('NHẬP ĐƠN HÀNG'!$H$6:$H$505,$L6)="","",INDEX('NHẬP ĐƠN HÀNG'!$H$6:$H$505,$L6)))</f>
        <v>GẤU TEDDY 25CM TRẮNG</v>
      </c>
      <c r="F6" s="10" t="n">
        <f aca="false">IF($L6="","",N(INDEX('NHẬP ĐƠN HÀNG'!$I$6:$I$505,$L6)))</f>
        <v>130</v>
      </c>
      <c r="G6" s="10" t="n">
        <f aca="false">IF($L6="","",N(INDEX('NHẬP ĐƠN HÀNG'!$L$6:$L$505,$L6)))</f>
        <v>6240000</v>
      </c>
      <c r="H6" s="10" t="n">
        <f aca="false">IF($L6="","",N(INDEX('NHẬP ĐƠN HÀNG'!$Q$6:$Q$505,$L6)))</f>
        <v>3110000</v>
      </c>
      <c r="I6" s="10" t="n">
        <f aca="false">IF($L6="","",N(INDEX('NHẬP ĐƠN HÀNG'!$R$6:$R$505,$L6)))</f>
        <v>3130000</v>
      </c>
      <c r="J6" s="10" t="n">
        <f aca="false">IF($L6="","",IF(INDEX('NHẬP ĐƠN HÀNG'!$U$6:$U$505,$L6)="","",INDEX('NHẬP ĐƠN HÀNG'!$U$6:$U$505,$L6)))</f>
        <v>1690000</v>
      </c>
      <c r="K6" s="16" t="str">
        <f aca="false">IF($L6="","",IF(INDEX('NHẬP ĐƠN HÀNG'!$W$6:$W$505,$L6)="","",INDEX('NHẬP ĐƠN HÀNG'!$W$6:$W$505,$L6)))</f>
        <v>Chuyển từ file cũ (DH-000006)</v>
      </c>
      <c r="L6" s="36" t="n">
        <f aca="false">IFERROR(MATCH(1,'NHẬP ĐƠN HÀNG'!$AA$6:$AA$505,0),"")</f>
        <v>2</v>
      </c>
    </row>
    <row r="7" customFormat="false" ht="15" hidden="false" customHeight="false" outlineLevel="0" collapsed="false">
      <c r="A7" s="16" t="n">
        <f aca="false">IF($L7="","",2)</f>
        <v>2</v>
      </c>
      <c r="B7" s="34" t="n">
        <f aca="false">IF($L7="","",IF(INDEX('NHẬP ĐƠN HÀNG'!$B$6:$B$505,$L7)="","",INDEX('NHẬP ĐƠN HÀNG'!$B$6:$B$505,$L7)))</f>
        <v>46224</v>
      </c>
      <c r="C7" s="16" t="str">
        <f aca="false">IF($L7="","",IF(INDEX('NHẬP ĐƠN HÀNG'!$C$6:$C$505,$L7)="","",INDEX('NHẬP ĐƠN HÀNG'!$C$6:$C$505,$L7)))</f>
        <v>KH-0007 (file cũ chưa có tên)</v>
      </c>
      <c r="D7" s="16" t="str">
        <f aca="false">IF($L7="","",IF(INDEX('NHẬP ĐƠN HÀNG'!$D$6:$D$505,$L7)="","",INDEX('NHẬP ĐƠN HÀNG'!$D$6:$D$505,$L7)))</f>
        <v/>
      </c>
      <c r="E7" s="16" t="str">
        <f aca="false">IF($L7="","",IF(INDEX('NHẬP ĐƠN HÀNG'!$H$6:$H$505,$L7)="","",INDEX('NHẬP ĐƠN HÀNG'!$H$6:$H$505,$L7)))</f>
        <v>GỐI ÔM CỎ</v>
      </c>
      <c r="F7" s="10" t="n">
        <f aca="false">IF($L7="","",N(INDEX('NHẬP ĐƠN HÀNG'!$I$6:$I$505,$L7)))</f>
        <v>80</v>
      </c>
      <c r="G7" s="10" t="n">
        <f aca="false">IF($L7="","",N(INDEX('NHẬP ĐƠN HÀNG'!$L$6:$L$505,$L7)))</f>
        <v>4160000</v>
      </c>
      <c r="H7" s="10" t="n">
        <f aca="false">IF($L7="","",N(INDEX('NHẬP ĐƠN HÀNG'!$Q$6:$Q$505,$L7)))</f>
        <v>1500000</v>
      </c>
      <c r="I7" s="10" t="n">
        <f aca="false">IF($L7="","",N(INDEX('NHẬP ĐƠN HÀNG'!$R$6:$R$505,$L7)))</f>
        <v>2660000</v>
      </c>
      <c r="J7" s="10" t="n">
        <f aca="false">IF($L7="","",IF(INDEX('NHẬP ĐƠN HÀNG'!$U$6:$U$505,$L7)="","",INDEX('NHẬP ĐƠN HÀNG'!$U$6:$U$505,$L7)))</f>
        <v>1360000</v>
      </c>
      <c r="K7" s="16" t="str">
        <f aca="false">IF($L7="","",IF(INDEX('NHẬP ĐƠN HÀNG'!$W$6:$W$505,$L7)="","",INDEX('NHẬP ĐƠN HÀNG'!$W$6:$W$505,$L7)))</f>
        <v>Chuyển từ file cũ (DH-000007) – bổ sung tên và SĐT khách</v>
      </c>
      <c r="L7" s="36" t="n">
        <f aca="false">IFERROR(MATCH(2,'NHẬP ĐƠN HÀNG'!$AA$6:$AA$505,0),"")</f>
        <v>3</v>
      </c>
    </row>
    <row r="8" customFormat="false" ht="15" hidden="false" customHeight="false" outlineLevel="0" collapsed="false">
      <c r="A8" s="16" t="n">
        <f aca="false">IF($L8="","",3)</f>
        <v>3</v>
      </c>
      <c r="B8" s="34" t="n">
        <f aca="false">IF($L8="","",IF(INDEX('NHẬP ĐƠN HÀNG'!$B$6:$B$505,$L8)="","",INDEX('NHẬP ĐƠN HÀNG'!$B$6:$B$505,$L8)))</f>
        <v>46224</v>
      </c>
      <c r="C8" s="16" t="str">
        <f aca="false">IF($L8="","",IF(INDEX('NHẬP ĐƠN HÀNG'!$C$6:$C$505,$L8)="","",INDEX('NHẬP ĐƠN HÀNG'!$C$6:$C$505,$L8)))</f>
        <v>KH-007 (file cũ chưa có tên)</v>
      </c>
      <c r="D8" s="16" t="str">
        <f aca="false">IF($L8="","",IF(INDEX('NHẬP ĐƠN HÀNG'!$D$6:$D$505,$L8)="","",INDEX('NHẬP ĐƠN HÀNG'!$D$6:$D$505,$L8)))</f>
        <v/>
      </c>
      <c r="E8" s="16" t="str">
        <f aca="false">IF($L8="","",IF(INDEX('NHẬP ĐƠN HÀNG'!$H$6:$H$505,$L8)="","",INDEX('NHẬP ĐƠN HÀNG'!$H$6:$H$505,$L8)))</f>
        <v>GẤU TEDDY 25CM TRẮNG</v>
      </c>
      <c r="F8" s="10" t="n">
        <f aca="false">IF($L8="","",N(INDEX('NHẬP ĐƠN HÀNG'!$I$6:$I$505,$L8)))</f>
        <v>80</v>
      </c>
      <c r="G8" s="10" t="n">
        <f aca="false">IF($L8="","",N(INDEX('NHẬP ĐƠN HÀNG'!$L$6:$L$505,$L8)))</f>
        <v>3760000</v>
      </c>
      <c r="H8" s="10" t="n">
        <f aca="false">IF($L8="","",N(INDEX('NHẬP ĐƠN HÀNG'!$Q$6:$Q$505,$L8)))</f>
        <v>1500000</v>
      </c>
      <c r="I8" s="10" t="n">
        <f aca="false">IF($L8="","",N(INDEX('NHẬP ĐƠN HÀNG'!$R$6:$R$505,$L8)))</f>
        <v>2260000</v>
      </c>
      <c r="J8" s="10" t="n">
        <f aca="false">IF($L8="","",IF(INDEX('NHẬP ĐƠN HÀNG'!$U$6:$U$505,$L8)="","",INDEX('NHẬP ĐƠN HÀNG'!$U$6:$U$505,$L8)))</f>
        <v>960000</v>
      </c>
      <c r="K8" s="16" t="str">
        <f aca="false">IF($L8="","",IF(INDEX('NHẬP ĐƠN HÀNG'!$W$6:$W$505,$L8)="","",INDEX('NHẬP ĐƠN HÀNG'!$W$6:$W$505,$L8)))</f>
        <v>Chuyển từ file cũ (DH-000008) – bổ sung tên và SĐT khách</v>
      </c>
      <c r="L8" s="36" t="n">
        <f aca="false">IFERROR(MATCH(3,'NHẬP ĐƠN HÀNG'!$AA$6:$AA$505,0),"")</f>
        <v>4</v>
      </c>
    </row>
    <row r="9" customFormat="false" ht="15" hidden="false" customHeight="false" outlineLevel="0" collapsed="false">
      <c r="A9" s="16" t="str">
        <f aca="false">IF($L9="","",4)</f>
        <v/>
      </c>
      <c r="B9" s="34" t="str">
        <f aca="false">IF($L9="","",IF(INDEX('NHẬP ĐƠN HÀNG'!$B$6:$B$505,$L9)="","",INDEX('NHẬP ĐƠN HÀNG'!$B$6:$B$505,$L9)))</f>
        <v/>
      </c>
      <c r="C9" s="16" t="str">
        <f aca="false">IF($L9="","",IF(INDEX('NHẬP ĐƠN HÀNG'!$C$6:$C$505,$L9)="","",INDEX('NHẬP ĐƠN HÀNG'!$C$6:$C$505,$L9)))</f>
        <v/>
      </c>
      <c r="D9" s="16" t="str">
        <f aca="false">IF($L9="","",IF(INDEX('NHẬP ĐƠN HÀNG'!$D$6:$D$505,$L9)="","",INDEX('NHẬP ĐƠN HÀNG'!$D$6:$D$505,$L9)))</f>
        <v/>
      </c>
      <c r="E9" s="16" t="str">
        <f aca="false">IF($L9="","",IF(INDEX('NHẬP ĐƠN HÀNG'!$H$6:$H$505,$L9)="","",INDEX('NHẬP ĐƠN HÀNG'!$H$6:$H$505,$L9)))</f>
        <v/>
      </c>
      <c r="F9" s="10" t="str">
        <f aca="false">IF($L9="","",N(INDEX('NHẬP ĐƠN HÀNG'!$I$6:$I$505,$L9)))</f>
        <v/>
      </c>
      <c r="G9" s="10" t="str">
        <f aca="false">IF($L9="","",N(INDEX('NHẬP ĐƠN HÀNG'!$L$6:$L$505,$L9)))</f>
        <v/>
      </c>
      <c r="H9" s="10" t="str">
        <f aca="false">IF($L9="","",N(INDEX('NHẬP ĐƠN HÀNG'!$Q$6:$Q$505,$L9)))</f>
        <v/>
      </c>
      <c r="I9" s="10" t="str">
        <f aca="false">IF($L9="","",N(INDEX('NHẬP ĐƠN HÀNG'!$R$6:$R$505,$L9)))</f>
        <v/>
      </c>
      <c r="J9" s="10" t="str">
        <f aca="false">IF($L9="","",IF(INDEX('NHẬP ĐƠN HÀNG'!$U$6:$U$505,$L9)="","",INDEX('NHẬP ĐƠN HÀNG'!$U$6:$U$505,$L9)))</f>
        <v/>
      </c>
      <c r="K9" s="16" t="str">
        <f aca="false">IF($L9="","",IF(INDEX('NHẬP ĐƠN HÀNG'!$W$6:$W$505,$L9)="","",INDEX('NHẬP ĐƠN HÀNG'!$W$6:$W$505,$L9)))</f>
        <v/>
      </c>
      <c r="L9" s="0" t="str">
        <f aca="false">IFERROR(MATCH(4,'NHẬP ĐƠN HÀNG'!$AA$6:$AA$505,0),"")</f>
        <v/>
      </c>
    </row>
    <row r="10" customFormat="false" ht="15" hidden="false" customHeight="false" outlineLevel="0" collapsed="false">
      <c r="A10" s="16" t="str">
        <f aca="false">IF($L10="","",5)</f>
        <v/>
      </c>
      <c r="B10" s="34" t="str">
        <f aca="false">IF($L10="","",IF(INDEX('NHẬP ĐƠN HÀNG'!$B$6:$B$505,$L10)="","",INDEX('NHẬP ĐƠN HÀNG'!$B$6:$B$505,$L10)))</f>
        <v/>
      </c>
      <c r="C10" s="16" t="str">
        <f aca="false">IF($L10="","",IF(INDEX('NHẬP ĐƠN HÀNG'!$C$6:$C$505,$L10)="","",INDEX('NHẬP ĐƠN HÀNG'!$C$6:$C$505,$L10)))</f>
        <v/>
      </c>
      <c r="D10" s="16" t="str">
        <f aca="false">IF($L10="","",IF(INDEX('NHẬP ĐƠN HÀNG'!$D$6:$D$505,$L10)="","",INDEX('NHẬP ĐƠN HÀNG'!$D$6:$D$505,$L10)))</f>
        <v/>
      </c>
      <c r="E10" s="16" t="str">
        <f aca="false">IF($L10="","",IF(INDEX('NHẬP ĐƠN HÀNG'!$H$6:$H$505,$L10)="","",INDEX('NHẬP ĐƠN HÀNG'!$H$6:$H$505,$L10)))</f>
        <v/>
      </c>
      <c r="F10" s="10" t="str">
        <f aca="false">IF($L10="","",N(INDEX('NHẬP ĐƠN HÀNG'!$I$6:$I$505,$L10)))</f>
        <v/>
      </c>
      <c r="G10" s="10" t="str">
        <f aca="false">IF($L10="","",N(INDEX('NHẬP ĐƠN HÀNG'!$L$6:$L$505,$L10)))</f>
        <v/>
      </c>
      <c r="H10" s="10" t="str">
        <f aca="false">IF($L10="","",N(INDEX('NHẬP ĐƠN HÀNG'!$Q$6:$Q$505,$L10)))</f>
        <v/>
      </c>
      <c r="I10" s="10" t="str">
        <f aca="false">IF($L10="","",N(INDEX('NHẬP ĐƠN HÀNG'!$R$6:$R$505,$L10)))</f>
        <v/>
      </c>
      <c r="J10" s="10" t="str">
        <f aca="false">IF($L10="","",IF(INDEX('NHẬP ĐƠN HÀNG'!$U$6:$U$505,$L10)="","",INDEX('NHẬP ĐƠN HÀNG'!$U$6:$U$505,$L10)))</f>
        <v/>
      </c>
      <c r="K10" s="16" t="str">
        <f aca="false">IF($L10="","",IF(INDEX('NHẬP ĐƠN HÀNG'!$W$6:$W$505,$L10)="","",INDEX('NHẬP ĐƠN HÀNG'!$W$6:$W$505,$L10)))</f>
        <v/>
      </c>
      <c r="L10" s="0" t="str">
        <f aca="false">IFERROR(MATCH(5,'NHẬP ĐƠN HÀNG'!$AA$6:$AA$505,0),"")</f>
        <v/>
      </c>
    </row>
    <row r="11" customFormat="false" ht="15" hidden="false" customHeight="false" outlineLevel="0" collapsed="false">
      <c r="A11" s="16" t="str">
        <f aca="false">IF($L11="","",6)</f>
        <v/>
      </c>
      <c r="B11" s="34" t="str">
        <f aca="false">IF($L11="","",IF(INDEX('NHẬP ĐƠN HÀNG'!$B$6:$B$505,$L11)="","",INDEX('NHẬP ĐƠN HÀNG'!$B$6:$B$505,$L11)))</f>
        <v/>
      </c>
      <c r="C11" s="16" t="str">
        <f aca="false">IF($L11="","",IF(INDEX('NHẬP ĐƠN HÀNG'!$C$6:$C$505,$L11)="","",INDEX('NHẬP ĐƠN HÀNG'!$C$6:$C$505,$L11)))</f>
        <v/>
      </c>
      <c r="D11" s="16" t="str">
        <f aca="false">IF($L11="","",IF(INDEX('NHẬP ĐƠN HÀNG'!$D$6:$D$505,$L11)="","",INDEX('NHẬP ĐƠN HÀNG'!$D$6:$D$505,$L11)))</f>
        <v/>
      </c>
      <c r="E11" s="16" t="str">
        <f aca="false">IF($L11="","",IF(INDEX('NHẬP ĐƠN HÀNG'!$H$6:$H$505,$L11)="","",INDEX('NHẬP ĐƠN HÀNG'!$H$6:$H$505,$L11)))</f>
        <v/>
      </c>
      <c r="F11" s="10" t="str">
        <f aca="false">IF($L11="","",N(INDEX('NHẬP ĐƠN HÀNG'!$I$6:$I$505,$L11)))</f>
        <v/>
      </c>
      <c r="G11" s="10" t="str">
        <f aca="false">IF($L11="","",N(INDEX('NHẬP ĐƠN HÀNG'!$L$6:$L$505,$L11)))</f>
        <v/>
      </c>
      <c r="H11" s="10" t="str">
        <f aca="false">IF($L11="","",N(INDEX('NHẬP ĐƠN HÀNG'!$Q$6:$Q$505,$L11)))</f>
        <v/>
      </c>
      <c r="I11" s="10" t="str">
        <f aca="false">IF($L11="","",N(INDEX('NHẬP ĐƠN HÀNG'!$R$6:$R$505,$L11)))</f>
        <v/>
      </c>
      <c r="J11" s="10" t="str">
        <f aca="false">IF($L11="","",IF(INDEX('NHẬP ĐƠN HÀNG'!$U$6:$U$505,$L11)="","",INDEX('NHẬP ĐƠN HÀNG'!$U$6:$U$505,$L11)))</f>
        <v/>
      </c>
      <c r="K11" s="16" t="str">
        <f aca="false">IF($L11="","",IF(INDEX('NHẬP ĐƠN HÀNG'!$W$6:$W$505,$L11)="","",INDEX('NHẬP ĐƠN HÀNG'!$W$6:$W$505,$L11)))</f>
        <v/>
      </c>
      <c r="L11" s="0" t="str">
        <f aca="false">IFERROR(MATCH(6,'NHẬP ĐƠN HÀNG'!$AA$6:$AA$505,0),"")</f>
        <v/>
      </c>
    </row>
    <row r="12" customFormat="false" ht="15" hidden="false" customHeight="false" outlineLevel="0" collapsed="false">
      <c r="A12" s="16" t="str">
        <f aca="false">IF($L12="","",7)</f>
        <v/>
      </c>
      <c r="B12" s="34" t="str">
        <f aca="false">IF($L12="","",IF(INDEX('NHẬP ĐƠN HÀNG'!$B$6:$B$505,$L12)="","",INDEX('NHẬP ĐƠN HÀNG'!$B$6:$B$505,$L12)))</f>
        <v/>
      </c>
      <c r="C12" s="16" t="str">
        <f aca="false">IF($L12="","",IF(INDEX('NHẬP ĐƠN HÀNG'!$C$6:$C$505,$L12)="","",INDEX('NHẬP ĐƠN HÀNG'!$C$6:$C$505,$L12)))</f>
        <v/>
      </c>
      <c r="D12" s="16" t="str">
        <f aca="false">IF($L12="","",IF(INDEX('NHẬP ĐƠN HÀNG'!$D$6:$D$505,$L12)="","",INDEX('NHẬP ĐƠN HÀNG'!$D$6:$D$505,$L12)))</f>
        <v/>
      </c>
      <c r="E12" s="16" t="str">
        <f aca="false">IF($L12="","",IF(INDEX('NHẬP ĐƠN HÀNG'!$H$6:$H$505,$L12)="","",INDEX('NHẬP ĐƠN HÀNG'!$H$6:$H$505,$L12)))</f>
        <v/>
      </c>
      <c r="F12" s="10" t="str">
        <f aca="false">IF($L12="","",N(INDEX('NHẬP ĐƠN HÀNG'!$I$6:$I$505,$L12)))</f>
        <v/>
      </c>
      <c r="G12" s="10" t="str">
        <f aca="false">IF($L12="","",N(INDEX('NHẬP ĐƠN HÀNG'!$L$6:$L$505,$L12)))</f>
        <v/>
      </c>
      <c r="H12" s="10" t="str">
        <f aca="false">IF($L12="","",N(INDEX('NHẬP ĐƠN HÀNG'!$Q$6:$Q$505,$L12)))</f>
        <v/>
      </c>
      <c r="I12" s="10" t="str">
        <f aca="false">IF($L12="","",N(INDEX('NHẬP ĐƠN HÀNG'!$R$6:$R$505,$L12)))</f>
        <v/>
      </c>
      <c r="J12" s="10" t="str">
        <f aca="false">IF($L12="","",IF(INDEX('NHẬP ĐƠN HÀNG'!$U$6:$U$505,$L12)="","",INDEX('NHẬP ĐƠN HÀNG'!$U$6:$U$505,$L12)))</f>
        <v/>
      </c>
      <c r="K12" s="16" t="str">
        <f aca="false">IF($L12="","",IF(INDEX('NHẬP ĐƠN HÀNG'!$W$6:$W$505,$L12)="","",INDEX('NHẬP ĐƠN HÀNG'!$W$6:$W$505,$L12)))</f>
        <v/>
      </c>
      <c r="L12" s="0" t="str">
        <f aca="false">IFERROR(MATCH(7,'NHẬP ĐƠN HÀNG'!$AA$6:$AA$505,0),"")</f>
        <v/>
      </c>
    </row>
    <row r="13" customFormat="false" ht="15" hidden="false" customHeight="false" outlineLevel="0" collapsed="false">
      <c r="A13" s="16" t="str">
        <f aca="false">IF($L13="","",8)</f>
        <v/>
      </c>
      <c r="B13" s="34" t="str">
        <f aca="false">IF($L13="","",IF(INDEX('NHẬP ĐƠN HÀNG'!$B$6:$B$505,$L13)="","",INDEX('NHẬP ĐƠN HÀNG'!$B$6:$B$505,$L13)))</f>
        <v/>
      </c>
      <c r="C13" s="16" t="str">
        <f aca="false">IF($L13="","",IF(INDEX('NHẬP ĐƠN HÀNG'!$C$6:$C$505,$L13)="","",INDEX('NHẬP ĐƠN HÀNG'!$C$6:$C$505,$L13)))</f>
        <v/>
      </c>
      <c r="D13" s="16" t="str">
        <f aca="false">IF($L13="","",IF(INDEX('NHẬP ĐƠN HÀNG'!$D$6:$D$505,$L13)="","",INDEX('NHẬP ĐƠN HÀNG'!$D$6:$D$505,$L13)))</f>
        <v/>
      </c>
      <c r="E13" s="16" t="str">
        <f aca="false">IF($L13="","",IF(INDEX('NHẬP ĐƠN HÀNG'!$H$6:$H$505,$L13)="","",INDEX('NHẬP ĐƠN HÀNG'!$H$6:$H$505,$L13)))</f>
        <v/>
      </c>
      <c r="F13" s="10" t="str">
        <f aca="false">IF($L13="","",N(INDEX('NHẬP ĐƠN HÀNG'!$I$6:$I$505,$L13)))</f>
        <v/>
      </c>
      <c r="G13" s="10" t="str">
        <f aca="false">IF($L13="","",N(INDEX('NHẬP ĐƠN HÀNG'!$L$6:$L$505,$L13)))</f>
        <v/>
      </c>
      <c r="H13" s="10" t="str">
        <f aca="false">IF($L13="","",N(INDEX('NHẬP ĐƠN HÀNG'!$Q$6:$Q$505,$L13)))</f>
        <v/>
      </c>
      <c r="I13" s="10" t="str">
        <f aca="false">IF($L13="","",N(INDEX('NHẬP ĐƠN HÀNG'!$R$6:$R$505,$L13)))</f>
        <v/>
      </c>
      <c r="J13" s="10" t="str">
        <f aca="false">IF($L13="","",IF(INDEX('NHẬP ĐƠN HÀNG'!$U$6:$U$505,$L13)="","",INDEX('NHẬP ĐƠN HÀNG'!$U$6:$U$505,$L13)))</f>
        <v/>
      </c>
      <c r="K13" s="16" t="str">
        <f aca="false">IF($L13="","",IF(INDEX('NHẬP ĐƠN HÀNG'!$W$6:$W$505,$L13)="","",INDEX('NHẬP ĐƠN HÀNG'!$W$6:$W$505,$L13)))</f>
        <v/>
      </c>
      <c r="L13" s="0" t="str">
        <f aca="false">IFERROR(MATCH(8,'NHẬP ĐƠN HÀNG'!$AA$6:$AA$505,0),"")</f>
        <v/>
      </c>
    </row>
    <row r="14" customFormat="false" ht="15" hidden="false" customHeight="false" outlineLevel="0" collapsed="false">
      <c r="A14" s="16" t="str">
        <f aca="false">IF($L14="","",9)</f>
        <v/>
      </c>
      <c r="B14" s="34" t="str">
        <f aca="false">IF($L14="","",IF(INDEX('NHẬP ĐƠN HÀNG'!$B$6:$B$505,$L14)="","",INDEX('NHẬP ĐƠN HÀNG'!$B$6:$B$505,$L14)))</f>
        <v/>
      </c>
      <c r="C14" s="16" t="str">
        <f aca="false">IF($L14="","",IF(INDEX('NHẬP ĐƠN HÀNG'!$C$6:$C$505,$L14)="","",INDEX('NHẬP ĐƠN HÀNG'!$C$6:$C$505,$L14)))</f>
        <v/>
      </c>
      <c r="D14" s="16" t="str">
        <f aca="false">IF($L14="","",IF(INDEX('NHẬP ĐƠN HÀNG'!$D$6:$D$505,$L14)="","",INDEX('NHẬP ĐƠN HÀNG'!$D$6:$D$505,$L14)))</f>
        <v/>
      </c>
      <c r="E14" s="16" t="str">
        <f aca="false">IF($L14="","",IF(INDEX('NHẬP ĐƠN HÀNG'!$H$6:$H$505,$L14)="","",INDEX('NHẬP ĐƠN HÀNG'!$H$6:$H$505,$L14)))</f>
        <v/>
      </c>
      <c r="F14" s="10" t="str">
        <f aca="false">IF($L14="","",N(INDEX('NHẬP ĐƠN HÀNG'!$I$6:$I$505,$L14)))</f>
        <v/>
      </c>
      <c r="G14" s="10" t="str">
        <f aca="false">IF($L14="","",N(INDEX('NHẬP ĐƠN HÀNG'!$L$6:$L$505,$L14)))</f>
        <v/>
      </c>
      <c r="H14" s="10" t="str">
        <f aca="false">IF($L14="","",N(INDEX('NHẬP ĐƠN HÀNG'!$Q$6:$Q$505,$L14)))</f>
        <v/>
      </c>
      <c r="I14" s="10" t="str">
        <f aca="false">IF($L14="","",N(INDEX('NHẬP ĐƠN HÀNG'!$R$6:$R$505,$L14)))</f>
        <v/>
      </c>
      <c r="J14" s="10" t="str">
        <f aca="false">IF($L14="","",IF(INDEX('NHẬP ĐƠN HÀNG'!$U$6:$U$505,$L14)="","",INDEX('NHẬP ĐƠN HÀNG'!$U$6:$U$505,$L14)))</f>
        <v/>
      </c>
      <c r="K14" s="16" t="str">
        <f aca="false">IF($L14="","",IF(INDEX('NHẬP ĐƠN HÀNG'!$W$6:$W$505,$L14)="","",INDEX('NHẬP ĐƠN HÀNG'!$W$6:$W$505,$L14)))</f>
        <v/>
      </c>
      <c r="L14" s="0" t="str">
        <f aca="false">IFERROR(MATCH(9,'NHẬP ĐƠN HÀNG'!$AA$6:$AA$505,0),"")</f>
        <v/>
      </c>
    </row>
    <row r="15" customFormat="false" ht="15" hidden="false" customHeight="false" outlineLevel="0" collapsed="false">
      <c r="A15" s="16" t="str">
        <f aca="false">IF($L15="","",10)</f>
        <v/>
      </c>
      <c r="B15" s="34" t="str">
        <f aca="false">IF($L15="","",IF(INDEX('NHẬP ĐƠN HÀNG'!$B$6:$B$505,$L15)="","",INDEX('NHẬP ĐƠN HÀNG'!$B$6:$B$505,$L15)))</f>
        <v/>
      </c>
      <c r="C15" s="16" t="str">
        <f aca="false">IF($L15="","",IF(INDEX('NHẬP ĐƠN HÀNG'!$C$6:$C$505,$L15)="","",INDEX('NHẬP ĐƠN HÀNG'!$C$6:$C$505,$L15)))</f>
        <v/>
      </c>
      <c r="D15" s="16" t="str">
        <f aca="false">IF($L15="","",IF(INDEX('NHẬP ĐƠN HÀNG'!$D$6:$D$505,$L15)="","",INDEX('NHẬP ĐƠN HÀNG'!$D$6:$D$505,$L15)))</f>
        <v/>
      </c>
      <c r="E15" s="16" t="str">
        <f aca="false">IF($L15="","",IF(INDEX('NHẬP ĐƠN HÀNG'!$H$6:$H$505,$L15)="","",INDEX('NHẬP ĐƠN HÀNG'!$H$6:$H$505,$L15)))</f>
        <v/>
      </c>
      <c r="F15" s="10" t="str">
        <f aca="false">IF($L15="","",N(INDEX('NHẬP ĐƠN HÀNG'!$I$6:$I$505,$L15)))</f>
        <v/>
      </c>
      <c r="G15" s="10" t="str">
        <f aca="false">IF($L15="","",N(INDEX('NHẬP ĐƠN HÀNG'!$L$6:$L$505,$L15)))</f>
        <v/>
      </c>
      <c r="H15" s="10" t="str">
        <f aca="false">IF($L15="","",N(INDEX('NHẬP ĐƠN HÀNG'!$Q$6:$Q$505,$L15)))</f>
        <v/>
      </c>
      <c r="I15" s="10" t="str">
        <f aca="false">IF($L15="","",N(INDEX('NHẬP ĐƠN HÀNG'!$R$6:$R$505,$L15)))</f>
        <v/>
      </c>
      <c r="J15" s="10" t="str">
        <f aca="false">IF($L15="","",IF(INDEX('NHẬP ĐƠN HÀNG'!$U$6:$U$505,$L15)="","",INDEX('NHẬP ĐƠN HÀNG'!$U$6:$U$505,$L15)))</f>
        <v/>
      </c>
      <c r="K15" s="16" t="str">
        <f aca="false">IF($L15="","",IF(INDEX('NHẬP ĐƠN HÀNG'!$W$6:$W$505,$L15)="","",INDEX('NHẬP ĐƠN HÀNG'!$W$6:$W$505,$L15)))</f>
        <v/>
      </c>
      <c r="L15" s="0" t="str">
        <f aca="false">IFERROR(MATCH(10,'NHẬP ĐƠN HÀNG'!$AA$6:$AA$505,0),"")</f>
        <v/>
      </c>
    </row>
    <row r="16" customFormat="false" ht="15" hidden="false" customHeight="false" outlineLevel="0" collapsed="false">
      <c r="A16" s="16" t="str">
        <f aca="false">IF($L16="","",11)</f>
        <v/>
      </c>
      <c r="B16" s="34" t="str">
        <f aca="false">IF($L16="","",IF(INDEX('NHẬP ĐƠN HÀNG'!$B$6:$B$505,$L16)="","",INDEX('NHẬP ĐƠN HÀNG'!$B$6:$B$505,$L16)))</f>
        <v/>
      </c>
      <c r="C16" s="16" t="str">
        <f aca="false">IF($L16="","",IF(INDEX('NHẬP ĐƠN HÀNG'!$C$6:$C$505,$L16)="","",INDEX('NHẬP ĐƠN HÀNG'!$C$6:$C$505,$L16)))</f>
        <v/>
      </c>
      <c r="D16" s="16" t="str">
        <f aca="false">IF($L16="","",IF(INDEX('NHẬP ĐƠN HÀNG'!$D$6:$D$505,$L16)="","",INDEX('NHẬP ĐƠN HÀNG'!$D$6:$D$505,$L16)))</f>
        <v/>
      </c>
      <c r="E16" s="16" t="str">
        <f aca="false">IF($L16="","",IF(INDEX('NHẬP ĐƠN HÀNG'!$H$6:$H$505,$L16)="","",INDEX('NHẬP ĐƠN HÀNG'!$H$6:$H$505,$L16)))</f>
        <v/>
      </c>
      <c r="F16" s="10" t="str">
        <f aca="false">IF($L16="","",N(INDEX('NHẬP ĐƠN HÀNG'!$I$6:$I$505,$L16)))</f>
        <v/>
      </c>
      <c r="G16" s="10" t="str">
        <f aca="false">IF($L16="","",N(INDEX('NHẬP ĐƠN HÀNG'!$L$6:$L$505,$L16)))</f>
        <v/>
      </c>
      <c r="H16" s="10" t="str">
        <f aca="false">IF($L16="","",N(INDEX('NHẬP ĐƠN HÀNG'!$Q$6:$Q$505,$L16)))</f>
        <v/>
      </c>
      <c r="I16" s="10" t="str">
        <f aca="false">IF($L16="","",N(INDEX('NHẬP ĐƠN HÀNG'!$R$6:$R$505,$L16)))</f>
        <v/>
      </c>
      <c r="J16" s="10" t="str">
        <f aca="false">IF($L16="","",IF(INDEX('NHẬP ĐƠN HÀNG'!$U$6:$U$505,$L16)="","",INDEX('NHẬP ĐƠN HÀNG'!$U$6:$U$505,$L16)))</f>
        <v/>
      </c>
      <c r="K16" s="16" t="str">
        <f aca="false">IF($L16="","",IF(INDEX('NHẬP ĐƠN HÀNG'!$W$6:$W$505,$L16)="","",INDEX('NHẬP ĐƠN HÀNG'!$W$6:$W$505,$L16)))</f>
        <v/>
      </c>
      <c r="L16" s="0" t="str">
        <f aca="false">IFERROR(MATCH(11,'NHẬP ĐƠN HÀNG'!$AA$6:$AA$505,0),"")</f>
        <v/>
      </c>
    </row>
    <row r="17" customFormat="false" ht="15" hidden="false" customHeight="false" outlineLevel="0" collapsed="false">
      <c r="A17" s="16" t="str">
        <f aca="false">IF($L17="","",12)</f>
        <v/>
      </c>
      <c r="B17" s="34" t="str">
        <f aca="false">IF($L17="","",IF(INDEX('NHẬP ĐƠN HÀNG'!$B$6:$B$505,$L17)="","",INDEX('NHẬP ĐƠN HÀNG'!$B$6:$B$505,$L17)))</f>
        <v/>
      </c>
      <c r="C17" s="16" t="str">
        <f aca="false">IF($L17="","",IF(INDEX('NHẬP ĐƠN HÀNG'!$C$6:$C$505,$L17)="","",INDEX('NHẬP ĐƠN HÀNG'!$C$6:$C$505,$L17)))</f>
        <v/>
      </c>
      <c r="D17" s="16" t="str">
        <f aca="false">IF($L17="","",IF(INDEX('NHẬP ĐƠN HÀNG'!$D$6:$D$505,$L17)="","",INDEX('NHẬP ĐƠN HÀNG'!$D$6:$D$505,$L17)))</f>
        <v/>
      </c>
      <c r="E17" s="16" t="str">
        <f aca="false">IF($L17="","",IF(INDEX('NHẬP ĐƠN HÀNG'!$H$6:$H$505,$L17)="","",INDEX('NHẬP ĐƠN HÀNG'!$H$6:$H$505,$L17)))</f>
        <v/>
      </c>
      <c r="F17" s="10" t="str">
        <f aca="false">IF($L17="","",N(INDEX('NHẬP ĐƠN HÀNG'!$I$6:$I$505,$L17)))</f>
        <v/>
      </c>
      <c r="G17" s="10" t="str">
        <f aca="false">IF($L17="","",N(INDEX('NHẬP ĐƠN HÀNG'!$L$6:$L$505,$L17)))</f>
        <v/>
      </c>
      <c r="H17" s="10" t="str">
        <f aca="false">IF($L17="","",N(INDEX('NHẬP ĐƠN HÀNG'!$Q$6:$Q$505,$L17)))</f>
        <v/>
      </c>
      <c r="I17" s="10" t="str">
        <f aca="false">IF($L17="","",N(INDEX('NHẬP ĐƠN HÀNG'!$R$6:$R$505,$L17)))</f>
        <v/>
      </c>
      <c r="J17" s="10" t="str">
        <f aca="false">IF($L17="","",IF(INDEX('NHẬP ĐƠN HÀNG'!$U$6:$U$505,$L17)="","",INDEX('NHẬP ĐƠN HÀNG'!$U$6:$U$505,$L17)))</f>
        <v/>
      </c>
      <c r="K17" s="16" t="str">
        <f aca="false">IF($L17="","",IF(INDEX('NHẬP ĐƠN HÀNG'!$W$6:$W$505,$L17)="","",INDEX('NHẬP ĐƠN HÀNG'!$W$6:$W$505,$L17)))</f>
        <v/>
      </c>
      <c r="L17" s="0" t="str">
        <f aca="false">IFERROR(MATCH(12,'NHẬP ĐƠN HÀNG'!$AA$6:$AA$505,0),"")</f>
        <v/>
      </c>
    </row>
    <row r="18" customFormat="false" ht="15" hidden="false" customHeight="false" outlineLevel="0" collapsed="false">
      <c r="A18" s="16" t="str">
        <f aca="false">IF($L18="","",13)</f>
        <v/>
      </c>
      <c r="B18" s="34" t="str">
        <f aca="false">IF($L18="","",IF(INDEX('NHẬP ĐƠN HÀNG'!$B$6:$B$505,$L18)="","",INDEX('NHẬP ĐƠN HÀNG'!$B$6:$B$505,$L18)))</f>
        <v/>
      </c>
      <c r="C18" s="16" t="str">
        <f aca="false">IF($L18="","",IF(INDEX('NHẬP ĐƠN HÀNG'!$C$6:$C$505,$L18)="","",INDEX('NHẬP ĐƠN HÀNG'!$C$6:$C$505,$L18)))</f>
        <v/>
      </c>
      <c r="D18" s="16" t="str">
        <f aca="false">IF($L18="","",IF(INDEX('NHẬP ĐƠN HÀNG'!$D$6:$D$505,$L18)="","",INDEX('NHẬP ĐƠN HÀNG'!$D$6:$D$505,$L18)))</f>
        <v/>
      </c>
      <c r="E18" s="16" t="str">
        <f aca="false">IF($L18="","",IF(INDEX('NHẬP ĐƠN HÀNG'!$H$6:$H$505,$L18)="","",INDEX('NHẬP ĐƠN HÀNG'!$H$6:$H$505,$L18)))</f>
        <v/>
      </c>
      <c r="F18" s="10" t="str">
        <f aca="false">IF($L18="","",N(INDEX('NHẬP ĐƠN HÀNG'!$I$6:$I$505,$L18)))</f>
        <v/>
      </c>
      <c r="G18" s="10" t="str">
        <f aca="false">IF($L18="","",N(INDEX('NHẬP ĐƠN HÀNG'!$L$6:$L$505,$L18)))</f>
        <v/>
      </c>
      <c r="H18" s="10" t="str">
        <f aca="false">IF($L18="","",N(INDEX('NHẬP ĐƠN HÀNG'!$Q$6:$Q$505,$L18)))</f>
        <v/>
      </c>
      <c r="I18" s="10" t="str">
        <f aca="false">IF($L18="","",N(INDEX('NHẬP ĐƠN HÀNG'!$R$6:$R$505,$L18)))</f>
        <v/>
      </c>
      <c r="J18" s="10" t="str">
        <f aca="false">IF($L18="","",IF(INDEX('NHẬP ĐƠN HÀNG'!$U$6:$U$505,$L18)="","",INDEX('NHẬP ĐƠN HÀNG'!$U$6:$U$505,$L18)))</f>
        <v/>
      </c>
      <c r="K18" s="16" t="str">
        <f aca="false">IF($L18="","",IF(INDEX('NHẬP ĐƠN HÀNG'!$W$6:$W$505,$L18)="","",INDEX('NHẬP ĐƠN HÀNG'!$W$6:$W$505,$L18)))</f>
        <v/>
      </c>
      <c r="L18" s="0" t="str">
        <f aca="false">IFERROR(MATCH(13,'NHẬP ĐƠN HÀNG'!$AA$6:$AA$505,0),"")</f>
        <v/>
      </c>
    </row>
    <row r="19" customFormat="false" ht="15" hidden="false" customHeight="false" outlineLevel="0" collapsed="false">
      <c r="A19" s="16" t="str">
        <f aca="false">IF($L19="","",14)</f>
        <v/>
      </c>
      <c r="B19" s="34" t="str">
        <f aca="false">IF($L19="","",IF(INDEX('NHẬP ĐƠN HÀNG'!$B$6:$B$505,$L19)="","",INDEX('NHẬP ĐƠN HÀNG'!$B$6:$B$505,$L19)))</f>
        <v/>
      </c>
      <c r="C19" s="16" t="str">
        <f aca="false">IF($L19="","",IF(INDEX('NHẬP ĐƠN HÀNG'!$C$6:$C$505,$L19)="","",INDEX('NHẬP ĐƠN HÀNG'!$C$6:$C$505,$L19)))</f>
        <v/>
      </c>
      <c r="D19" s="16" t="str">
        <f aca="false">IF($L19="","",IF(INDEX('NHẬP ĐƠN HÀNG'!$D$6:$D$505,$L19)="","",INDEX('NHẬP ĐƠN HÀNG'!$D$6:$D$505,$L19)))</f>
        <v/>
      </c>
      <c r="E19" s="16" t="str">
        <f aca="false">IF($L19="","",IF(INDEX('NHẬP ĐƠN HÀNG'!$H$6:$H$505,$L19)="","",INDEX('NHẬP ĐƠN HÀNG'!$H$6:$H$505,$L19)))</f>
        <v/>
      </c>
      <c r="F19" s="10" t="str">
        <f aca="false">IF($L19="","",N(INDEX('NHẬP ĐƠN HÀNG'!$I$6:$I$505,$L19)))</f>
        <v/>
      </c>
      <c r="G19" s="10" t="str">
        <f aca="false">IF($L19="","",N(INDEX('NHẬP ĐƠN HÀNG'!$L$6:$L$505,$L19)))</f>
        <v/>
      </c>
      <c r="H19" s="10" t="str">
        <f aca="false">IF($L19="","",N(INDEX('NHẬP ĐƠN HÀNG'!$Q$6:$Q$505,$L19)))</f>
        <v/>
      </c>
      <c r="I19" s="10" t="str">
        <f aca="false">IF($L19="","",N(INDEX('NHẬP ĐƠN HÀNG'!$R$6:$R$505,$L19)))</f>
        <v/>
      </c>
      <c r="J19" s="10" t="str">
        <f aca="false">IF($L19="","",IF(INDEX('NHẬP ĐƠN HÀNG'!$U$6:$U$505,$L19)="","",INDEX('NHẬP ĐƠN HÀNG'!$U$6:$U$505,$L19)))</f>
        <v/>
      </c>
      <c r="K19" s="16" t="str">
        <f aca="false">IF($L19="","",IF(INDEX('NHẬP ĐƠN HÀNG'!$W$6:$W$505,$L19)="","",INDEX('NHẬP ĐƠN HÀNG'!$W$6:$W$505,$L19)))</f>
        <v/>
      </c>
      <c r="L19" s="0" t="str">
        <f aca="false">IFERROR(MATCH(14,'NHẬP ĐƠN HÀNG'!$AA$6:$AA$505,0),"")</f>
        <v/>
      </c>
    </row>
    <row r="20" customFormat="false" ht="15" hidden="false" customHeight="false" outlineLevel="0" collapsed="false">
      <c r="A20" s="16" t="str">
        <f aca="false">IF($L20="","",15)</f>
        <v/>
      </c>
      <c r="B20" s="34" t="str">
        <f aca="false">IF($L20="","",IF(INDEX('NHẬP ĐƠN HÀNG'!$B$6:$B$505,$L20)="","",INDEX('NHẬP ĐƠN HÀNG'!$B$6:$B$505,$L20)))</f>
        <v/>
      </c>
      <c r="C20" s="16" t="str">
        <f aca="false">IF($L20="","",IF(INDEX('NHẬP ĐƠN HÀNG'!$C$6:$C$505,$L20)="","",INDEX('NHẬP ĐƠN HÀNG'!$C$6:$C$505,$L20)))</f>
        <v/>
      </c>
      <c r="D20" s="16" t="str">
        <f aca="false">IF($L20="","",IF(INDEX('NHẬP ĐƠN HÀNG'!$D$6:$D$505,$L20)="","",INDEX('NHẬP ĐƠN HÀNG'!$D$6:$D$505,$L20)))</f>
        <v/>
      </c>
      <c r="E20" s="16" t="str">
        <f aca="false">IF($L20="","",IF(INDEX('NHẬP ĐƠN HÀNG'!$H$6:$H$505,$L20)="","",INDEX('NHẬP ĐƠN HÀNG'!$H$6:$H$505,$L20)))</f>
        <v/>
      </c>
      <c r="F20" s="10" t="str">
        <f aca="false">IF($L20="","",N(INDEX('NHẬP ĐƠN HÀNG'!$I$6:$I$505,$L20)))</f>
        <v/>
      </c>
      <c r="G20" s="10" t="str">
        <f aca="false">IF($L20="","",N(INDEX('NHẬP ĐƠN HÀNG'!$L$6:$L$505,$L20)))</f>
        <v/>
      </c>
      <c r="H20" s="10" t="str">
        <f aca="false">IF($L20="","",N(INDEX('NHẬP ĐƠN HÀNG'!$Q$6:$Q$505,$L20)))</f>
        <v/>
      </c>
      <c r="I20" s="10" t="str">
        <f aca="false">IF($L20="","",N(INDEX('NHẬP ĐƠN HÀNG'!$R$6:$R$505,$L20)))</f>
        <v/>
      </c>
      <c r="J20" s="10" t="str">
        <f aca="false">IF($L20="","",IF(INDEX('NHẬP ĐƠN HÀNG'!$U$6:$U$505,$L20)="","",INDEX('NHẬP ĐƠN HÀNG'!$U$6:$U$505,$L20)))</f>
        <v/>
      </c>
      <c r="K20" s="16" t="str">
        <f aca="false">IF($L20="","",IF(INDEX('NHẬP ĐƠN HÀNG'!$W$6:$W$505,$L20)="","",INDEX('NHẬP ĐƠN HÀNG'!$W$6:$W$505,$L20)))</f>
        <v/>
      </c>
      <c r="L20" s="0" t="str">
        <f aca="false">IFERROR(MATCH(15,'NHẬP ĐƠN HÀNG'!$AA$6:$AA$505,0),"")</f>
        <v/>
      </c>
    </row>
    <row r="21" customFormat="false" ht="15" hidden="false" customHeight="false" outlineLevel="0" collapsed="false">
      <c r="A21" s="16" t="str">
        <f aca="false">IF($L21="","",16)</f>
        <v/>
      </c>
      <c r="B21" s="34" t="str">
        <f aca="false">IF($L21="","",IF(INDEX('NHẬP ĐƠN HÀNG'!$B$6:$B$505,$L21)="","",INDEX('NHẬP ĐƠN HÀNG'!$B$6:$B$505,$L21)))</f>
        <v/>
      </c>
      <c r="C21" s="16" t="str">
        <f aca="false">IF($L21="","",IF(INDEX('NHẬP ĐƠN HÀNG'!$C$6:$C$505,$L21)="","",INDEX('NHẬP ĐƠN HÀNG'!$C$6:$C$505,$L21)))</f>
        <v/>
      </c>
      <c r="D21" s="16" t="str">
        <f aca="false">IF($L21="","",IF(INDEX('NHẬP ĐƠN HÀNG'!$D$6:$D$505,$L21)="","",INDEX('NHẬP ĐƠN HÀNG'!$D$6:$D$505,$L21)))</f>
        <v/>
      </c>
      <c r="E21" s="16" t="str">
        <f aca="false">IF($L21="","",IF(INDEX('NHẬP ĐƠN HÀNG'!$H$6:$H$505,$L21)="","",INDEX('NHẬP ĐƠN HÀNG'!$H$6:$H$505,$L21)))</f>
        <v/>
      </c>
      <c r="F21" s="10" t="str">
        <f aca="false">IF($L21="","",N(INDEX('NHẬP ĐƠN HÀNG'!$I$6:$I$505,$L21)))</f>
        <v/>
      </c>
      <c r="G21" s="10" t="str">
        <f aca="false">IF($L21="","",N(INDEX('NHẬP ĐƠN HÀNG'!$L$6:$L$505,$L21)))</f>
        <v/>
      </c>
      <c r="H21" s="10" t="str">
        <f aca="false">IF($L21="","",N(INDEX('NHẬP ĐƠN HÀNG'!$Q$6:$Q$505,$L21)))</f>
        <v/>
      </c>
      <c r="I21" s="10" t="str">
        <f aca="false">IF($L21="","",N(INDEX('NHẬP ĐƠN HÀNG'!$R$6:$R$505,$L21)))</f>
        <v/>
      </c>
      <c r="J21" s="10" t="str">
        <f aca="false">IF($L21="","",IF(INDEX('NHẬP ĐƠN HÀNG'!$U$6:$U$505,$L21)="","",INDEX('NHẬP ĐƠN HÀNG'!$U$6:$U$505,$L21)))</f>
        <v/>
      </c>
      <c r="K21" s="16" t="str">
        <f aca="false">IF($L21="","",IF(INDEX('NHẬP ĐƠN HÀNG'!$W$6:$W$505,$L21)="","",INDEX('NHẬP ĐƠN HÀNG'!$W$6:$W$505,$L21)))</f>
        <v/>
      </c>
      <c r="L21" s="0" t="str">
        <f aca="false">IFERROR(MATCH(16,'NHẬP ĐƠN HÀNG'!$AA$6:$AA$505,0),"")</f>
        <v/>
      </c>
    </row>
    <row r="22" customFormat="false" ht="15" hidden="false" customHeight="false" outlineLevel="0" collapsed="false">
      <c r="A22" s="16" t="str">
        <f aca="false">IF($L22="","",17)</f>
        <v/>
      </c>
      <c r="B22" s="34" t="str">
        <f aca="false">IF($L22="","",IF(INDEX('NHẬP ĐƠN HÀNG'!$B$6:$B$505,$L22)="","",INDEX('NHẬP ĐƠN HÀNG'!$B$6:$B$505,$L22)))</f>
        <v/>
      </c>
      <c r="C22" s="16" t="str">
        <f aca="false">IF($L22="","",IF(INDEX('NHẬP ĐƠN HÀNG'!$C$6:$C$505,$L22)="","",INDEX('NHẬP ĐƠN HÀNG'!$C$6:$C$505,$L22)))</f>
        <v/>
      </c>
      <c r="D22" s="16" t="str">
        <f aca="false">IF($L22="","",IF(INDEX('NHẬP ĐƠN HÀNG'!$D$6:$D$505,$L22)="","",INDEX('NHẬP ĐƠN HÀNG'!$D$6:$D$505,$L22)))</f>
        <v/>
      </c>
      <c r="E22" s="16" t="str">
        <f aca="false">IF($L22="","",IF(INDEX('NHẬP ĐƠN HÀNG'!$H$6:$H$505,$L22)="","",INDEX('NHẬP ĐƠN HÀNG'!$H$6:$H$505,$L22)))</f>
        <v/>
      </c>
      <c r="F22" s="10" t="str">
        <f aca="false">IF($L22="","",N(INDEX('NHẬP ĐƠN HÀNG'!$I$6:$I$505,$L22)))</f>
        <v/>
      </c>
      <c r="G22" s="10" t="str">
        <f aca="false">IF($L22="","",N(INDEX('NHẬP ĐƠN HÀNG'!$L$6:$L$505,$L22)))</f>
        <v/>
      </c>
      <c r="H22" s="10" t="str">
        <f aca="false">IF($L22="","",N(INDEX('NHẬP ĐƠN HÀNG'!$Q$6:$Q$505,$L22)))</f>
        <v/>
      </c>
      <c r="I22" s="10" t="str">
        <f aca="false">IF($L22="","",N(INDEX('NHẬP ĐƠN HÀNG'!$R$6:$R$505,$L22)))</f>
        <v/>
      </c>
      <c r="J22" s="10" t="str">
        <f aca="false">IF($L22="","",IF(INDEX('NHẬP ĐƠN HÀNG'!$U$6:$U$505,$L22)="","",INDEX('NHẬP ĐƠN HÀNG'!$U$6:$U$505,$L22)))</f>
        <v/>
      </c>
      <c r="K22" s="16" t="str">
        <f aca="false">IF($L22="","",IF(INDEX('NHẬP ĐƠN HÀNG'!$W$6:$W$505,$L22)="","",INDEX('NHẬP ĐƠN HÀNG'!$W$6:$W$505,$L22)))</f>
        <v/>
      </c>
      <c r="L22" s="0" t="str">
        <f aca="false">IFERROR(MATCH(17,'NHẬP ĐƠN HÀNG'!$AA$6:$AA$505,0),"")</f>
        <v/>
      </c>
    </row>
    <row r="23" customFormat="false" ht="15" hidden="false" customHeight="false" outlineLevel="0" collapsed="false">
      <c r="A23" s="16" t="str">
        <f aca="false">IF($L23="","",18)</f>
        <v/>
      </c>
      <c r="B23" s="34" t="str">
        <f aca="false">IF($L23="","",IF(INDEX('NHẬP ĐƠN HÀNG'!$B$6:$B$505,$L23)="","",INDEX('NHẬP ĐƠN HÀNG'!$B$6:$B$505,$L23)))</f>
        <v/>
      </c>
      <c r="C23" s="16" t="str">
        <f aca="false">IF($L23="","",IF(INDEX('NHẬP ĐƠN HÀNG'!$C$6:$C$505,$L23)="","",INDEX('NHẬP ĐƠN HÀNG'!$C$6:$C$505,$L23)))</f>
        <v/>
      </c>
      <c r="D23" s="16" t="str">
        <f aca="false">IF($L23="","",IF(INDEX('NHẬP ĐƠN HÀNG'!$D$6:$D$505,$L23)="","",INDEX('NHẬP ĐƠN HÀNG'!$D$6:$D$505,$L23)))</f>
        <v/>
      </c>
      <c r="E23" s="16" t="str">
        <f aca="false">IF($L23="","",IF(INDEX('NHẬP ĐƠN HÀNG'!$H$6:$H$505,$L23)="","",INDEX('NHẬP ĐƠN HÀNG'!$H$6:$H$505,$L23)))</f>
        <v/>
      </c>
      <c r="F23" s="10" t="str">
        <f aca="false">IF($L23="","",N(INDEX('NHẬP ĐƠN HÀNG'!$I$6:$I$505,$L23)))</f>
        <v/>
      </c>
      <c r="G23" s="10" t="str">
        <f aca="false">IF($L23="","",N(INDEX('NHẬP ĐƠN HÀNG'!$L$6:$L$505,$L23)))</f>
        <v/>
      </c>
      <c r="H23" s="10" t="str">
        <f aca="false">IF($L23="","",N(INDEX('NHẬP ĐƠN HÀNG'!$Q$6:$Q$505,$L23)))</f>
        <v/>
      </c>
      <c r="I23" s="10" t="str">
        <f aca="false">IF($L23="","",N(INDEX('NHẬP ĐƠN HÀNG'!$R$6:$R$505,$L23)))</f>
        <v/>
      </c>
      <c r="J23" s="10" t="str">
        <f aca="false">IF($L23="","",IF(INDEX('NHẬP ĐƠN HÀNG'!$U$6:$U$505,$L23)="","",INDEX('NHẬP ĐƠN HÀNG'!$U$6:$U$505,$L23)))</f>
        <v/>
      </c>
      <c r="K23" s="16" t="str">
        <f aca="false">IF($L23="","",IF(INDEX('NHẬP ĐƠN HÀNG'!$W$6:$W$505,$L23)="","",INDEX('NHẬP ĐƠN HÀNG'!$W$6:$W$505,$L23)))</f>
        <v/>
      </c>
      <c r="L23" s="0" t="str">
        <f aca="false">IFERROR(MATCH(18,'NHẬP ĐƠN HÀNG'!$AA$6:$AA$505,0),"")</f>
        <v/>
      </c>
    </row>
    <row r="24" customFormat="false" ht="15" hidden="false" customHeight="false" outlineLevel="0" collapsed="false">
      <c r="A24" s="16" t="str">
        <f aca="false">IF($L24="","",19)</f>
        <v/>
      </c>
      <c r="B24" s="34" t="str">
        <f aca="false">IF($L24="","",IF(INDEX('NHẬP ĐƠN HÀNG'!$B$6:$B$505,$L24)="","",INDEX('NHẬP ĐƠN HÀNG'!$B$6:$B$505,$L24)))</f>
        <v/>
      </c>
      <c r="C24" s="16" t="str">
        <f aca="false">IF($L24="","",IF(INDEX('NHẬP ĐƠN HÀNG'!$C$6:$C$505,$L24)="","",INDEX('NHẬP ĐƠN HÀNG'!$C$6:$C$505,$L24)))</f>
        <v/>
      </c>
      <c r="D24" s="16" t="str">
        <f aca="false">IF($L24="","",IF(INDEX('NHẬP ĐƠN HÀNG'!$D$6:$D$505,$L24)="","",INDEX('NHẬP ĐƠN HÀNG'!$D$6:$D$505,$L24)))</f>
        <v/>
      </c>
      <c r="E24" s="16" t="str">
        <f aca="false">IF($L24="","",IF(INDEX('NHẬP ĐƠN HÀNG'!$H$6:$H$505,$L24)="","",INDEX('NHẬP ĐƠN HÀNG'!$H$6:$H$505,$L24)))</f>
        <v/>
      </c>
      <c r="F24" s="10" t="str">
        <f aca="false">IF($L24="","",N(INDEX('NHẬP ĐƠN HÀNG'!$I$6:$I$505,$L24)))</f>
        <v/>
      </c>
      <c r="G24" s="10" t="str">
        <f aca="false">IF($L24="","",N(INDEX('NHẬP ĐƠN HÀNG'!$L$6:$L$505,$L24)))</f>
        <v/>
      </c>
      <c r="H24" s="10" t="str">
        <f aca="false">IF($L24="","",N(INDEX('NHẬP ĐƠN HÀNG'!$Q$6:$Q$505,$L24)))</f>
        <v/>
      </c>
      <c r="I24" s="10" t="str">
        <f aca="false">IF($L24="","",N(INDEX('NHẬP ĐƠN HÀNG'!$R$6:$R$505,$L24)))</f>
        <v/>
      </c>
      <c r="J24" s="10" t="str">
        <f aca="false">IF($L24="","",IF(INDEX('NHẬP ĐƠN HÀNG'!$U$6:$U$505,$L24)="","",INDEX('NHẬP ĐƠN HÀNG'!$U$6:$U$505,$L24)))</f>
        <v/>
      </c>
      <c r="K24" s="16" t="str">
        <f aca="false">IF($L24="","",IF(INDEX('NHẬP ĐƠN HÀNG'!$W$6:$W$505,$L24)="","",INDEX('NHẬP ĐƠN HÀNG'!$W$6:$W$505,$L24)))</f>
        <v/>
      </c>
      <c r="L24" s="0" t="str">
        <f aca="false">IFERROR(MATCH(19,'NHẬP ĐƠN HÀNG'!$AA$6:$AA$505,0),"")</f>
        <v/>
      </c>
    </row>
    <row r="25" customFormat="false" ht="15" hidden="false" customHeight="false" outlineLevel="0" collapsed="false">
      <c r="A25" s="16" t="str">
        <f aca="false">IF($L25="","",20)</f>
        <v/>
      </c>
      <c r="B25" s="34" t="str">
        <f aca="false">IF($L25="","",IF(INDEX('NHẬP ĐƠN HÀNG'!$B$6:$B$505,$L25)="","",INDEX('NHẬP ĐƠN HÀNG'!$B$6:$B$505,$L25)))</f>
        <v/>
      </c>
      <c r="C25" s="16" t="str">
        <f aca="false">IF($L25="","",IF(INDEX('NHẬP ĐƠN HÀNG'!$C$6:$C$505,$L25)="","",INDEX('NHẬP ĐƠN HÀNG'!$C$6:$C$505,$L25)))</f>
        <v/>
      </c>
      <c r="D25" s="16" t="str">
        <f aca="false">IF($L25="","",IF(INDEX('NHẬP ĐƠN HÀNG'!$D$6:$D$505,$L25)="","",INDEX('NHẬP ĐƠN HÀNG'!$D$6:$D$505,$L25)))</f>
        <v/>
      </c>
      <c r="E25" s="16" t="str">
        <f aca="false">IF($L25="","",IF(INDEX('NHẬP ĐƠN HÀNG'!$H$6:$H$505,$L25)="","",INDEX('NHẬP ĐƠN HÀNG'!$H$6:$H$505,$L25)))</f>
        <v/>
      </c>
      <c r="F25" s="10" t="str">
        <f aca="false">IF($L25="","",N(INDEX('NHẬP ĐƠN HÀNG'!$I$6:$I$505,$L25)))</f>
        <v/>
      </c>
      <c r="G25" s="10" t="str">
        <f aca="false">IF($L25="","",N(INDEX('NHẬP ĐƠN HÀNG'!$L$6:$L$505,$L25)))</f>
        <v/>
      </c>
      <c r="H25" s="10" t="str">
        <f aca="false">IF($L25="","",N(INDEX('NHẬP ĐƠN HÀNG'!$Q$6:$Q$505,$L25)))</f>
        <v/>
      </c>
      <c r="I25" s="10" t="str">
        <f aca="false">IF($L25="","",N(INDEX('NHẬP ĐƠN HÀNG'!$R$6:$R$505,$L25)))</f>
        <v/>
      </c>
      <c r="J25" s="10" t="str">
        <f aca="false">IF($L25="","",IF(INDEX('NHẬP ĐƠN HÀNG'!$U$6:$U$505,$L25)="","",INDEX('NHẬP ĐƠN HÀNG'!$U$6:$U$505,$L25)))</f>
        <v/>
      </c>
      <c r="K25" s="16" t="str">
        <f aca="false">IF($L25="","",IF(INDEX('NHẬP ĐƠN HÀNG'!$W$6:$W$505,$L25)="","",INDEX('NHẬP ĐƠN HÀNG'!$W$6:$W$505,$L25)))</f>
        <v/>
      </c>
      <c r="L25" s="0" t="str">
        <f aca="false">IFERROR(MATCH(20,'NHẬP ĐƠN HÀNG'!$AA$6:$AA$505,0),"")</f>
        <v/>
      </c>
    </row>
    <row r="26" customFormat="false" ht="15" hidden="false" customHeight="false" outlineLevel="0" collapsed="false">
      <c r="A26" s="16" t="str">
        <f aca="false">IF($L26="","",21)</f>
        <v/>
      </c>
      <c r="B26" s="34" t="str">
        <f aca="false">IF($L26="","",IF(INDEX('NHẬP ĐƠN HÀNG'!$B$6:$B$505,$L26)="","",INDEX('NHẬP ĐƠN HÀNG'!$B$6:$B$505,$L26)))</f>
        <v/>
      </c>
      <c r="C26" s="16" t="str">
        <f aca="false">IF($L26="","",IF(INDEX('NHẬP ĐƠN HÀNG'!$C$6:$C$505,$L26)="","",INDEX('NHẬP ĐƠN HÀNG'!$C$6:$C$505,$L26)))</f>
        <v/>
      </c>
      <c r="D26" s="16" t="str">
        <f aca="false">IF($L26="","",IF(INDEX('NHẬP ĐƠN HÀNG'!$D$6:$D$505,$L26)="","",INDEX('NHẬP ĐƠN HÀNG'!$D$6:$D$505,$L26)))</f>
        <v/>
      </c>
      <c r="E26" s="16" t="str">
        <f aca="false">IF($L26="","",IF(INDEX('NHẬP ĐƠN HÀNG'!$H$6:$H$505,$L26)="","",INDEX('NHẬP ĐƠN HÀNG'!$H$6:$H$505,$L26)))</f>
        <v/>
      </c>
      <c r="F26" s="10" t="str">
        <f aca="false">IF($L26="","",N(INDEX('NHẬP ĐƠN HÀNG'!$I$6:$I$505,$L26)))</f>
        <v/>
      </c>
      <c r="G26" s="10" t="str">
        <f aca="false">IF($L26="","",N(INDEX('NHẬP ĐƠN HÀNG'!$L$6:$L$505,$L26)))</f>
        <v/>
      </c>
      <c r="H26" s="10" t="str">
        <f aca="false">IF($L26="","",N(INDEX('NHẬP ĐƠN HÀNG'!$Q$6:$Q$505,$L26)))</f>
        <v/>
      </c>
      <c r="I26" s="10" t="str">
        <f aca="false">IF($L26="","",N(INDEX('NHẬP ĐƠN HÀNG'!$R$6:$R$505,$L26)))</f>
        <v/>
      </c>
      <c r="J26" s="10" t="str">
        <f aca="false">IF($L26="","",IF(INDEX('NHẬP ĐƠN HÀNG'!$U$6:$U$505,$L26)="","",INDEX('NHẬP ĐƠN HÀNG'!$U$6:$U$505,$L26)))</f>
        <v/>
      </c>
      <c r="K26" s="16" t="str">
        <f aca="false">IF($L26="","",IF(INDEX('NHẬP ĐƠN HÀNG'!$W$6:$W$505,$L26)="","",INDEX('NHẬP ĐƠN HÀNG'!$W$6:$W$505,$L26)))</f>
        <v/>
      </c>
      <c r="L26" s="0" t="str">
        <f aca="false">IFERROR(MATCH(21,'NHẬP ĐƠN HÀNG'!$AA$6:$AA$505,0),"")</f>
        <v/>
      </c>
    </row>
    <row r="27" customFormat="false" ht="15" hidden="false" customHeight="false" outlineLevel="0" collapsed="false">
      <c r="A27" s="16" t="str">
        <f aca="false">IF($L27="","",22)</f>
        <v/>
      </c>
      <c r="B27" s="34" t="str">
        <f aca="false">IF($L27="","",IF(INDEX('NHẬP ĐƠN HÀNG'!$B$6:$B$505,$L27)="","",INDEX('NHẬP ĐƠN HÀNG'!$B$6:$B$505,$L27)))</f>
        <v/>
      </c>
      <c r="C27" s="16" t="str">
        <f aca="false">IF($L27="","",IF(INDEX('NHẬP ĐƠN HÀNG'!$C$6:$C$505,$L27)="","",INDEX('NHẬP ĐƠN HÀNG'!$C$6:$C$505,$L27)))</f>
        <v/>
      </c>
      <c r="D27" s="16" t="str">
        <f aca="false">IF($L27="","",IF(INDEX('NHẬP ĐƠN HÀNG'!$D$6:$D$505,$L27)="","",INDEX('NHẬP ĐƠN HÀNG'!$D$6:$D$505,$L27)))</f>
        <v/>
      </c>
      <c r="E27" s="16" t="str">
        <f aca="false">IF($L27="","",IF(INDEX('NHẬP ĐƠN HÀNG'!$H$6:$H$505,$L27)="","",INDEX('NHẬP ĐƠN HÀNG'!$H$6:$H$505,$L27)))</f>
        <v/>
      </c>
      <c r="F27" s="10" t="str">
        <f aca="false">IF($L27="","",N(INDEX('NHẬP ĐƠN HÀNG'!$I$6:$I$505,$L27)))</f>
        <v/>
      </c>
      <c r="G27" s="10" t="str">
        <f aca="false">IF($L27="","",N(INDEX('NHẬP ĐƠN HÀNG'!$L$6:$L$505,$L27)))</f>
        <v/>
      </c>
      <c r="H27" s="10" t="str">
        <f aca="false">IF($L27="","",N(INDEX('NHẬP ĐƠN HÀNG'!$Q$6:$Q$505,$L27)))</f>
        <v/>
      </c>
      <c r="I27" s="10" t="str">
        <f aca="false">IF($L27="","",N(INDEX('NHẬP ĐƠN HÀNG'!$R$6:$R$505,$L27)))</f>
        <v/>
      </c>
      <c r="J27" s="10" t="str">
        <f aca="false">IF($L27="","",IF(INDEX('NHẬP ĐƠN HÀNG'!$U$6:$U$505,$L27)="","",INDEX('NHẬP ĐƠN HÀNG'!$U$6:$U$505,$L27)))</f>
        <v/>
      </c>
      <c r="K27" s="16" t="str">
        <f aca="false">IF($L27="","",IF(INDEX('NHẬP ĐƠN HÀNG'!$W$6:$W$505,$L27)="","",INDEX('NHẬP ĐƠN HÀNG'!$W$6:$W$505,$L27)))</f>
        <v/>
      </c>
      <c r="L27" s="0" t="str">
        <f aca="false">IFERROR(MATCH(22,'NHẬP ĐƠN HÀNG'!$AA$6:$AA$505,0),"")</f>
        <v/>
      </c>
    </row>
    <row r="28" customFormat="false" ht="15" hidden="false" customHeight="false" outlineLevel="0" collapsed="false">
      <c r="A28" s="16" t="str">
        <f aca="false">IF($L28="","",23)</f>
        <v/>
      </c>
      <c r="B28" s="34" t="str">
        <f aca="false">IF($L28="","",IF(INDEX('NHẬP ĐƠN HÀNG'!$B$6:$B$505,$L28)="","",INDEX('NHẬP ĐƠN HÀNG'!$B$6:$B$505,$L28)))</f>
        <v/>
      </c>
      <c r="C28" s="16" t="str">
        <f aca="false">IF($L28="","",IF(INDEX('NHẬP ĐƠN HÀNG'!$C$6:$C$505,$L28)="","",INDEX('NHẬP ĐƠN HÀNG'!$C$6:$C$505,$L28)))</f>
        <v/>
      </c>
      <c r="D28" s="16" t="str">
        <f aca="false">IF($L28="","",IF(INDEX('NHẬP ĐƠN HÀNG'!$D$6:$D$505,$L28)="","",INDEX('NHẬP ĐƠN HÀNG'!$D$6:$D$505,$L28)))</f>
        <v/>
      </c>
      <c r="E28" s="16" t="str">
        <f aca="false">IF($L28="","",IF(INDEX('NHẬP ĐƠN HÀNG'!$H$6:$H$505,$L28)="","",INDEX('NHẬP ĐƠN HÀNG'!$H$6:$H$505,$L28)))</f>
        <v/>
      </c>
      <c r="F28" s="10" t="str">
        <f aca="false">IF($L28="","",N(INDEX('NHẬP ĐƠN HÀNG'!$I$6:$I$505,$L28)))</f>
        <v/>
      </c>
      <c r="G28" s="10" t="str">
        <f aca="false">IF($L28="","",N(INDEX('NHẬP ĐƠN HÀNG'!$L$6:$L$505,$L28)))</f>
        <v/>
      </c>
      <c r="H28" s="10" t="str">
        <f aca="false">IF($L28="","",N(INDEX('NHẬP ĐƠN HÀNG'!$Q$6:$Q$505,$L28)))</f>
        <v/>
      </c>
      <c r="I28" s="10" t="str">
        <f aca="false">IF($L28="","",N(INDEX('NHẬP ĐƠN HÀNG'!$R$6:$R$505,$L28)))</f>
        <v/>
      </c>
      <c r="J28" s="10" t="str">
        <f aca="false">IF($L28="","",IF(INDEX('NHẬP ĐƠN HÀNG'!$U$6:$U$505,$L28)="","",INDEX('NHẬP ĐƠN HÀNG'!$U$6:$U$505,$L28)))</f>
        <v/>
      </c>
      <c r="K28" s="16" t="str">
        <f aca="false">IF($L28="","",IF(INDEX('NHẬP ĐƠN HÀNG'!$W$6:$W$505,$L28)="","",INDEX('NHẬP ĐƠN HÀNG'!$W$6:$W$505,$L28)))</f>
        <v/>
      </c>
      <c r="L28" s="0" t="str">
        <f aca="false">IFERROR(MATCH(23,'NHẬP ĐƠN HÀNG'!$AA$6:$AA$505,0),"")</f>
        <v/>
      </c>
    </row>
    <row r="29" customFormat="false" ht="15" hidden="false" customHeight="false" outlineLevel="0" collapsed="false">
      <c r="A29" s="16" t="str">
        <f aca="false">IF($L29="","",24)</f>
        <v/>
      </c>
      <c r="B29" s="34" t="str">
        <f aca="false">IF($L29="","",IF(INDEX('NHẬP ĐƠN HÀNG'!$B$6:$B$505,$L29)="","",INDEX('NHẬP ĐƠN HÀNG'!$B$6:$B$505,$L29)))</f>
        <v/>
      </c>
      <c r="C29" s="16" t="str">
        <f aca="false">IF($L29="","",IF(INDEX('NHẬP ĐƠN HÀNG'!$C$6:$C$505,$L29)="","",INDEX('NHẬP ĐƠN HÀNG'!$C$6:$C$505,$L29)))</f>
        <v/>
      </c>
      <c r="D29" s="16" t="str">
        <f aca="false">IF($L29="","",IF(INDEX('NHẬP ĐƠN HÀNG'!$D$6:$D$505,$L29)="","",INDEX('NHẬP ĐƠN HÀNG'!$D$6:$D$505,$L29)))</f>
        <v/>
      </c>
      <c r="E29" s="16" t="str">
        <f aca="false">IF($L29="","",IF(INDEX('NHẬP ĐƠN HÀNG'!$H$6:$H$505,$L29)="","",INDEX('NHẬP ĐƠN HÀNG'!$H$6:$H$505,$L29)))</f>
        <v/>
      </c>
      <c r="F29" s="10" t="str">
        <f aca="false">IF($L29="","",N(INDEX('NHẬP ĐƠN HÀNG'!$I$6:$I$505,$L29)))</f>
        <v/>
      </c>
      <c r="G29" s="10" t="str">
        <f aca="false">IF($L29="","",N(INDEX('NHẬP ĐƠN HÀNG'!$L$6:$L$505,$L29)))</f>
        <v/>
      </c>
      <c r="H29" s="10" t="str">
        <f aca="false">IF($L29="","",N(INDEX('NHẬP ĐƠN HÀNG'!$Q$6:$Q$505,$L29)))</f>
        <v/>
      </c>
      <c r="I29" s="10" t="str">
        <f aca="false">IF($L29="","",N(INDEX('NHẬP ĐƠN HÀNG'!$R$6:$R$505,$L29)))</f>
        <v/>
      </c>
      <c r="J29" s="10" t="str">
        <f aca="false">IF($L29="","",IF(INDEX('NHẬP ĐƠN HÀNG'!$U$6:$U$505,$L29)="","",INDEX('NHẬP ĐƠN HÀNG'!$U$6:$U$505,$L29)))</f>
        <v/>
      </c>
      <c r="K29" s="16" t="str">
        <f aca="false">IF($L29="","",IF(INDEX('NHẬP ĐƠN HÀNG'!$W$6:$W$505,$L29)="","",INDEX('NHẬP ĐƠN HÀNG'!$W$6:$W$505,$L29)))</f>
        <v/>
      </c>
      <c r="L29" s="0" t="str">
        <f aca="false">IFERROR(MATCH(24,'NHẬP ĐƠN HÀNG'!$AA$6:$AA$505,0),"")</f>
        <v/>
      </c>
    </row>
    <row r="30" customFormat="false" ht="15" hidden="false" customHeight="false" outlineLevel="0" collapsed="false">
      <c r="A30" s="16" t="str">
        <f aca="false">IF($L30="","",25)</f>
        <v/>
      </c>
      <c r="B30" s="34" t="str">
        <f aca="false">IF($L30="","",IF(INDEX('NHẬP ĐƠN HÀNG'!$B$6:$B$505,$L30)="","",INDEX('NHẬP ĐƠN HÀNG'!$B$6:$B$505,$L30)))</f>
        <v/>
      </c>
      <c r="C30" s="16" t="str">
        <f aca="false">IF($L30="","",IF(INDEX('NHẬP ĐƠN HÀNG'!$C$6:$C$505,$L30)="","",INDEX('NHẬP ĐƠN HÀNG'!$C$6:$C$505,$L30)))</f>
        <v/>
      </c>
      <c r="D30" s="16" t="str">
        <f aca="false">IF($L30="","",IF(INDEX('NHẬP ĐƠN HÀNG'!$D$6:$D$505,$L30)="","",INDEX('NHẬP ĐƠN HÀNG'!$D$6:$D$505,$L30)))</f>
        <v/>
      </c>
      <c r="E30" s="16" t="str">
        <f aca="false">IF($L30="","",IF(INDEX('NHẬP ĐƠN HÀNG'!$H$6:$H$505,$L30)="","",INDEX('NHẬP ĐƠN HÀNG'!$H$6:$H$505,$L30)))</f>
        <v/>
      </c>
      <c r="F30" s="10" t="str">
        <f aca="false">IF($L30="","",N(INDEX('NHẬP ĐƠN HÀNG'!$I$6:$I$505,$L30)))</f>
        <v/>
      </c>
      <c r="G30" s="10" t="str">
        <f aca="false">IF($L30="","",N(INDEX('NHẬP ĐƠN HÀNG'!$L$6:$L$505,$L30)))</f>
        <v/>
      </c>
      <c r="H30" s="10" t="str">
        <f aca="false">IF($L30="","",N(INDEX('NHẬP ĐƠN HÀNG'!$Q$6:$Q$505,$L30)))</f>
        <v/>
      </c>
      <c r="I30" s="10" t="str">
        <f aca="false">IF($L30="","",N(INDEX('NHẬP ĐƠN HÀNG'!$R$6:$R$505,$L30)))</f>
        <v/>
      </c>
      <c r="J30" s="10" t="str">
        <f aca="false">IF($L30="","",IF(INDEX('NHẬP ĐƠN HÀNG'!$U$6:$U$505,$L30)="","",INDEX('NHẬP ĐƠN HÀNG'!$U$6:$U$505,$L30)))</f>
        <v/>
      </c>
      <c r="K30" s="16" t="str">
        <f aca="false">IF($L30="","",IF(INDEX('NHẬP ĐƠN HÀNG'!$W$6:$W$505,$L30)="","",INDEX('NHẬP ĐƠN HÀNG'!$W$6:$W$505,$L30)))</f>
        <v/>
      </c>
      <c r="L30" s="0" t="str">
        <f aca="false">IFERROR(MATCH(25,'NHẬP ĐƠN HÀNG'!$AA$6:$AA$505,0),"")</f>
        <v/>
      </c>
    </row>
    <row r="31" customFormat="false" ht="15" hidden="false" customHeight="false" outlineLevel="0" collapsed="false">
      <c r="A31" s="16" t="str">
        <f aca="false">IF($L31="","",26)</f>
        <v/>
      </c>
      <c r="B31" s="34" t="str">
        <f aca="false">IF($L31="","",IF(INDEX('NHẬP ĐƠN HÀNG'!$B$6:$B$505,$L31)="","",INDEX('NHẬP ĐƠN HÀNG'!$B$6:$B$505,$L31)))</f>
        <v/>
      </c>
      <c r="C31" s="16" t="str">
        <f aca="false">IF($L31="","",IF(INDEX('NHẬP ĐƠN HÀNG'!$C$6:$C$505,$L31)="","",INDEX('NHẬP ĐƠN HÀNG'!$C$6:$C$505,$L31)))</f>
        <v/>
      </c>
      <c r="D31" s="16" t="str">
        <f aca="false">IF($L31="","",IF(INDEX('NHẬP ĐƠN HÀNG'!$D$6:$D$505,$L31)="","",INDEX('NHẬP ĐƠN HÀNG'!$D$6:$D$505,$L31)))</f>
        <v/>
      </c>
      <c r="E31" s="16" t="str">
        <f aca="false">IF($L31="","",IF(INDEX('NHẬP ĐƠN HÀNG'!$H$6:$H$505,$L31)="","",INDEX('NHẬP ĐƠN HÀNG'!$H$6:$H$505,$L31)))</f>
        <v/>
      </c>
      <c r="F31" s="10" t="str">
        <f aca="false">IF($L31="","",N(INDEX('NHẬP ĐƠN HÀNG'!$I$6:$I$505,$L31)))</f>
        <v/>
      </c>
      <c r="G31" s="10" t="str">
        <f aca="false">IF($L31="","",N(INDEX('NHẬP ĐƠN HÀNG'!$L$6:$L$505,$L31)))</f>
        <v/>
      </c>
      <c r="H31" s="10" t="str">
        <f aca="false">IF($L31="","",N(INDEX('NHẬP ĐƠN HÀNG'!$Q$6:$Q$505,$L31)))</f>
        <v/>
      </c>
      <c r="I31" s="10" t="str">
        <f aca="false">IF($L31="","",N(INDEX('NHẬP ĐƠN HÀNG'!$R$6:$R$505,$L31)))</f>
        <v/>
      </c>
      <c r="J31" s="10" t="str">
        <f aca="false">IF($L31="","",IF(INDEX('NHẬP ĐƠN HÀNG'!$U$6:$U$505,$L31)="","",INDEX('NHẬP ĐƠN HÀNG'!$U$6:$U$505,$L31)))</f>
        <v/>
      </c>
      <c r="K31" s="16" t="str">
        <f aca="false">IF($L31="","",IF(INDEX('NHẬP ĐƠN HÀNG'!$W$6:$W$505,$L31)="","",INDEX('NHẬP ĐƠN HÀNG'!$W$6:$W$505,$L31)))</f>
        <v/>
      </c>
      <c r="L31" s="0" t="str">
        <f aca="false">IFERROR(MATCH(26,'NHẬP ĐƠN HÀNG'!$AA$6:$AA$505,0),"")</f>
        <v/>
      </c>
    </row>
    <row r="32" customFormat="false" ht="15" hidden="false" customHeight="false" outlineLevel="0" collapsed="false">
      <c r="A32" s="16" t="str">
        <f aca="false">IF($L32="","",27)</f>
        <v/>
      </c>
      <c r="B32" s="34" t="str">
        <f aca="false">IF($L32="","",IF(INDEX('NHẬP ĐƠN HÀNG'!$B$6:$B$505,$L32)="","",INDEX('NHẬP ĐƠN HÀNG'!$B$6:$B$505,$L32)))</f>
        <v/>
      </c>
      <c r="C32" s="16" t="str">
        <f aca="false">IF($L32="","",IF(INDEX('NHẬP ĐƠN HÀNG'!$C$6:$C$505,$L32)="","",INDEX('NHẬP ĐƠN HÀNG'!$C$6:$C$505,$L32)))</f>
        <v/>
      </c>
      <c r="D32" s="16" t="str">
        <f aca="false">IF($L32="","",IF(INDEX('NHẬP ĐƠN HÀNG'!$D$6:$D$505,$L32)="","",INDEX('NHẬP ĐƠN HÀNG'!$D$6:$D$505,$L32)))</f>
        <v/>
      </c>
      <c r="E32" s="16" t="str">
        <f aca="false">IF($L32="","",IF(INDEX('NHẬP ĐƠN HÀNG'!$H$6:$H$505,$L32)="","",INDEX('NHẬP ĐƠN HÀNG'!$H$6:$H$505,$L32)))</f>
        <v/>
      </c>
      <c r="F32" s="10" t="str">
        <f aca="false">IF($L32="","",N(INDEX('NHẬP ĐƠN HÀNG'!$I$6:$I$505,$L32)))</f>
        <v/>
      </c>
      <c r="G32" s="10" t="str">
        <f aca="false">IF($L32="","",N(INDEX('NHẬP ĐƠN HÀNG'!$L$6:$L$505,$L32)))</f>
        <v/>
      </c>
      <c r="H32" s="10" t="str">
        <f aca="false">IF($L32="","",N(INDEX('NHẬP ĐƠN HÀNG'!$Q$6:$Q$505,$L32)))</f>
        <v/>
      </c>
      <c r="I32" s="10" t="str">
        <f aca="false">IF($L32="","",N(INDEX('NHẬP ĐƠN HÀNG'!$R$6:$R$505,$L32)))</f>
        <v/>
      </c>
      <c r="J32" s="10" t="str">
        <f aca="false">IF($L32="","",IF(INDEX('NHẬP ĐƠN HÀNG'!$U$6:$U$505,$L32)="","",INDEX('NHẬP ĐƠN HÀNG'!$U$6:$U$505,$L32)))</f>
        <v/>
      </c>
      <c r="K32" s="16" t="str">
        <f aca="false">IF($L32="","",IF(INDEX('NHẬP ĐƠN HÀNG'!$W$6:$W$505,$L32)="","",INDEX('NHẬP ĐƠN HÀNG'!$W$6:$W$505,$L32)))</f>
        <v/>
      </c>
      <c r="L32" s="0" t="str">
        <f aca="false">IFERROR(MATCH(27,'NHẬP ĐƠN HÀNG'!$AA$6:$AA$505,0),"")</f>
        <v/>
      </c>
    </row>
    <row r="33" customFormat="false" ht="15" hidden="false" customHeight="false" outlineLevel="0" collapsed="false">
      <c r="A33" s="16" t="str">
        <f aca="false">IF($L33="","",28)</f>
        <v/>
      </c>
      <c r="B33" s="34" t="str">
        <f aca="false">IF($L33="","",IF(INDEX('NHẬP ĐƠN HÀNG'!$B$6:$B$505,$L33)="","",INDEX('NHẬP ĐƠN HÀNG'!$B$6:$B$505,$L33)))</f>
        <v/>
      </c>
      <c r="C33" s="16" t="str">
        <f aca="false">IF($L33="","",IF(INDEX('NHẬP ĐƠN HÀNG'!$C$6:$C$505,$L33)="","",INDEX('NHẬP ĐƠN HÀNG'!$C$6:$C$505,$L33)))</f>
        <v/>
      </c>
      <c r="D33" s="16" t="str">
        <f aca="false">IF($L33="","",IF(INDEX('NHẬP ĐƠN HÀNG'!$D$6:$D$505,$L33)="","",INDEX('NHẬP ĐƠN HÀNG'!$D$6:$D$505,$L33)))</f>
        <v/>
      </c>
      <c r="E33" s="16" t="str">
        <f aca="false">IF($L33="","",IF(INDEX('NHẬP ĐƠN HÀNG'!$H$6:$H$505,$L33)="","",INDEX('NHẬP ĐƠN HÀNG'!$H$6:$H$505,$L33)))</f>
        <v/>
      </c>
      <c r="F33" s="10" t="str">
        <f aca="false">IF($L33="","",N(INDEX('NHẬP ĐƠN HÀNG'!$I$6:$I$505,$L33)))</f>
        <v/>
      </c>
      <c r="G33" s="10" t="str">
        <f aca="false">IF($L33="","",N(INDEX('NHẬP ĐƠN HÀNG'!$L$6:$L$505,$L33)))</f>
        <v/>
      </c>
      <c r="H33" s="10" t="str">
        <f aca="false">IF($L33="","",N(INDEX('NHẬP ĐƠN HÀNG'!$Q$6:$Q$505,$L33)))</f>
        <v/>
      </c>
      <c r="I33" s="10" t="str">
        <f aca="false">IF($L33="","",N(INDEX('NHẬP ĐƠN HÀNG'!$R$6:$R$505,$L33)))</f>
        <v/>
      </c>
      <c r="J33" s="10" t="str">
        <f aca="false">IF($L33="","",IF(INDEX('NHẬP ĐƠN HÀNG'!$U$6:$U$505,$L33)="","",INDEX('NHẬP ĐƠN HÀNG'!$U$6:$U$505,$L33)))</f>
        <v/>
      </c>
      <c r="K33" s="16" t="str">
        <f aca="false">IF($L33="","",IF(INDEX('NHẬP ĐƠN HÀNG'!$W$6:$W$505,$L33)="","",INDEX('NHẬP ĐƠN HÀNG'!$W$6:$W$505,$L33)))</f>
        <v/>
      </c>
      <c r="L33" s="0" t="str">
        <f aca="false">IFERROR(MATCH(28,'NHẬP ĐƠN HÀNG'!$AA$6:$AA$505,0),"")</f>
        <v/>
      </c>
    </row>
    <row r="34" customFormat="false" ht="15" hidden="false" customHeight="false" outlineLevel="0" collapsed="false">
      <c r="A34" s="16" t="str">
        <f aca="false">IF($L34="","",29)</f>
        <v/>
      </c>
      <c r="B34" s="34" t="str">
        <f aca="false">IF($L34="","",IF(INDEX('NHẬP ĐƠN HÀNG'!$B$6:$B$505,$L34)="","",INDEX('NHẬP ĐƠN HÀNG'!$B$6:$B$505,$L34)))</f>
        <v/>
      </c>
      <c r="C34" s="16" t="str">
        <f aca="false">IF($L34="","",IF(INDEX('NHẬP ĐƠN HÀNG'!$C$6:$C$505,$L34)="","",INDEX('NHẬP ĐƠN HÀNG'!$C$6:$C$505,$L34)))</f>
        <v/>
      </c>
      <c r="D34" s="16" t="str">
        <f aca="false">IF($L34="","",IF(INDEX('NHẬP ĐƠN HÀNG'!$D$6:$D$505,$L34)="","",INDEX('NHẬP ĐƠN HÀNG'!$D$6:$D$505,$L34)))</f>
        <v/>
      </c>
      <c r="E34" s="16" t="str">
        <f aca="false">IF($L34="","",IF(INDEX('NHẬP ĐƠN HÀNG'!$H$6:$H$505,$L34)="","",INDEX('NHẬP ĐƠN HÀNG'!$H$6:$H$505,$L34)))</f>
        <v/>
      </c>
      <c r="F34" s="10" t="str">
        <f aca="false">IF($L34="","",N(INDEX('NHẬP ĐƠN HÀNG'!$I$6:$I$505,$L34)))</f>
        <v/>
      </c>
      <c r="G34" s="10" t="str">
        <f aca="false">IF($L34="","",N(INDEX('NHẬP ĐƠN HÀNG'!$L$6:$L$505,$L34)))</f>
        <v/>
      </c>
      <c r="H34" s="10" t="str">
        <f aca="false">IF($L34="","",N(INDEX('NHẬP ĐƠN HÀNG'!$Q$6:$Q$505,$L34)))</f>
        <v/>
      </c>
      <c r="I34" s="10" t="str">
        <f aca="false">IF($L34="","",N(INDEX('NHẬP ĐƠN HÀNG'!$R$6:$R$505,$L34)))</f>
        <v/>
      </c>
      <c r="J34" s="10" t="str">
        <f aca="false">IF($L34="","",IF(INDEX('NHẬP ĐƠN HÀNG'!$U$6:$U$505,$L34)="","",INDEX('NHẬP ĐƠN HÀNG'!$U$6:$U$505,$L34)))</f>
        <v/>
      </c>
      <c r="K34" s="16" t="str">
        <f aca="false">IF($L34="","",IF(INDEX('NHẬP ĐƠN HÀNG'!$W$6:$W$505,$L34)="","",INDEX('NHẬP ĐƠN HÀNG'!$W$6:$W$505,$L34)))</f>
        <v/>
      </c>
      <c r="L34" s="0" t="str">
        <f aca="false">IFERROR(MATCH(29,'NHẬP ĐƠN HÀNG'!$AA$6:$AA$505,0),"")</f>
        <v/>
      </c>
    </row>
    <row r="35" customFormat="false" ht="15" hidden="false" customHeight="false" outlineLevel="0" collapsed="false">
      <c r="A35" s="16" t="str">
        <f aca="false">IF($L35="","",30)</f>
        <v/>
      </c>
      <c r="B35" s="34" t="str">
        <f aca="false">IF($L35="","",IF(INDEX('NHẬP ĐƠN HÀNG'!$B$6:$B$505,$L35)="","",INDEX('NHẬP ĐƠN HÀNG'!$B$6:$B$505,$L35)))</f>
        <v/>
      </c>
      <c r="C35" s="16" t="str">
        <f aca="false">IF($L35="","",IF(INDEX('NHẬP ĐƠN HÀNG'!$C$6:$C$505,$L35)="","",INDEX('NHẬP ĐƠN HÀNG'!$C$6:$C$505,$L35)))</f>
        <v/>
      </c>
      <c r="D35" s="16" t="str">
        <f aca="false">IF($L35="","",IF(INDEX('NHẬP ĐƠN HÀNG'!$D$6:$D$505,$L35)="","",INDEX('NHẬP ĐƠN HÀNG'!$D$6:$D$505,$L35)))</f>
        <v/>
      </c>
      <c r="E35" s="16" t="str">
        <f aca="false">IF($L35="","",IF(INDEX('NHẬP ĐƠN HÀNG'!$H$6:$H$505,$L35)="","",INDEX('NHẬP ĐƠN HÀNG'!$H$6:$H$505,$L35)))</f>
        <v/>
      </c>
      <c r="F35" s="10" t="str">
        <f aca="false">IF($L35="","",N(INDEX('NHẬP ĐƠN HÀNG'!$I$6:$I$505,$L35)))</f>
        <v/>
      </c>
      <c r="G35" s="10" t="str">
        <f aca="false">IF($L35="","",N(INDEX('NHẬP ĐƠN HÀNG'!$L$6:$L$505,$L35)))</f>
        <v/>
      </c>
      <c r="H35" s="10" t="str">
        <f aca="false">IF($L35="","",N(INDEX('NHẬP ĐƠN HÀNG'!$Q$6:$Q$505,$L35)))</f>
        <v/>
      </c>
      <c r="I35" s="10" t="str">
        <f aca="false">IF($L35="","",N(INDEX('NHẬP ĐƠN HÀNG'!$R$6:$R$505,$L35)))</f>
        <v/>
      </c>
      <c r="J35" s="10" t="str">
        <f aca="false">IF($L35="","",IF(INDEX('NHẬP ĐƠN HÀNG'!$U$6:$U$505,$L35)="","",INDEX('NHẬP ĐƠN HÀNG'!$U$6:$U$505,$L35)))</f>
        <v/>
      </c>
      <c r="K35" s="16" t="str">
        <f aca="false">IF($L35="","",IF(INDEX('NHẬP ĐƠN HÀNG'!$W$6:$W$505,$L35)="","",INDEX('NHẬP ĐƠN HÀNG'!$W$6:$W$505,$L35)))</f>
        <v/>
      </c>
      <c r="L35" s="0" t="str">
        <f aca="false">IFERROR(MATCH(30,'NHẬP ĐƠN HÀNG'!$AA$6:$AA$505,0),"")</f>
        <v/>
      </c>
    </row>
    <row r="36" customFormat="false" ht="15" hidden="false" customHeight="false" outlineLevel="0" collapsed="false">
      <c r="A36" s="16" t="str">
        <f aca="false">IF($L36="","",31)</f>
        <v/>
      </c>
      <c r="B36" s="34" t="str">
        <f aca="false">IF($L36="","",IF(INDEX('NHẬP ĐƠN HÀNG'!$B$6:$B$505,$L36)="","",INDEX('NHẬP ĐƠN HÀNG'!$B$6:$B$505,$L36)))</f>
        <v/>
      </c>
      <c r="C36" s="16" t="str">
        <f aca="false">IF($L36="","",IF(INDEX('NHẬP ĐƠN HÀNG'!$C$6:$C$505,$L36)="","",INDEX('NHẬP ĐƠN HÀNG'!$C$6:$C$505,$L36)))</f>
        <v/>
      </c>
      <c r="D36" s="16" t="str">
        <f aca="false">IF($L36="","",IF(INDEX('NHẬP ĐƠN HÀNG'!$D$6:$D$505,$L36)="","",INDEX('NHẬP ĐƠN HÀNG'!$D$6:$D$505,$L36)))</f>
        <v/>
      </c>
      <c r="E36" s="16" t="str">
        <f aca="false">IF($L36="","",IF(INDEX('NHẬP ĐƠN HÀNG'!$H$6:$H$505,$L36)="","",INDEX('NHẬP ĐƠN HÀNG'!$H$6:$H$505,$L36)))</f>
        <v/>
      </c>
      <c r="F36" s="10" t="str">
        <f aca="false">IF($L36="","",N(INDEX('NHẬP ĐƠN HÀNG'!$I$6:$I$505,$L36)))</f>
        <v/>
      </c>
      <c r="G36" s="10" t="str">
        <f aca="false">IF($L36="","",N(INDEX('NHẬP ĐƠN HÀNG'!$L$6:$L$505,$L36)))</f>
        <v/>
      </c>
      <c r="H36" s="10" t="str">
        <f aca="false">IF($L36="","",N(INDEX('NHẬP ĐƠN HÀNG'!$Q$6:$Q$505,$L36)))</f>
        <v/>
      </c>
      <c r="I36" s="10" t="str">
        <f aca="false">IF($L36="","",N(INDEX('NHẬP ĐƠN HÀNG'!$R$6:$R$505,$L36)))</f>
        <v/>
      </c>
      <c r="J36" s="10" t="str">
        <f aca="false">IF($L36="","",IF(INDEX('NHẬP ĐƠN HÀNG'!$U$6:$U$505,$L36)="","",INDEX('NHẬP ĐƠN HÀNG'!$U$6:$U$505,$L36)))</f>
        <v/>
      </c>
      <c r="K36" s="16" t="str">
        <f aca="false">IF($L36="","",IF(INDEX('NHẬP ĐƠN HÀNG'!$W$6:$W$505,$L36)="","",INDEX('NHẬP ĐƠN HÀNG'!$W$6:$W$505,$L36)))</f>
        <v/>
      </c>
      <c r="L36" s="0" t="str">
        <f aca="false">IFERROR(MATCH(31,'NHẬP ĐƠN HÀNG'!$AA$6:$AA$505,0),"")</f>
        <v/>
      </c>
    </row>
    <row r="37" customFormat="false" ht="15" hidden="false" customHeight="false" outlineLevel="0" collapsed="false">
      <c r="A37" s="16" t="str">
        <f aca="false">IF($L37="","",32)</f>
        <v/>
      </c>
      <c r="B37" s="34" t="str">
        <f aca="false">IF($L37="","",IF(INDEX('NHẬP ĐƠN HÀNG'!$B$6:$B$505,$L37)="","",INDEX('NHẬP ĐƠN HÀNG'!$B$6:$B$505,$L37)))</f>
        <v/>
      </c>
      <c r="C37" s="16" t="str">
        <f aca="false">IF($L37="","",IF(INDEX('NHẬP ĐƠN HÀNG'!$C$6:$C$505,$L37)="","",INDEX('NHẬP ĐƠN HÀNG'!$C$6:$C$505,$L37)))</f>
        <v/>
      </c>
      <c r="D37" s="16" t="str">
        <f aca="false">IF($L37="","",IF(INDEX('NHẬP ĐƠN HÀNG'!$D$6:$D$505,$L37)="","",INDEX('NHẬP ĐƠN HÀNG'!$D$6:$D$505,$L37)))</f>
        <v/>
      </c>
      <c r="E37" s="16" t="str">
        <f aca="false">IF($L37="","",IF(INDEX('NHẬP ĐƠN HÀNG'!$H$6:$H$505,$L37)="","",INDEX('NHẬP ĐƠN HÀNG'!$H$6:$H$505,$L37)))</f>
        <v/>
      </c>
      <c r="F37" s="10" t="str">
        <f aca="false">IF($L37="","",N(INDEX('NHẬP ĐƠN HÀNG'!$I$6:$I$505,$L37)))</f>
        <v/>
      </c>
      <c r="G37" s="10" t="str">
        <f aca="false">IF($L37="","",N(INDEX('NHẬP ĐƠN HÀNG'!$L$6:$L$505,$L37)))</f>
        <v/>
      </c>
      <c r="H37" s="10" t="str">
        <f aca="false">IF($L37="","",N(INDEX('NHẬP ĐƠN HÀNG'!$Q$6:$Q$505,$L37)))</f>
        <v/>
      </c>
      <c r="I37" s="10" t="str">
        <f aca="false">IF($L37="","",N(INDEX('NHẬP ĐƠN HÀNG'!$R$6:$R$505,$L37)))</f>
        <v/>
      </c>
      <c r="J37" s="10" t="str">
        <f aca="false">IF($L37="","",IF(INDEX('NHẬP ĐƠN HÀNG'!$U$6:$U$505,$L37)="","",INDEX('NHẬP ĐƠN HÀNG'!$U$6:$U$505,$L37)))</f>
        <v/>
      </c>
      <c r="K37" s="16" t="str">
        <f aca="false">IF($L37="","",IF(INDEX('NHẬP ĐƠN HÀNG'!$W$6:$W$505,$L37)="","",INDEX('NHẬP ĐƠN HÀNG'!$W$6:$W$505,$L37)))</f>
        <v/>
      </c>
      <c r="L37" s="0" t="str">
        <f aca="false">IFERROR(MATCH(32,'NHẬP ĐƠN HÀNG'!$AA$6:$AA$505,0),"")</f>
        <v/>
      </c>
    </row>
    <row r="38" customFormat="false" ht="15" hidden="false" customHeight="false" outlineLevel="0" collapsed="false">
      <c r="A38" s="16" t="str">
        <f aca="false">IF($L38="","",33)</f>
        <v/>
      </c>
      <c r="B38" s="34" t="str">
        <f aca="false">IF($L38="","",IF(INDEX('NHẬP ĐƠN HÀNG'!$B$6:$B$505,$L38)="","",INDEX('NHẬP ĐƠN HÀNG'!$B$6:$B$505,$L38)))</f>
        <v/>
      </c>
      <c r="C38" s="16" t="str">
        <f aca="false">IF($L38="","",IF(INDEX('NHẬP ĐƠN HÀNG'!$C$6:$C$505,$L38)="","",INDEX('NHẬP ĐƠN HÀNG'!$C$6:$C$505,$L38)))</f>
        <v/>
      </c>
      <c r="D38" s="16" t="str">
        <f aca="false">IF($L38="","",IF(INDEX('NHẬP ĐƠN HÀNG'!$D$6:$D$505,$L38)="","",INDEX('NHẬP ĐƠN HÀNG'!$D$6:$D$505,$L38)))</f>
        <v/>
      </c>
      <c r="E38" s="16" t="str">
        <f aca="false">IF($L38="","",IF(INDEX('NHẬP ĐƠN HÀNG'!$H$6:$H$505,$L38)="","",INDEX('NHẬP ĐƠN HÀNG'!$H$6:$H$505,$L38)))</f>
        <v/>
      </c>
      <c r="F38" s="10" t="str">
        <f aca="false">IF($L38="","",N(INDEX('NHẬP ĐƠN HÀNG'!$I$6:$I$505,$L38)))</f>
        <v/>
      </c>
      <c r="G38" s="10" t="str">
        <f aca="false">IF($L38="","",N(INDEX('NHẬP ĐƠN HÀNG'!$L$6:$L$505,$L38)))</f>
        <v/>
      </c>
      <c r="H38" s="10" t="str">
        <f aca="false">IF($L38="","",N(INDEX('NHẬP ĐƠN HÀNG'!$Q$6:$Q$505,$L38)))</f>
        <v/>
      </c>
      <c r="I38" s="10" t="str">
        <f aca="false">IF($L38="","",N(INDEX('NHẬP ĐƠN HÀNG'!$R$6:$R$505,$L38)))</f>
        <v/>
      </c>
      <c r="J38" s="10" t="str">
        <f aca="false">IF($L38="","",IF(INDEX('NHẬP ĐƠN HÀNG'!$U$6:$U$505,$L38)="","",INDEX('NHẬP ĐƠN HÀNG'!$U$6:$U$505,$L38)))</f>
        <v/>
      </c>
      <c r="K38" s="16" t="str">
        <f aca="false">IF($L38="","",IF(INDEX('NHẬP ĐƠN HÀNG'!$W$6:$W$505,$L38)="","",INDEX('NHẬP ĐƠN HÀNG'!$W$6:$W$505,$L38)))</f>
        <v/>
      </c>
      <c r="L38" s="0" t="str">
        <f aca="false">IFERROR(MATCH(33,'NHẬP ĐƠN HÀNG'!$AA$6:$AA$505,0),"")</f>
        <v/>
      </c>
    </row>
    <row r="39" customFormat="false" ht="15" hidden="false" customHeight="false" outlineLevel="0" collapsed="false">
      <c r="A39" s="16" t="str">
        <f aca="false">IF($L39="","",34)</f>
        <v/>
      </c>
      <c r="B39" s="34" t="str">
        <f aca="false">IF($L39="","",IF(INDEX('NHẬP ĐƠN HÀNG'!$B$6:$B$505,$L39)="","",INDEX('NHẬP ĐƠN HÀNG'!$B$6:$B$505,$L39)))</f>
        <v/>
      </c>
      <c r="C39" s="16" t="str">
        <f aca="false">IF($L39="","",IF(INDEX('NHẬP ĐƠN HÀNG'!$C$6:$C$505,$L39)="","",INDEX('NHẬP ĐƠN HÀNG'!$C$6:$C$505,$L39)))</f>
        <v/>
      </c>
      <c r="D39" s="16" t="str">
        <f aca="false">IF($L39="","",IF(INDEX('NHẬP ĐƠN HÀNG'!$D$6:$D$505,$L39)="","",INDEX('NHẬP ĐƠN HÀNG'!$D$6:$D$505,$L39)))</f>
        <v/>
      </c>
      <c r="E39" s="16" t="str">
        <f aca="false">IF($L39="","",IF(INDEX('NHẬP ĐƠN HÀNG'!$H$6:$H$505,$L39)="","",INDEX('NHẬP ĐƠN HÀNG'!$H$6:$H$505,$L39)))</f>
        <v/>
      </c>
      <c r="F39" s="10" t="str">
        <f aca="false">IF($L39="","",N(INDEX('NHẬP ĐƠN HÀNG'!$I$6:$I$505,$L39)))</f>
        <v/>
      </c>
      <c r="G39" s="10" t="str">
        <f aca="false">IF($L39="","",N(INDEX('NHẬP ĐƠN HÀNG'!$L$6:$L$505,$L39)))</f>
        <v/>
      </c>
      <c r="H39" s="10" t="str">
        <f aca="false">IF($L39="","",N(INDEX('NHẬP ĐƠN HÀNG'!$Q$6:$Q$505,$L39)))</f>
        <v/>
      </c>
      <c r="I39" s="10" t="str">
        <f aca="false">IF($L39="","",N(INDEX('NHẬP ĐƠN HÀNG'!$R$6:$R$505,$L39)))</f>
        <v/>
      </c>
      <c r="J39" s="10" t="str">
        <f aca="false">IF($L39="","",IF(INDEX('NHẬP ĐƠN HÀNG'!$U$6:$U$505,$L39)="","",INDEX('NHẬP ĐƠN HÀNG'!$U$6:$U$505,$L39)))</f>
        <v/>
      </c>
      <c r="K39" s="16" t="str">
        <f aca="false">IF($L39="","",IF(INDEX('NHẬP ĐƠN HÀNG'!$W$6:$W$505,$L39)="","",INDEX('NHẬP ĐƠN HÀNG'!$W$6:$W$505,$L39)))</f>
        <v/>
      </c>
      <c r="L39" s="0" t="str">
        <f aca="false">IFERROR(MATCH(34,'NHẬP ĐƠN HÀNG'!$AA$6:$AA$505,0),"")</f>
        <v/>
      </c>
    </row>
    <row r="40" customFormat="false" ht="15" hidden="false" customHeight="false" outlineLevel="0" collapsed="false">
      <c r="A40" s="16" t="str">
        <f aca="false">IF($L40="","",35)</f>
        <v/>
      </c>
      <c r="B40" s="34" t="str">
        <f aca="false">IF($L40="","",IF(INDEX('NHẬP ĐƠN HÀNG'!$B$6:$B$505,$L40)="","",INDEX('NHẬP ĐƠN HÀNG'!$B$6:$B$505,$L40)))</f>
        <v/>
      </c>
      <c r="C40" s="16" t="str">
        <f aca="false">IF($L40="","",IF(INDEX('NHẬP ĐƠN HÀNG'!$C$6:$C$505,$L40)="","",INDEX('NHẬP ĐƠN HÀNG'!$C$6:$C$505,$L40)))</f>
        <v/>
      </c>
      <c r="D40" s="16" t="str">
        <f aca="false">IF($L40="","",IF(INDEX('NHẬP ĐƠN HÀNG'!$D$6:$D$505,$L40)="","",INDEX('NHẬP ĐƠN HÀNG'!$D$6:$D$505,$L40)))</f>
        <v/>
      </c>
      <c r="E40" s="16" t="str">
        <f aca="false">IF($L40="","",IF(INDEX('NHẬP ĐƠN HÀNG'!$H$6:$H$505,$L40)="","",INDEX('NHẬP ĐƠN HÀNG'!$H$6:$H$505,$L40)))</f>
        <v/>
      </c>
      <c r="F40" s="10" t="str">
        <f aca="false">IF($L40="","",N(INDEX('NHẬP ĐƠN HÀNG'!$I$6:$I$505,$L40)))</f>
        <v/>
      </c>
      <c r="G40" s="10" t="str">
        <f aca="false">IF($L40="","",N(INDEX('NHẬP ĐƠN HÀNG'!$L$6:$L$505,$L40)))</f>
        <v/>
      </c>
      <c r="H40" s="10" t="str">
        <f aca="false">IF($L40="","",N(INDEX('NHẬP ĐƠN HÀNG'!$Q$6:$Q$505,$L40)))</f>
        <v/>
      </c>
      <c r="I40" s="10" t="str">
        <f aca="false">IF($L40="","",N(INDEX('NHẬP ĐƠN HÀNG'!$R$6:$R$505,$L40)))</f>
        <v/>
      </c>
      <c r="J40" s="10" t="str">
        <f aca="false">IF($L40="","",IF(INDEX('NHẬP ĐƠN HÀNG'!$U$6:$U$505,$L40)="","",INDEX('NHẬP ĐƠN HÀNG'!$U$6:$U$505,$L40)))</f>
        <v/>
      </c>
      <c r="K40" s="16" t="str">
        <f aca="false">IF($L40="","",IF(INDEX('NHẬP ĐƠN HÀNG'!$W$6:$W$505,$L40)="","",INDEX('NHẬP ĐƠN HÀNG'!$W$6:$W$505,$L40)))</f>
        <v/>
      </c>
      <c r="L40" s="0" t="str">
        <f aca="false">IFERROR(MATCH(35,'NHẬP ĐƠN HÀNG'!$AA$6:$AA$505,0),"")</f>
        <v/>
      </c>
    </row>
    <row r="41" customFormat="false" ht="15" hidden="false" customHeight="false" outlineLevel="0" collapsed="false">
      <c r="A41" s="16" t="str">
        <f aca="false">IF($L41="","",36)</f>
        <v/>
      </c>
      <c r="B41" s="34" t="str">
        <f aca="false">IF($L41="","",IF(INDEX('NHẬP ĐƠN HÀNG'!$B$6:$B$505,$L41)="","",INDEX('NHẬP ĐƠN HÀNG'!$B$6:$B$505,$L41)))</f>
        <v/>
      </c>
      <c r="C41" s="16" t="str">
        <f aca="false">IF($L41="","",IF(INDEX('NHẬP ĐƠN HÀNG'!$C$6:$C$505,$L41)="","",INDEX('NHẬP ĐƠN HÀNG'!$C$6:$C$505,$L41)))</f>
        <v/>
      </c>
      <c r="D41" s="16" t="str">
        <f aca="false">IF($L41="","",IF(INDEX('NHẬP ĐƠN HÀNG'!$D$6:$D$505,$L41)="","",INDEX('NHẬP ĐƠN HÀNG'!$D$6:$D$505,$L41)))</f>
        <v/>
      </c>
      <c r="E41" s="16" t="str">
        <f aca="false">IF($L41="","",IF(INDEX('NHẬP ĐƠN HÀNG'!$H$6:$H$505,$L41)="","",INDEX('NHẬP ĐƠN HÀNG'!$H$6:$H$505,$L41)))</f>
        <v/>
      </c>
      <c r="F41" s="10" t="str">
        <f aca="false">IF($L41="","",N(INDEX('NHẬP ĐƠN HÀNG'!$I$6:$I$505,$L41)))</f>
        <v/>
      </c>
      <c r="G41" s="10" t="str">
        <f aca="false">IF($L41="","",N(INDEX('NHẬP ĐƠN HÀNG'!$L$6:$L$505,$L41)))</f>
        <v/>
      </c>
      <c r="H41" s="10" t="str">
        <f aca="false">IF($L41="","",N(INDEX('NHẬP ĐƠN HÀNG'!$Q$6:$Q$505,$L41)))</f>
        <v/>
      </c>
      <c r="I41" s="10" t="str">
        <f aca="false">IF($L41="","",N(INDEX('NHẬP ĐƠN HÀNG'!$R$6:$R$505,$L41)))</f>
        <v/>
      </c>
      <c r="J41" s="10" t="str">
        <f aca="false">IF($L41="","",IF(INDEX('NHẬP ĐƠN HÀNG'!$U$6:$U$505,$L41)="","",INDEX('NHẬP ĐƠN HÀNG'!$U$6:$U$505,$L41)))</f>
        <v/>
      </c>
      <c r="K41" s="16" t="str">
        <f aca="false">IF($L41="","",IF(INDEX('NHẬP ĐƠN HÀNG'!$W$6:$W$505,$L41)="","",INDEX('NHẬP ĐƠN HÀNG'!$W$6:$W$505,$L41)))</f>
        <v/>
      </c>
      <c r="L41" s="0" t="str">
        <f aca="false">IFERROR(MATCH(36,'NHẬP ĐƠN HÀNG'!$AA$6:$AA$505,0),"")</f>
        <v/>
      </c>
    </row>
    <row r="42" customFormat="false" ht="15" hidden="false" customHeight="false" outlineLevel="0" collapsed="false">
      <c r="A42" s="16" t="str">
        <f aca="false">IF($L42="","",37)</f>
        <v/>
      </c>
      <c r="B42" s="34" t="str">
        <f aca="false">IF($L42="","",IF(INDEX('NHẬP ĐƠN HÀNG'!$B$6:$B$505,$L42)="","",INDEX('NHẬP ĐƠN HÀNG'!$B$6:$B$505,$L42)))</f>
        <v/>
      </c>
      <c r="C42" s="16" t="str">
        <f aca="false">IF($L42="","",IF(INDEX('NHẬP ĐƠN HÀNG'!$C$6:$C$505,$L42)="","",INDEX('NHẬP ĐƠN HÀNG'!$C$6:$C$505,$L42)))</f>
        <v/>
      </c>
      <c r="D42" s="16" t="str">
        <f aca="false">IF($L42="","",IF(INDEX('NHẬP ĐƠN HÀNG'!$D$6:$D$505,$L42)="","",INDEX('NHẬP ĐƠN HÀNG'!$D$6:$D$505,$L42)))</f>
        <v/>
      </c>
      <c r="E42" s="16" t="str">
        <f aca="false">IF($L42="","",IF(INDEX('NHẬP ĐƠN HÀNG'!$H$6:$H$505,$L42)="","",INDEX('NHẬP ĐƠN HÀNG'!$H$6:$H$505,$L42)))</f>
        <v/>
      </c>
      <c r="F42" s="10" t="str">
        <f aca="false">IF($L42="","",N(INDEX('NHẬP ĐƠN HÀNG'!$I$6:$I$505,$L42)))</f>
        <v/>
      </c>
      <c r="G42" s="10" t="str">
        <f aca="false">IF($L42="","",N(INDEX('NHẬP ĐƠN HÀNG'!$L$6:$L$505,$L42)))</f>
        <v/>
      </c>
      <c r="H42" s="10" t="str">
        <f aca="false">IF($L42="","",N(INDEX('NHẬP ĐƠN HÀNG'!$Q$6:$Q$505,$L42)))</f>
        <v/>
      </c>
      <c r="I42" s="10" t="str">
        <f aca="false">IF($L42="","",N(INDEX('NHẬP ĐƠN HÀNG'!$R$6:$R$505,$L42)))</f>
        <v/>
      </c>
      <c r="J42" s="10" t="str">
        <f aca="false">IF($L42="","",IF(INDEX('NHẬP ĐƠN HÀNG'!$U$6:$U$505,$L42)="","",INDEX('NHẬP ĐƠN HÀNG'!$U$6:$U$505,$L42)))</f>
        <v/>
      </c>
      <c r="K42" s="16" t="str">
        <f aca="false">IF($L42="","",IF(INDEX('NHẬP ĐƠN HÀNG'!$W$6:$W$505,$L42)="","",INDEX('NHẬP ĐƠN HÀNG'!$W$6:$W$505,$L42)))</f>
        <v/>
      </c>
      <c r="L42" s="0" t="str">
        <f aca="false">IFERROR(MATCH(37,'NHẬP ĐƠN HÀNG'!$AA$6:$AA$505,0),"")</f>
        <v/>
      </c>
    </row>
    <row r="43" customFormat="false" ht="15" hidden="false" customHeight="false" outlineLevel="0" collapsed="false">
      <c r="A43" s="16" t="str">
        <f aca="false">IF($L43="","",38)</f>
        <v/>
      </c>
      <c r="B43" s="34" t="str">
        <f aca="false">IF($L43="","",IF(INDEX('NHẬP ĐƠN HÀNG'!$B$6:$B$505,$L43)="","",INDEX('NHẬP ĐƠN HÀNG'!$B$6:$B$505,$L43)))</f>
        <v/>
      </c>
      <c r="C43" s="16" t="str">
        <f aca="false">IF($L43="","",IF(INDEX('NHẬP ĐƠN HÀNG'!$C$6:$C$505,$L43)="","",INDEX('NHẬP ĐƠN HÀNG'!$C$6:$C$505,$L43)))</f>
        <v/>
      </c>
      <c r="D43" s="16" t="str">
        <f aca="false">IF($L43="","",IF(INDEX('NHẬP ĐƠN HÀNG'!$D$6:$D$505,$L43)="","",INDEX('NHẬP ĐƠN HÀNG'!$D$6:$D$505,$L43)))</f>
        <v/>
      </c>
      <c r="E43" s="16" t="str">
        <f aca="false">IF($L43="","",IF(INDEX('NHẬP ĐƠN HÀNG'!$H$6:$H$505,$L43)="","",INDEX('NHẬP ĐƠN HÀNG'!$H$6:$H$505,$L43)))</f>
        <v/>
      </c>
      <c r="F43" s="10" t="str">
        <f aca="false">IF($L43="","",N(INDEX('NHẬP ĐƠN HÀNG'!$I$6:$I$505,$L43)))</f>
        <v/>
      </c>
      <c r="G43" s="10" t="str">
        <f aca="false">IF($L43="","",N(INDEX('NHẬP ĐƠN HÀNG'!$L$6:$L$505,$L43)))</f>
        <v/>
      </c>
      <c r="H43" s="10" t="str">
        <f aca="false">IF($L43="","",N(INDEX('NHẬP ĐƠN HÀNG'!$Q$6:$Q$505,$L43)))</f>
        <v/>
      </c>
      <c r="I43" s="10" t="str">
        <f aca="false">IF($L43="","",N(INDEX('NHẬP ĐƠN HÀNG'!$R$6:$R$505,$L43)))</f>
        <v/>
      </c>
      <c r="J43" s="10" t="str">
        <f aca="false">IF($L43="","",IF(INDEX('NHẬP ĐƠN HÀNG'!$U$6:$U$505,$L43)="","",INDEX('NHẬP ĐƠN HÀNG'!$U$6:$U$505,$L43)))</f>
        <v/>
      </c>
      <c r="K43" s="16" t="str">
        <f aca="false">IF($L43="","",IF(INDEX('NHẬP ĐƠN HÀNG'!$W$6:$W$505,$L43)="","",INDEX('NHẬP ĐƠN HÀNG'!$W$6:$W$505,$L43)))</f>
        <v/>
      </c>
      <c r="L43" s="0" t="str">
        <f aca="false">IFERROR(MATCH(38,'NHẬP ĐƠN HÀNG'!$AA$6:$AA$505,0),"")</f>
        <v/>
      </c>
    </row>
    <row r="44" customFormat="false" ht="15" hidden="false" customHeight="false" outlineLevel="0" collapsed="false">
      <c r="A44" s="16" t="str">
        <f aca="false">IF($L44="","",39)</f>
        <v/>
      </c>
      <c r="B44" s="34" t="str">
        <f aca="false">IF($L44="","",IF(INDEX('NHẬP ĐƠN HÀNG'!$B$6:$B$505,$L44)="","",INDEX('NHẬP ĐƠN HÀNG'!$B$6:$B$505,$L44)))</f>
        <v/>
      </c>
      <c r="C44" s="16" t="str">
        <f aca="false">IF($L44="","",IF(INDEX('NHẬP ĐƠN HÀNG'!$C$6:$C$505,$L44)="","",INDEX('NHẬP ĐƠN HÀNG'!$C$6:$C$505,$L44)))</f>
        <v/>
      </c>
      <c r="D44" s="16" t="str">
        <f aca="false">IF($L44="","",IF(INDEX('NHẬP ĐƠN HÀNG'!$D$6:$D$505,$L44)="","",INDEX('NHẬP ĐƠN HÀNG'!$D$6:$D$505,$L44)))</f>
        <v/>
      </c>
      <c r="E44" s="16" t="str">
        <f aca="false">IF($L44="","",IF(INDEX('NHẬP ĐƠN HÀNG'!$H$6:$H$505,$L44)="","",INDEX('NHẬP ĐƠN HÀNG'!$H$6:$H$505,$L44)))</f>
        <v/>
      </c>
      <c r="F44" s="10" t="str">
        <f aca="false">IF($L44="","",N(INDEX('NHẬP ĐƠN HÀNG'!$I$6:$I$505,$L44)))</f>
        <v/>
      </c>
      <c r="G44" s="10" t="str">
        <f aca="false">IF($L44="","",N(INDEX('NHẬP ĐƠN HÀNG'!$L$6:$L$505,$L44)))</f>
        <v/>
      </c>
      <c r="H44" s="10" t="str">
        <f aca="false">IF($L44="","",N(INDEX('NHẬP ĐƠN HÀNG'!$Q$6:$Q$505,$L44)))</f>
        <v/>
      </c>
      <c r="I44" s="10" t="str">
        <f aca="false">IF($L44="","",N(INDEX('NHẬP ĐƠN HÀNG'!$R$6:$R$505,$L44)))</f>
        <v/>
      </c>
      <c r="J44" s="10" t="str">
        <f aca="false">IF($L44="","",IF(INDEX('NHẬP ĐƠN HÀNG'!$U$6:$U$505,$L44)="","",INDEX('NHẬP ĐƠN HÀNG'!$U$6:$U$505,$L44)))</f>
        <v/>
      </c>
      <c r="K44" s="16" t="str">
        <f aca="false">IF($L44="","",IF(INDEX('NHẬP ĐƠN HÀNG'!$W$6:$W$505,$L44)="","",INDEX('NHẬP ĐƠN HÀNG'!$W$6:$W$505,$L44)))</f>
        <v/>
      </c>
      <c r="L44" s="0" t="str">
        <f aca="false">IFERROR(MATCH(39,'NHẬP ĐƠN HÀNG'!$AA$6:$AA$505,0),"")</f>
        <v/>
      </c>
    </row>
    <row r="45" customFormat="false" ht="15" hidden="false" customHeight="false" outlineLevel="0" collapsed="false">
      <c r="A45" s="16" t="str">
        <f aca="false">IF($L45="","",40)</f>
        <v/>
      </c>
      <c r="B45" s="34" t="str">
        <f aca="false">IF($L45="","",IF(INDEX('NHẬP ĐƠN HÀNG'!$B$6:$B$505,$L45)="","",INDEX('NHẬP ĐƠN HÀNG'!$B$6:$B$505,$L45)))</f>
        <v/>
      </c>
      <c r="C45" s="16" t="str">
        <f aca="false">IF($L45="","",IF(INDEX('NHẬP ĐƠN HÀNG'!$C$6:$C$505,$L45)="","",INDEX('NHẬP ĐƠN HÀNG'!$C$6:$C$505,$L45)))</f>
        <v/>
      </c>
      <c r="D45" s="16" t="str">
        <f aca="false">IF($L45="","",IF(INDEX('NHẬP ĐƠN HÀNG'!$D$6:$D$505,$L45)="","",INDEX('NHẬP ĐƠN HÀNG'!$D$6:$D$505,$L45)))</f>
        <v/>
      </c>
      <c r="E45" s="16" t="str">
        <f aca="false">IF($L45="","",IF(INDEX('NHẬP ĐƠN HÀNG'!$H$6:$H$505,$L45)="","",INDEX('NHẬP ĐƠN HÀNG'!$H$6:$H$505,$L45)))</f>
        <v/>
      </c>
      <c r="F45" s="10" t="str">
        <f aca="false">IF($L45="","",N(INDEX('NHẬP ĐƠN HÀNG'!$I$6:$I$505,$L45)))</f>
        <v/>
      </c>
      <c r="G45" s="10" t="str">
        <f aca="false">IF($L45="","",N(INDEX('NHẬP ĐƠN HÀNG'!$L$6:$L$505,$L45)))</f>
        <v/>
      </c>
      <c r="H45" s="10" t="str">
        <f aca="false">IF($L45="","",N(INDEX('NHẬP ĐƠN HÀNG'!$Q$6:$Q$505,$L45)))</f>
        <v/>
      </c>
      <c r="I45" s="10" t="str">
        <f aca="false">IF($L45="","",N(INDEX('NHẬP ĐƠN HÀNG'!$R$6:$R$505,$L45)))</f>
        <v/>
      </c>
      <c r="J45" s="10" t="str">
        <f aca="false">IF($L45="","",IF(INDEX('NHẬP ĐƠN HÀNG'!$U$6:$U$505,$L45)="","",INDEX('NHẬP ĐƠN HÀNG'!$U$6:$U$505,$L45)))</f>
        <v/>
      </c>
      <c r="K45" s="16" t="str">
        <f aca="false">IF($L45="","",IF(INDEX('NHẬP ĐƠN HÀNG'!$W$6:$W$505,$L45)="","",INDEX('NHẬP ĐƠN HÀNG'!$W$6:$W$505,$L45)))</f>
        <v/>
      </c>
      <c r="L45" s="0" t="str">
        <f aca="false">IFERROR(MATCH(40,'NHẬP ĐƠN HÀNG'!$AA$6:$AA$505,0),"")</f>
        <v/>
      </c>
    </row>
    <row r="46" customFormat="false" ht="15" hidden="false" customHeight="false" outlineLevel="0" collapsed="false">
      <c r="A46" s="16" t="str">
        <f aca="false">IF($L46="","",41)</f>
        <v/>
      </c>
      <c r="B46" s="34" t="str">
        <f aca="false">IF($L46="","",IF(INDEX('NHẬP ĐƠN HÀNG'!$B$6:$B$505,$L46)="","",INDEX('NHẬP ĐƠN HÀNG'!$B$6:$B$505,$L46)))</f>
        <v/>
      </c>
      <c r="C46" s="16" t="str">
        <f aca="false">IF($L46="","",IF(INDEX('NHẬP ĐƠN HÀNG'!$C$6:$C$505,$L46)="","",INDEX('NHẬP ĐƠN HÀNG'!$C$6:$C$505,$L46)))</f>
        <v/>
      </c>
      <c r="D46" s="16" t="str">
        <f aca="false">IF($L46="","",IF(INDEX('NHẬP ĐƠN HÀNG'!$D$6:$D$505,$L46)="","",INDEX('NHẬP ĐƠN HÀNG'!$D$6:$D$505,$L46)))</f>
        <v/>
      </c>
      <c r="E46" s="16" t="str">
        <f aca="false">IF($L46="","",IF(INDEX('NHẬP ĐƠN HÀNG'!$H$6:$H$505,$L46)="","",INDEX('NHẬP ĐƠN HÀNG'!$H$6:$H$505,$L46)))</f>
        <v/>
      </c>
      <c r="F46" s="10" t="str">
        <f aca="false">IF($L46="","",N(INDEX('NHẬP ĐƠN HÀNG'!$I$6:$I$505,$L46)))</f>
        <v/>
      </c>
      <c r="G46" s="10" t="str">
        <f aca="false">IF($L46="","",N(INDEX('NHẬP ĐƠN HÀNG'!$L$6:$L$505,$L46)))</f>
        <v/>
      </c>
      <c r="H46" s="10" t="str">
        <f aca="false">IF($L46="","",N(INDEX('NHẬP ĐƠN HÀNG'!$Q$6:$Q$505,$L46)))</f>
        <v/>
      </c>
      <c r="I46" s="10" t="str">
        <f aca="false">IF($L46="","",N(INDEX('NHẬP ĐƠN HÀNG'!$R$6:$R$505,$L46)))</f>
        <v/>
      </c>
      <c r="J46" s="10" t="str">
        <f aca="false">IF($L46="","",IF(INDEX('NHẬP ĐƠN HÀNG'!$U$6:$U$505,$L46)="","",INDEX('NHẬP ĐƠN HÀNG'!$U$6:$U$505,$L46)))</f>
        <v/>
      </c>
      <c r="K46" s="16" t="str">
        <f aca="false">IF($L46="","",IF(INDEX('NHẬP ĐƠN HÀNG'!$W$6:$W$505,$L46)="","",INDEX('NHẬP ĐƠN HÀNG'!$W$6:$W$505,$L46)))</f>
        <v/>
      </c>
      <c r="L46" s="0" t="str">
        <f aca="false">IFERROR(MATCH(41,'NHẬP ĐƠN HÀNG'!$AA$6:$AA$505,0),"")</f>
        <v/>
      </c>
    </row>
    <row r="47" customFormat="false" ht="15" hidden="false" customHeight="false" outlineLevel="0" collapsed="false">
      <c r="A47" s="16" t="str">
        <f aca="false">IF($L47="","",42)</f>
        <v/>
      </c>
      <c r="B47" s="34" t="str">
        <f aca="false">IF($L47="","",IF(INDEX('NHẬP ĐƠN HÀNG'!$B$6:$B$505,$L47)="","",INDEX('NHẬP ĐƠN HÀNG'!$B$6:$B$505,$L47)))</f>
        <v/>
      </c>
      <c r="C47" s="16" t="str">
        <f aca="false">IF($L47="","",IF(INDEX('NHẬP ĐƠN HÀNG'!$C$6:$C$505,$L47)="","",INDEX('NHẬP ĐƠN HÀNG'!$C$6:$C$505,$L47)))</f>
        <v/>
      </c>
      <c r="D47" s="16" t="str">
        <f aca="false">IF($L47="","",IF(INDEX('NHẬP ĐƠN HÀNG'!$D$6:$D$505,$L47)="","",INDEX('NHẬP ĐƠN HÀNG'!$D$6:$D$505,$L47)))</f>
        <v/>
      </c>
      <c r="E47" s="16" t="str">
        <f aca="false">IF($L47="","",IF(INDEX('NHẬP ĐƠN HÀNG'!$H$6:$H$505,$L47)="","",INDEX('NHẬP ĐƠN HÀNG'!$H$6:$H$505,$L47)))</f>
        <v/>
      </c>
      <c r="F47" s="10" t="str">
        <f aca="false">IF($L47="","",N(INDEX('NHẬP ĐƠN HÀNG'!$I$6:$I$505,$L47)))</f>
        <v/>
      </c>
      <c r="G47" s="10" t="str">
        <f aca="false">IF($L47="","",N(INDEX('NHẬP ĐƠN HÀNG'!$L$6:$L$505,$L47)))</f>
        <v/>
      </c>
      <c r="H47" s="10" t="str">
        <f aca="false">IF($L47="","",N(INDEX('NHẬP ĐƠN HÀNG'!$Q$6:$Q$505,$L47)))</f>
        <v/>
      </c>
      <c r="I47" s="10" t="str">
        <f aca="false">IF($L47="","",N(INDEX('NHẬP ĐƠN HÀNG'!$R$6:$R$505,$L47)))</f>
        <v/>
      </c>
      <c r="J47" s="10" t="str">
        <f aca="false">IF($L47="","",IF(INDEX('NHẬP ĐƠN HÀNG'!$U$6:$U$505,$L47)="","",INDEX('NHẬP ĐƠN HÀNG'!$U$6:$U$505,$L47)))</f>
        <v/>
      </c>
      <c r="K47" s="16" t="str">
        <f aca="false">IF($L47="","",IF(INDEX('NHẬP ĐƠN HÀNG'!$W$6:$W$505,$L47)="","",INDEX('NHẬP ĐƠN HÀNG'!$W$6:$W$505,$L47)))</f>
        <v/>
      </c>
      <c r="L47" s="0" t="str">
        <f aca="false">IFERROR(MATCH(42,'NHẬP ĐƠN HÀNG'!$AA$6:$AA$505,0),"")</f>
        <v/>
      </c>
    </row>
    <row r="48" customFormat="false" ht="15" hidden="false" customHeight="false" outlineLevel="0" collapsed="false">
      <c r="A48" s="16" t="str">
        <f aca="false">IF($L48="","",43)</f>
        <v/>
      </c>
      <c r="B48" s="34" t="str">
        <f aca="false">IF($L48="","",IF(INDEX('NHẬP ĐƠN HÀNG'!$B$6:$B$505,$L48)="","",INDEX('NHẬP ĐƠN HÀNG'!$B$6:$B$505,$L48)))</f>
        <v/>
      </c>
      <c r="C48" s="16" t="str">
        <f aca="false">IF($L48="","",IF(INDEX('NHẬP ĐƠN HÀNG'!$C$6:$C$505,$L48)="","",INDEX('NHẬP ĐƠN HÀNG'!$C$6:$C$505,$L48)))</f>
        <v/>
      </c>
      <c r="D48" s="16" t="str">
        <f aca="false">IF($L48="","",IF(INDEX('NHẬP ĐƠN HÀNG'!$D$6:$D$505,$L48)="","",INDEX('NHẬP ĐƠN HÀNG'!$D$6:$D$505,$L48)))</f>
        <v/>
      </c>
      <c r="E48" s="16" t="str">
        <f aca="false">IF($L48="","",IF(INDEX('NHẬP ĐƠN HÀNG'!$H$6:$H$505,$L48)="","",INDEX('NHẬP ĐƠN HÀNG'!$H$6:$H$505,$L48)))</f>
        <v/>
      </c>
      <c r="F48" s="10" t="str">
        <f aca="false">IF($L48="","",N(INDEX('NHẬP ĐƠN HÀNG'!$I$6:$I$505,$L48)))</f>
        <v/>
      </c>
      <c r="G48" s="10" t="str">
        <f aca="false">IF($L48="","",N(INDEX('NHẬP ĐƠN HÀNG'!$L$6:$L$505,$L48)))</f>
        <v/>
      </c>
      <c r="H48" s="10" t="str">
        <f aca="false">IF($L48="","",N(INDEX('NHẬP ĐƠN HÀNG'!$Q$6:$Q$505,$L48)))</f>
        <v/>
      </c>
      <c r="I48" s="10" t="str">
        <f aca="false">IF($L48="","",N(INDEX('NHẬP ĐƠN HÀNG'!$R$6:$R$505,$L48)))</f>
        <v/>
      </c>
      <c r="J48" s="10" t="str">
        <f aca="false">IF($L48="","",IF(INDEX('NHẬP ĐƠN HÀNG'!$U$6:$U$505,$L48)="","",INDEX('NHẬP ĐƠN HÀNG'!$U$6:$U$505,$L48)))</f>
        <v/>
      </c>
      <c r="K48" s="16" t="str">
        <f aca="false">IF($L48="","",IF(INDEX('NHẬP ĐƠN HÀNG'!$W$6:$W$505,$L48)="","",INDEX('NHẬP ĐƠN HÀNG'!$W$6:$W$505,$L48)))</f>
        <v/>
      </c>
      <c r="L48" s="0" t="str">
        <f aca="false">IFERROR(MATCH(43,'NHẬP ĐƠN HÀNG'!$AA$6:$AA$505,0),"")</f>
        <v/>
      </c>
    </row>
    <row r="49" customFormat="false" ht="15" hidden="false" customHeight="false" outlineLevel="0" collapsed="false">
      <c r="A49" s="16" t="str">
        <f aca="false">IF($L49="","",44)</f>
        <v/>
      </c>
      <c r="B49" s="34" t="str">
        <f aca="false">IF($L49="","",IF(INDEX('NHẬP ĐƠN HÀNG'!$B$6:$B$505,$L49)="","",INDEX('NHẬP ĐƠN HÀNG'!$B$6:$B$505,$L49)))</f>
        <v/>
      </c>
      <c r="C49" s="16" t="str">
        <f aca="false">IF($L49="","",IF(INDEX('NHẬP ĐƠN HÀNG'!$C$6:$C$505,$L49)="","",INDEX('NHẬP ĐƠN HÀNG'!$C$6:$C$505,$L49)))</f>
        <v/>
      </c>
      <c r="D49" s="16" t="str">
        <f aca="false">IF($L49="","",IF(INDEX('NHẬP ĐƠN HÀNG'!$D$6:$D$505,$L49)="","",INDEX('NHẬP ĐƠN HÀNG'!$D$6:$D$505,$L49)))</f>
        <v/>
      </c>
      <c r="E49" s="16" t="str">
        <f aca="false">IF($L49="","",IF(INDEX('NHẬP ĐƠN HÀNG'!$H$6:$H$505,$L49)="","",INDEX('NHẬP ĐƠN HÀNG'!$H$6:$H$505,$L49)))</f>
        <v/>
      </c>
      <c r="F49" s="10" t="str">
        <f aca="false">IF($L49="","",N(INDEX('NHẬP ĐƠN HÀNG'!$I$6:$I$505,$L49)))</f>
        <v/>
      </c>
      <c r="G49" s="10" t="str">
        <f aca="false">IF($L49="","",N(INDEX('NHẬP ĐƠN HÀNG'!$L$6:$L$505,$L49)))</f>
        <v/>
      </c>
      <c r="H49" s="10" t="str">
        <f aca="false">IF($L49="","",N(INDEX('NHẬP ĐƠN HÀNG'!$Q$6:$Q$505,$L49)))</f>
        <v/>
      </c>
      <c r="I49" s="10" t="str">
        <f aca="false">IF($L49="","",N(INDEX('NHẬP ĐƠN HÀNG'!$R$6:$R$505,$L49)))</f>
        <v/>
      </c>
      <c r="J49" s="10" t="str">
        <f aca="false">IF($L49="","",IF(INDEX('NHẬP ĐƠN HÀNG'!$U$6:$U$505,$L49)="","",INDEX('NHẬP ĐƠN HÀNG'!$U$6:$U$505,$L49)))</f>
        <v/>
      </c>
      <c r="K49" s="16" t="str">
        <f aca="false">IF($L49="","",IF(INDEX('NHẬP ĐƠN HÀNG'!$W$6:$W$505,$L49)="","",INDEX('NHẬP ĐƠN HÀNG'!$W$6:$W$505,$L49)))</f>
        <v/>
      </c>
      <c r="L49" s="0" t="str">
        <f aca="false">IFERROR(MATCH(44,'NHẬP ĐƠN HÀNG'!$AA$6:$AA$505,0),"")</f>
        <v/>
      </c>
    </row>
    <row r="50" customFormat="false" ht="15" hidden="false" customHeight="false" outlineLevel="0" collapsed="false">
      <c r="A50" s="16" t="str">
        <f aca="false">IF($L50="","",45)</f>
        <v/>
      </c>
      <c r="B50" s="34" t="str">
        <f aca="false">IF($L50="","",IF(INDEX('NHẬP ĐƠN HÀNG'!$B$6:$B$505,$L50)="","",INDEX('NHẬP ĐƠN HÀNG'!$B$6:$B$505,$L50)))</f>
        <v/>
      </c>
      <c r="C50" s="16" t="str">
        <f aca="false">IF($L50="","",IF(INDEX('NHẬP ĐƠN HÀNG'!$C$6:$C$505,$L50)="","",INDEX('NHẬP ĐƠN HÀNG'!$C$6:$C$505,$L50)))</f>
        <v/>
      </c>
      <c r="D50" s="16" t="str">
        <f aca="false">IF($L50="","",IF(INDEX('NHẬP ĐƠN HÀNG'!$D$6:$D$505,$L50)="","",INDEX('NHẬP ĐƠN HÀNG'!$D$6:$D$505,$L50)))</f>
        <v/>
      </c>
      <c r="E50" s="16" t="str">
        <f aca="false">IF($L50="","",IF(INDEX('NHẬP ĐƠN HÀNG'!$H$6:$H$505,$L50)="","",INDEX('NHẬP ĐƠN HÀNG'!$H$6:$H$505,$L50)))</f>
        <v/>
      </c>
      <c r="F50" s="10" t="str">
        <f aca="false">IF($L50="","",N(INDEX('NHẬP ĐƠN HÀNG'!$I$6:$I$505,$L50)))</f>
        <v/>
      </c>
      <c r="G50" s="10" t="str">
        <f aca="false">IF($L50="","",N(INDEX('NHẬP ĐƠN HÀNG'!$L$6:$L$505,$L50)))</f>
        <v/>
      </c>
      <c r="H50" s="10" t="str">
        <f aca="false">IF($L50="","",N(INDEX('NHẬP ĐƠN HÀNG'!$Q$6:$Q$505,$L50)))</f>
        <v/>
      </c>
      <c r="I50" s="10" t="str">
        <f aca="false">IF($L50="","",N(INDEX('NHẬP ĐƠN HÀNG'!$R$6:$R$505,$L50)))</f>
        <v/>
      </c>
      <c r="J50" s="10" t="str">
        <f aca="false">IF($L50="","",IF(INDEX('NHẬP ĐƠN HÀNG'!$U$6:$U$505,$L50)="","",INDEX('NHẬP ĐƠN HÀNG'!$U$6:$U$505,$L50)))</f>
        <v/>
      </c>
      <c r="K50" s="16" t="str">
        <f aca="false">IF($L50="","",IF(INDEX('NHẬP ĐƠN HÀNG'!$W$6:$W$505,$L50)="","",INDEX('NHẬP ĐƠN HÀNG'!$W$6:$W$505,$L50)))</f>
        <v/>
      </c>
      <c r="L50" s="0" t="str">
        <f aca="false">IFERROR(MATCH(45,'NHẬP ĐƠN HÀNG'!$AA$6:$AA$505,0),"")</f>
        <v/>
      </c>
    </row>
    <row r="51" customFormat="false" ht="15" hidden="false" customHeight="false" outlineLevel="0" collapsed="false">
      <c r="A51" s="16" t="str">
        <f aca="false">IF($L51="","",46)</f>
        <v/>
      </c>
      <c r="B51" s="34" t="str">
        <f aca="false">IF($L51="","",IF(INDEX('NHẬP ĐƠN HÀNG'!$B$6:$B$505,$L51)="","",INDEX('NHẬP ĐƠN HÀNG'!$B$6:$B$505,$L51)))</f>
        <v/>
      </c>
      <c r="C51" s="16" t="str">
        <f aca="false">IF($L51="","",IF(INDEX('NHẬP ĐƠN HÀNG'!$C$6:$C$505,$L51)="","",INDEX('NHẬP ĐƠN HÀNG'!$C$6:$C$505,$L51)))</f>
        <v/>
      </c>
      <c r="D51" s="16" t="str">
        <f aca="false">IF($L51="","",IF(INDEX('NHẬP ĐƠN HÀNG'!$D$6:$D$505,$L51)="","",INDEX('NHẬP ĐƠN HÀNG'!$D$6:$D$505,$L51)))</f>
        <v/>
      </c>
      <c r="E51" s="16" t="str">
        <f aca="false">IF($L51="","",IF(INDEX('NHẬP ĐƠN HÀNG'!$H$6:$H$505,$L51)="","",INDEX('NHẬP ĐƠN HÀNG'!$H$6:$H$505,$L51)))</f>
        <v/>
      </c>
      <c r="F51" s="10" t="str">
        <f aca="false">IF($L51="","",N(INDEX('NHẬP ĐƠN HÀNG'!$I$6:$I$505,$L51)))</f>
        <v/>
      </c>
      <c r="G51" s="10" t="str">
        <f aca="false">IF($L51="","",N(INDEX('NHẬP ĐƠN HÀNG'!$L$6:$L$505,$L51)))</f>
        <v/>
      </c>
      <c r="H51" s="10" t="str">
        <f aca="false">IF($L51="","",N(INDEX('NHẬP ĐƠN HÀNG'!$Q$6:$Q$505,$L51)))</f>
        <v/>
      </c>
      <c r="I51" s="10" t="str">
        <f aca="false">IF($L51="","",N(INDEX('NHẬP ĐƠN HÀNG'!$R$6:$R$505,$L51)))</f>
        <v/>
      </c>
      <c r="J51" s="10" t="str">
        <f aca="false">IF($L51="","",IF(INDEX('NHẬP ĐƠN HÀNG'!$U$6:$U$505,$L51)="","",INDEX('NHẬP ĐƠN HÀNG'!$U$6:$U$505,$L51)))</f>
        <v/>
      </c>
      <c r="K51" s="16" t="str">
        <f aca="false">IF($L51="","",IF(INDEX('NHẬP ĐƠN HÀNG'!$W$6:$W$505,$L51)="","",INDEX('NHẬP ĐƠN HÀNG'!$W$6:$W$505,$L51)))</f>
        <v/>
      </c>
      <c r="L51" s="0" t="str">
        <f aca="false">IFERROR(MATCH(46,'NHẬP ĐƠN HÀNG'!$AA$6:$AA$505,0),"")</f>
        <v/>
      </c>
    </row>
    <row r="52" customFormat="false" ht="15" hidden="false" customHeight="false" outlineLevel="0" collapsed="false">
      <c r="A52" s="16" t="str">
        <f aca="false">IF($L52="","",47)</f>
        <v/>
      </c>
      <c r="B52" s="34" t="str">
        <f aca="false">IF($L52="","",IF(INDEX('NHẬP ĐƠN HÀNG'!$B$6:$B$505,$L52)="","",INDEX('NHẬP ĐƠN HÀNG'!$B$6:$B$505,$L52)))</f>
        <v/>
      </c>
      <c r="C52" s="16" t="str">
        <f aca="false">IF($L52="","",IF(INDEX('NHẬP ĐƠN HÀNG'!$C$6:$C$505,$L52)="","",INDEX('NHẬP ĐƠN HÀNG'!$C$6:$C$505,$L52)))</f>
        <v/>
      </c>
      <c r="D52" s="16" t="str">
        <f aca="false">IF($L52="","",IF(INDEX('NHẬP ĐƠN HÀNG'!$D$6:$D$505,$L52)="","",INDEX('NHẬP ĐƠN HÀNG'!$D$6:$D$505,$L52)))</f>
        <v/>
      </c>
      <c r="E52" s="16" t="str">
        <f aca="false">IF($L52="","",IF(INDEX('NHẬP ĐƠN HÀNG'!$H$6:$H$505,$L52)="","",INDEX('NHẬP ĐƠN HÀNG'!$H$6:$H$505,$L52)))</f>
        <v/>
      </c>
      <c r="F52" s="10" t="str">
        <f aca="false">IF($L52="","",N(INDEX('NHẬP ĐƠN HÀNG'!$I$6:$I$505,$L52)))</f>
        <v/>
      </c>
      <c r="G52" s="10" t="str">
        <f aca="false">IF($L52="","",N(INDEX('NHẬP ĐƠN HÀNG'!$L$6:$L$505,$L52)))</f>
        <v/>
      </c>
      <c r="H52" s="10" t="str">
        <f aca="false">IF($L52="","",N(INDEX('NHẬP ĐƠN HÀNG'!$Q$6:$Q$505,$L52)))</f>
        <v/>
      </c>
      <c r="I52" s="10" t="str">
        <f aca="false">IF($L52="","",N(INDEX('NHẬP ĐƠN HÀNG'!$R$6:$R$505,$L52)))</f>
        <v/>
      </c>
      <c r="J52" s="10" t="str">
        <f aca="false">IF($L52="","",IF(INDEX('NHẬP ĐƠN HÀNG'!$U$6:$U$505,$L52)="","",INDEX('NHẬP ĐƠN HÀNG'!$U$6:$U$505,$L52)))</f>
        <v/>
      </c>
      <c r="K52" s="16" t="str">
        <f aca="false">IF($L52="","",IF(INDEX('NHẬP ĐƠN HÀNG'!$W$6:$W$505,$L52)="","",INDEX('NHẬP ĐƠN HÀNG'!$W$6:$W$505,$L52)))</f>
        <v/>
      </c>
      <c r="L52" s="0" t="str">
        <f aca="false">IFERROR(MATCH(47,'NHẬP ĐƠN HÀNG'!$AA$6:$AA$505,0),"")</f>
        <v/>
      </c>
    </row>
    <row r="53" customFormat="false" ht="15" hidden="false" customHeight="false" outlineLevel="0" collapsed="false">
      <c r="A53" s="16" t="str">
        <f aca="false">IF($L53="","",48)</f>
        <v/>
      </c>
      <c r="B53" s="34" t="str">
        <f aca="false">IF($L53="","",IF(INDEX('NHẬP ĐƠN HÀNG'!$B$6:$B$505,$L53)="","",INDEX('NHẬP ĐƠN HÀNG'!$B$6:$B$505,$L53)))</f>
        <v/>
      </c>
      <c r="C53" s="16" t="str">
        <f aca="false">IF($L53="","",IF(INDEX('NHẬP ĐƠN HÀNG'!$C$6:$C$505,$L53)="","",INDEX('NHẬP ĐƠN HÀNG'!$C$6:$C$505,$L53)))</f>
        <v/>
      </c>
      <c r="D53" s="16" t="str">
        <f aca="false">IF($L53="","",IF(INDEX('NHẬP ĐƠN HÀNG'!$D$6:$D$505,$L53)="","",INDEX('NHẬP ĐƠN HÀNG'!$D$6:$D$505,$L53)))</f>
        <v/>
      </c>
      <c r="E53" s="16" t="str">
        <f aca="false">IF($L53="","",IF(INDEX('NHẬP ĐƠN HÀNG'!$H$6:$H$505,$L53)="","",INDEX('NHẬP ĐƠN HÀNG'!$H$6:$H$505,$L53)))</f>
        <v/>
      </c>
      <c r="F53" s="10" t="str">
        <f aca="false">IF($L53="","",N(INDEX('NHẬP ĐƠN HÀNG'!$I$6:$I$505,$L53)))</f>
        <v/>
      </c>
      <c r="G53" s="10" t="str">
        <f aca="false">IF($L53="","",N(INDEX('NHẬP ĐƠN HÀNG'!$L$6:$L$505,$L53)))</f>
        <v/>
      </c>
      <c r="H53" s="10" t="str">
        <f aca="false">IF($L53="","",N(INDEX('NHẬP ĐƠN HÀNG'!$Q$6:$Q$505,$L53)))</f>
        <v/>
      </c>
      <c r="I53" s="10" t="str">
        <f aca="false">IF($L53="","",N(INDEX('NHẬP ĐƠN HÀNG'!$R$6:$R$505,$L53)))</f>
        <v/>
      </c>
      <c r="J53" s="10" t="str">
        <f aca="false">IF($L53="","",IF(INDEX('NHẬP ĐƠN HÀNG'!$U$6:$U$505,$L53)="","",INDEX('NHẬP ĐƠN HÀNG'!$U$6:$U$505,$L53)))</f>
        <v/>
      </c>
      <c r="K53" s="16" t="str">
        <f aca="false">IF($L53="","",IF(INDEX('NHẬP ĐƠN HÀNG'!$W$6:$W$505,$L53)="","",INDEX('NHẬP ĐƠN HÀNG'!$W$6:$W$505,$L53)))</f>
        <v/>
      </c>
      <c r="L53" s="0" t="str">
        <f aca="false">IFERROR(MATCH(48,'NHẬP ĐƠN HÀNG'!$AA$6:$AA$505,0),"")</f>
        <v/>
      </c>
    </row>
    <row r="54" customFormat="false" ht="15" hidden="false" customHeight="false" outlineLevel="0" collapsed="false">
      <c r="A54" s="16" t="str">
        <f aca="false">IF($L54="","",49)</f>
        <v/>
      </c>
      <c r="B54" s="34" t="str">
        <f aca="false">IF($L54="","",IF(INDEX('NHẬP ĐƠN HÀNG'!$B$6:$B$505,$L54)="","",INDEX('NHẬP ĐƠN HÀNG'!$B$6:$B$505,$L54)))</f>
        <v/>
      </c>
      <c r="C54" s="16" t="str">
        <f aca="false">IF($L54="","",IF(INDEX('NHẬP ĐƠN HÀNG'!$C$6:$C$505,$L54)="","",INDEX('NHẬP ĐƠN HÀNG'!$C$6:$C$505,$L54)))</f>
        <v/>
      </c>
      <c r="D54" s="16" t="str">
        <f aca="false">IF($L54="","",IF(INDEX('NHẬP ĐƠN HÀNG'!$D$6:$D$505,$L54)="","",INDEX('NHẬP ĐƠN HÀNG'!$D$6:$D$505,$L54)))</f>
        <v/>
      </c>
      <c r="E54" s="16" t="str">
        <f aca="false">IF($L54="","",IF(INDEX('NHẬP ĐƠN HÀNG'!$H$6:$H$505,$L54)="","",INDEX('NHẬP ĐƠN HÀNG'!$H$6:$H$505,$L54)))</f>
        <v/>
      </c>
      <c r="F54" s="10" t="str">
        <f aca="false">IF($L54="","",N(INDEX('NHẬP ĐƠN HÀNG'!$I$6:$I$505,$L54)))</f>
        <v/>
      </c>
      <c r="G54" s="10" t="str">
        <f aca="false">IF($L54="","",N(INDEX('NHẬP ĐƠN HÀNG'!$L$6:$L$505,$L54)))</f>
        <v/>
      </c>
      <c r="H54" s="10" t="str">
        <f aca="false">IF($L54="","",N(INDEX('NHẬP ĐƠN HÀNG'!$Q$6:$Q$505,$L54)))</f>
        <v/>
      </c>
      <c r="I54" s="10" t="str">
        <f aca="false">IF($L54="","",N(INDEX('NHẬP ĐƠN HÀNG'!$R$6:$R$505,$L54)))</f>
        <v/>
      </c>
      <c r="J54" s="10" t="str">
        <f aca="false">IF($L54="","",IF(INDEX('NHẬP ĐƠN HÀNG'!$U$6:$U$505,$L54)="","",INDEX('NHẬP ĐƠN HÀNG'!$U$6:$U$505,$L54)))</f>
        <v/>
      </c>
      <c r="K54" s="16" t="str">
        <f aca="false">IF($L54="","",IF(INDEX('NHẬP ĐƠN HÀNG'!$W$6:$W$505,$L54)="","",INDEX('NHẬP ĐƠN HÀNG'!$W$6:$W$505,$L54)))</f>
        <v/>
      </c>
      <c r="L54" s="0" t="str">
        <f aca="false">IFERROR(MATCH(49,'NHẬP ĐƠN HÀNG'!$AA$6:$AA$505,0),"")</f>
        <v/>
      </c>
    </row>
    <row r="55" customFormat="false" ht="15" hidden="false" customHeight="false" outlineLevel="0" collapsed="false">
      <c r="A55" s="16" t="str">
        <f aca="false">IF($L55="","",50)</f>
        <v/>
      </c>
      <c r="B55" s="34" t="str">
        <f aca="false">IF($L55="","",IF(INDEX('NHẬP ĐƠN HÀNG'!$B$6:$B$505,$L55)="","",INDEX('NHẬP ĐƠN HÀNG'!$B$6:$B$505,$L55)))</f>
        <v/>
      </c>
      <c r="C55" s="16" t="str">
        <f aca="false">IF($L55="","",IF(INDEX('NHẬP ĐƠN HÀNG'!$C$6:$C$505,$L55)="","",INDEX('NHẬP ĐƠN HÀNG'!$C$6:$C$505,$L55)))</f>
        <v/>
      </c>
      <c r="D55" s="16" t="str">
        <f aca="false">IF($L55="","",IF(INDEX('NHẬP ĐƠN HÀNG'!$D$6:$D$505,$L55)="","",INDEX('NHẬP ĐƠN HÀNG'!$D$6:$D$505,$L55)))</f>
        <v/>
      </c>
      <c r="E55" s="16" t="str">
        <f aca="false">IF($L55="","",IF(INDEX('NHẬP ĐƠN HÀNG'!$H$6:$H$505,$L55)="","",INDEX('NHẬP ĐƠN HÀNG'!$H$6:$H$505,$L55)))</f>
        <v/>
      </c>
      <c r="F55" s="10" t="str">
        <f aca="false">IF($L55="","",N(INDEX('NHẬP ĐƠN HÀNG'!$I$6:$I$505,$L55)))</f>
        <v/>
      </c>
      <c r="G55" s="10" t="str">
        <f aca="false">IF($L55="","",N(INDEX('NHẬP ĐƠN HÀNG'!$L$6:$L$505,$L55)))</f>
        <v/>
      </c>
      <c r="H55" s="10" t="str">
        <f aca="false">IF($L55="","",N(INDEX('NHẬP ĐƠN HÀNG'!$Q$6:$Q$505,$L55)))</f>
        <v/>
      </c>
      <c r="I55" s="10" t="str">
        <f aca="false">IF($L55="","",N(INDEX('NHẬP ĐƠN HÀNG'!$R$6:$R$505,$L55)))</f>
        <v/>
      </c>
      <c r="J55" s="10" t="str">
        <f aca="false">IF($L55="","",IF(INDEX('NHẬP ĐƠN HÀNG'!$U$6:$U$505,$L55)="","",INDEX('NHẬP ĐƠN HÀNG'!$U$6:$U$505,$L55)))</f>
        <v/>
      </c>
      <c r="K55" s="16" t="str">
        <f aca="false">IF($L55="","",IF(INDEX('NHẬP ĐƠN HÀNG'!$W$6:$W$505,$L55)="","",INDEX('NHẬP ĐƠN HÀNG'!$W$6:$W$505,$L55)))</f>
        <v/>
      </c>
      <c r="L55" s="0" t="str">
        <f aca="false">IFERROR(MATCH(50,'NHẬP ĐƠN HÀNG'!$AA$6:$AA$505,0),"")</f>
        <v/>
      </c>
    </row>
    <row r="56" customFormat="false" ht="15" hidden="false" customHeight="false" outlineLevel="0" collapsed="false">
      <c r="A56" s="16" t="str">
        <f aca="false">IF($L56="","",51)</f>
        <v/>
      </c>
      <c r="B56" s="34" t="str">
        <f aca="false">IF($L56="","",IF(INDEX('NHẬP ĐƠN HÀNG'!$B$6:$B$505,$L56)="","",INDEX('NHẬP ĐƠN HÀNG'!$B$6:$B$505,$L56)))</f>
        <v/>
      </c>
      <c r="C56" s="16" t="str">
        <f aca="false">IF($L56="","",IF(INDEX('NHẬP ĐƠN HÀNG'!$C$6:$C$505,$L56)="","",INDEX('NHẬP ĐƠN HÀNG'!$C$6:$C$505,$L56)))</f>
        <v/>
      </c>
      <c r="D56" s="16" t="str">
        <f aca="false">IF($L56="","",IF(INDEX('NHẬP ĐƠN HÀNG'!$D$6:$D$505,$L56)="","",INDEX('NHẬP ĐƠN HÀNG'!$D$6:$D$505,$L56)))</f>
        <v/>
      </c>
      <c r="E56" s="16" t="str">
        <f aca="false">IF($L56="","",IF(INDEX('NHẬP ĐƠN HÀNG'!$H$6:$H$505,$L56)="","",INDEX('NHẬP ĐƠN HÀNG'!$H$6:$H$505,$L56)))</f>
        <v/>
      </c>
      <c r="F56" s="10" t="str">
        <f aca="false">IF($L56="","",N(INDEX('NHẬP ĐƠN HÀNG'!$I$6:$I$505,$L56)))</f>
        <v/>
      </c>
      <c r="G56" s="10" t="str">
        <f aca="false">IF($L56="","",N(INDEX('NHẬP ĐƠN HÀNG'!$L$6:$L$505,$L56)))</f>
        <v/>
      </c>
      <c r="H56" s="10" t="str">
        <f aca="false">IF($L56="","",N(INDEX('NHẬP ĐƠN HÀNG'!$Q$6:$Q$505,$L56)))</f>
        <v/>
      </c>
      <c r="I56" s="10" t="str">
        <f aca="false">IF($L56="","",N(INDEX('NHẬP ĐƠN HÀNG'!$R$6:$R$505,$L56)))</f>
        <v/>
      </c>
      <c r="J56" s="10" t="str">
        <f aca="false">IF($L56="","",IF(INDEX('NHẬP ĐƠN HÀNG'!$U$6:$U$505,$L56)="","",INDEX('NHẬP ĐƠN HÀNG'!$U$6:$U$505,$L56)))</f>
        <v/>
      </c>
      <c r="K56" s="16" t="str">
        <f aca="false">IF($L56="","",IF(INDEX('NHẬP ĐƠN HÀNG'!$W$6:$W$505,$L56)="","",INDEX('NHẬP ĐƠN HÀNG'!$W$6:$W$505,$L56)))</f>
        <v/>
      </c>
      <c r="L56" s="0" t="str">
        <f aca="false">IFERROR(MATCH(51,'NHẬP ĐƠN HÀNG'!$AA$6:$AA$505,0),"")</f>
        <v/>
      </c>
    </row>
    <row r="57" customFormat="false" ht="15" hidden="false" customHeight="false" outlineLevel="0" collapsed="false">
      <c r="A57" s="16" t="str">
        <f aca="false">IF($L57="","",52)</f>
        <v/>
      </c>
      <c r="B57" s="34" t="str">
        <f aca="false">IF($L57="","",IF(INDEX('NHẬP ĐƠN HÀNG'!$B$6:$B$505,$L57)="","",INDEX('NHẬP ĐƠN HÀNG'!$B$6:$B$505,$L57)))</f>
        <v/>
      </c>
      <c r="C57" s="16" t="str">
        <f aca="false">IF($L57="","",IF(INDEX('NHẬP ĐƠN HÀNG'!$C$6:$C$505,$L57)="","",INDEX('NHẬP ĐƠN HÀNG'!$C$6:$C$505,$L57)))</f>
        <v/>
      </c>
      <c r="D57" s="16" t="str">
        <f aca="false">IF($L57="","",IF(INDEX('NHẬP ĐƠN HÀNG'!$D$6:$D$505,$L57)="","",INDEX('NHẬP ĐƠN HÀNG'!$D$6:$D$505,$L57)))</f>
        <v/>
      </c>
      <c r="E57" s="16" t="str">
        <f aca="false">IF($L57="","",IF(INDEX('NHẬP ĐƠN HÀNG'!$H$6:$H$505,$L57)="","",INDEX('NHẬP ĐƠN HÀNG'!$H$6:$H$505,$L57)))</f>
        <v/>
      </c>
      <c r="F57" s="10" t="str">
        <f aca="false">IF($L57="","",N(INDEX('NHẬP ĐƠN HÀNG'!$I$6:$I$505,$L57)))</f>
        <v/>
      </c>
      <c r="G57" s="10" t="str">
        <f aca="false">IF($L57="","",N(INDEX('NHẬP ĐƠN HÀNG'!$L$6:$L$505,$L57)))</f>
        <v/>
      </c>
      <c r="H57" s="10" t="str">
        <f aca="false">IF($L57="","",N(INDEX('NHẬP ĐƠN HÀNG'!$Q$6:$Q$505,$L57)))</f>
        <v/>
      </c>
      <c r="I57" s="10" t="str">
        <f aca="false">IF($L57="","",N(INDEX('NHẬP ĐƠN HÀNG'!$R$6:$R$505,$L57)))</f>
        <v/>
      </c>
      <c r="J57" s="10" t="str">
        <f aca="false">IF($L57="","",IF(INDEX('NHẬP ĐƠN HÀNG'!$U$6:$U$505,$L57)="","",INDEX('NHẬP ĐƠN HÀNG'!$U$6:$U$505,$L57)))</f>
        <v/>
      </c>
      <c r="K57" s="16" t="str">
        <f aca="false">IF($L57="","",IF(INDEX('NHẬP ĐƠN HÀNG'!$W$6:$W$505,$L57)="","",INDEX('NHẬP ĐƠN HÀNG'!$W$6:$W$505,$L57)))</f>
        <v/>
      </c>
      <c r="L57" s="0" t="str">
        <f aca="false">IFERROR(MATCH(52,'NHẬP ĐƠN HÀNG'!$AA$6:$AA$505,0),"")</f>
        <v/>
      </c>
    </row>
    <row r="58" customFormat="false" ht="15" hidden="false" customHeight="false" outlineLevel="0" collapsed="false">
      <c r="A58" s="16" t="str">
        <f aca="false">IF($L58="","",53)</f>
        <v/>
      </c>
      <c r="B58" s="34" t="str">
        <f aca="false">IF($L58="","",IF(INDEX('NHẬP ĐƠN HÀNG'!$B$6:$B$505,$L58)="","",INDEX('NHẬP ĐƠN HÀNG'!$B$6:$B$505,$L58)))</f>
        <v/>
      </c>
      <c r="C58" s="16" t="str">
        <f aca="false">IF($L58="","",IF(INDEX('NHẬP ĐƠN HÀNG'!$C$6:$C$505,$L58)="","",INDEX('NHẬP ĐƠN HÀNG'!$C$6:$C$505,$L58)))</f>
        <v/>
      </c>
      <c r="D58" s="16" t="str">
        <f aca="false">IF($L58="","",IF(INDEX('NHẬP ĐƠN HÀNG'!$D$6:$D$505,$L58)="","",INDEX('NHẬP ĐƠN HÀNG'!$D$6:$D$505,$L58)))</f>
        <v/>
      </c>
      <c r="E58" s="16" t="str">
        <f aca="false">IF($L58="","",IF(INDEX('NHẬP ĐƠN HÀNG'!$H$6:$H$505,$L58)="","",INDEX('NHẬP ĐƠN HÀNG'!$H$6:$H$505,$L58)))</f>
        <v/>
      </c>
      <c r="F58" s="10" t="str">
        <f aca="false">IF($L58="","",N(INDEX('NHẬP ĐƠN HÀNG'!$I$6:$I$505,$L58)))</f>
        <v/>
      </c>
      <c r="G58" s="10" t="str">
        <f aca="false">IF($L58="","",N(INDEX('NHẬP ĐƠN HÀNG'!$L$6:$L$505,$L58)))</f>
        <v/>
      </c>
      <c r="H58" s="10" t="str">
        <f aca="false">IF($L58="","",N(INDEX('NHẬP ĐƠN HÀNG'!$Q$6:$Q$505,$L58)))</f>
        <v/>
      </c>
      <c r="I58" s="10" t="str">
        <f aca="false">IF($L58="","",N(INDEX('NHẬP ĐƠN HÀNG'!$R$6:$R$505,$L58)))</f>
        <v/>
      </c>
      <c r="J58" s="10" t="str">
        <f aca="false">IF($L58="","",IF(INDEX('NHẬP ĐƠN HÀNG'!$U$6:$U$505,$L58)="","",INDEX('NHẬP ĐƠN HÀNG'!$U$6:$U$505,$L58)))</f>
        <v/>
      </c>
      <c r="K58" s="16" t="str">
        <f aca="false">IF($L58="","",IF(INDEX('NHẬP ĐƠN HÀNG'!$W$6:$W$505,$L58)="","",INDEX('NHẬP ĐƠN HÀNG'!$W$6:$W$505,$L58)))</f>
        <v/>
      </c>
      <c r="L58" s="0" t="str">
        <f aca="false">IFERROR(MATCH(53,'NHẬP ĐƠN HÀNG'!$AA$6:$AA$505,0),"")</f>
        <v/>
      </c>
    </row>
    <row r="59" customFormat="false" ht="15" hidden="false" customHeight="false" outlineLevel="0" collapsed="false">
      <c r="A59" s="16" t="str">
        <f aca="false">IF($L59="","",54)</f>
        <v/>
      </c>
      <c r="B59" s="34" t="str">
        <f aca="false">IF($L59="","",IF(INDEX('NHẬP ĐƠN HÀNG'!$B$6:$B$505,$L59)="","",INDEX('NHẬP ĐƠN HÀNG'!$B$6:$B$505,$L59)))</f>
        <v/>
      </c>
      <c r="C59" s="16" t="str">
        <f aca="false">IF($L59="","",IF(INDEX('NHẬP ĐƠN HÀNG'!$C$6:$C$505,$L59)="","",INDEX('NHẬP ĐƠN HÀNG'!$C$6:$C$505,$L59)))</f>
        <v/>
      </c>
      <c r="D59" s="16" t="str">
        <f aca="false">IF($L59="","",IF(INDEX('NHẬP ĐƠN HÀNG'!$D$6:$D$505,$L59)="","",INDEX('NHẬP ĐƠN HÀNG'!$D$6:$D$505,$L59)))</f>
        <v/>
      </c>
      <c r="E59" s="16" t="str">
        <f aca="false">IF($L59="","",IF(INDEX('NHẬP ĐƠN HÀNG'!$H$6:$H$505,$L59)="","",INDEX('NHẬP ĐƠN HÀNG'!$H$6:$H$505,$L59)))</f>
        <v/>
      </c>
      <c r="F59" s="10" t="str">
        <f aca="false">IF($L59="","",N(INDEX('NHẬP ĐƠN HÀNG'!$I$6:$I$505,$L59)))</f>
        <v/>
      </c>
      <c r="G59" s="10" t="str">
        <f aca="false">IF($L59="","",N(INDEX('NHẬP ĐƠN HÀNG'!$L$6:$L$505,$L59)))</f>
        <v/>
      </c>
      <c r="H59" s="10" t="str">
        <f aca="false">IF($L59="","",N(INDEX('NHẬP ĐƠN HÀNG'!$Q$6:$Q$505,$L59)))</f>
        <v/>
      </c>
      <c r="I59" s="10" t="str">
        <f aca="false">IF($L59="","",N(INDEX('NHẬP ĐƠN HÀNG'!$R$6:$R$505,$L59)))</f>
        <v/>
      </c>
      <c r="J59" s="10" t="str">
        <f aca="false">IF($L59="","",IF(INDEX('NHẬP ĐƠN HÀNG'!$U$6:$U$505,$L59)="","",INDEX('NHẬP ĐƠN HÀNG'!$U$6:$U$505,$L59)))</f>
        <v/>
      </c>
      <c r="K59" s="16" t="str">
        <f aca="false">IF($L59="","",IF(INDEX('NHẬP ĐƠN HÀNG'!$W$6:$W$505,$L59)="","",INDEX('NHẬP ĐƠN HÀNG'!$W$6:$W$505,$L59)))</f>
        <v/>
      </c>
      <c r="L59" s="0" t="str">
        <f aca="false">IFERROR(MATCH(54,'NHẬP ĐƠN HÀNG'!$AA$6:$AA$505,0),"")</f>
        <v/>
      </c>
    </row>
    <row r="60" customFormat="false" ht="15" hidden="false" customHeight="false" outlineLevel="0" collapsed="false">
      <c r="A60" s="16" t="str">
        <f aca="false">IF($L60="","",55)</f>
        <v/>
      </c>
      <c r="B60" s="34" t="str">
        <f aca="false">IF($L60="","",IF(INDEX('NHẬP ĐƠN HÀNG'!$B$6:$B$505,$L60)="","",INDEX('NHẬP ĐƠN HÀNG'!$B$6:$B$505,$L60)))</f>
        <v/>
      </c>
      <c r="C60" s="16" t="str">
        <f aca="false">IF($L60="","",IF(INDEX('NHẬP ĐƠN HÀNG'!$C$6:$C$505,$L60)="","",INDEX('NHẬP ĐƠN HÀNG'!$C$6:$C$505,$L60)))</f>
        <v/>
      </c>
      <c r="D60" s="16" t="str">
        <f aca="false">IF($L60="","",IF(INDEX('NHẬP ĐƠN HÀNG'!$D$6:$D$505,$L60)="","",INDEX('NHẬP ĐƠN HÀNG'!$D$6:$D$505,$L60)))</f>
        <v/>
      </c>
      <c r="E60" s="16" t="str">
        <f aca="false">IF($L60="","",IF(INDEX('NHẬP ĐƠN HÀNG'!$H$6:$H$505,$L60)="","",INDEX('NHẬP ĐƠN HÀNG'!$H$6:$H$505,$L60)))</f>
        <v/>
      </c>
      <c r="F60" s="10" t="str">
        <f aca="false">IF($L60="","",N(INDEX('NHẬP ĐƠN HÀNG'!$I$6:$I$505,$L60)))</f>
        <v/>
      </c>
      <c r="G60" s="10" t="str">
        <f aca="false">IF($L60="","",N(INDEX('NHẬP ĐƠN HÀNG'!$L$6:$L$505,$L60)))</f>
        <v/>
      </c>
      <c r="H60" s="10" t="str">
        <f aca="false">IF($L60="","",N(INDEX('NHẬP ĐƠN HÀNG'!$Q$6:$Q$505,$L60)))</f>
        <v/>
      </c>
      <c r="I60" s="10" t="str">
        <f aca="false">IF($L60="","",N(INDEX('NHẬP ĐƠN HÀNG'!$R$6:$R$505,$L60)))</f>
        <v/>
      </c>
      <c r="J60" s="10" t="str">
        <f aca="false">IF($L60="","",IF(INDEX('NHẬP ĐƠN HÀNG'!$U$6:$U$505,$L60)="","",INDEX('NHẬP ĐƠN HÀNG'!$U$6:$U$505,$L60)))</f>
        <v/>
      </c>
      <c r="K60" s="16" t="str">
        <f aca="false">IF($L60="","",IF(INDEX('NHẬP ĐƠN HÀNG'!$W$6:$W$505,$L60)="","",INDEX('NHẬP ĐƠN HÀNG'!$W$6:$W$505,$L60)))</f>
        <v/>
      </c>
      <c r="L60" s="0" t="str">
        <f aca="false">IFERROR(MATCH(55,'NHẬP ĐƠN HÀNG'!$AA$6:$AA$505,0),"")</f>
        <v/>
      </c>
    </row>
    <row r="61" customFormat="false" ht="15" hidden="false" customHeight="false" outlineLevel="0" collapsed="false">
      <c r="A61" s="16" t="str">
        <f aca="false">IF($L61="","",56)</f>
        <v/>
      </c>
      <c r="B61" s="34" t="str">
        <f aca="false">IF($L61="","",IF(INDEX('NHẬP ĐƠN HÀNG'!$B$6:$B$505,$L61)="","",INDEX('NHẬP ĐƠN HÀNG'!$B$6:$B$505,$L61)))</f>
        <v/>
      </c>
      <c r="C61" s="16" t="str">
        <f aca="false">IF($L61="","",IF(INDEX('NHẬP ĐƠN HÀNG'!$C$6:$C$505,$L61)="","",INDEX('NHẬP ĐƠN HÀNG'!$C$6:$C$505,$L61)))</f>
        <v/>
      </c>
      <c r="D61" s="16" t="str">
        <f aca="false">IF($L61="","",IF(INDEX('NHẬP ĐƠN HÀNG'!$D$6:$D$505,$L61)="","",INDEX('NHẬP ĐƠN HÀNG'!$D$6:$D$505,$L61)))</f>
        <v/>
      </c>
      <c r="E61" s="16" t="str">
        <f aca="false">IF($L61="","",IF(INDEX('NHẬP ĐƠN HÀNG'!$H$6:$H$505,$L61)="","",INDEX('NHẬP ĐƠN HÀNG'!$H$6:$H$505,$L61)))</f>
        <v/>
      </c>
      <c r="F61" s="10" t="str">
        <f aca="false">IF($L61="","",N(INDEX('NHẬP ĐƠN HÀNG'!$I$6:$I$505,$L61)))</f>
        <v/>
      </c>
      <c r="G61" s="10" t="str">
        <f aca="false">IF($L61="","",N(INDEX('NHẬP ĐƠN HÀNG'!$L$6:$L$505,$L61)))</f>
        <v/>
      </c>
      <c r="H61" s="10" t="str">
        <f aca="false">IF($L61="","",N(INDEX('NHẬP ĐƠN HÀNG'!$Q$6:$Q$505,$L61)))</f>
        <v/>
      </c>
      <c r="I61" s="10" t="str">
        <f aca="false">IF($L61="","",N(INDEX('NHẬP ĐƠN HÀNG'!$R$6:$R$505,$L61)))</f>
        <v/>
      </c>
      <c r="J61" s="10" t="str">
        <f aca="false">IF($L61="","",IF(INDEX('NHẬP ĐƠN HÀNG'!$U$6:$U$505,$L61)="","",INDEX('NHẬP ĐƠN HÀNG'!$U$6:$U$505,$L61)))</f>
        <v/>
      </c>
      <c r="K61" s="16" t="str">
        <f aca="false">IF($L61="","",IF(INDEX('NHẬP ĐƠN HÀNG'!$W$6:$W$505,$L61)="","",INDEX('NHẬP ĐƠN HÀNG'!$W$6:$W$505,$L61)))</f>
        <v/>
      </c>
      <c r="L61" s="0" t="str">
        <f aca="false">IFERROR(MATCH(56,'NHẬP ĐƠN HÀNG'!$AA$6:$AA$505,0),"")</f>
        <v/>
      </c>
    </row>
    <row r="62" customFormat="false" ht="15" hidden="false" customHeight="false" outlineLevel="0" collapsed="false">
      <c r="A62" s="16" t="str">
        <f aca="false">IF($L62="","",57)</f>
        <v/>
      </c>
      <c r="B62" s="34" t="str">
        <f aca="false">IF($L62="","",IF(INDEX('NHẬP ĐƠN HÀNG'!$B$6:$B$505,$L62)="","",INDEX('NHẬP ĐƠN HÀNG'!$B$6:$B$505,$L62)))</f>
        <v/>
      </c>
      <c r="C62" s="16" t="str">
        <f aca="false">IF($L62="","",IF(INDEX('NHẬP ĐƠN HÀNG'!$C$6:$C$505,$L62)="","",INDEX('NHẬP ĐƠN HÀNG'!$C$6:$C$505,$L62)))</f>
        <v/>
      </c>
      <c r="D62" s="16" t="str">
        <f aca="false">IF($L62="","",IF(INDEX('NHẬP ĐƠN HÀNG'!$D$6:$D$505,$L62)="","",INDEX('NHẬP ĐƠN HÀNG'!$D$6:$D$505,$L62)))</f>
        <v/>
      </c>
      <c r="E62" s="16" t="str">
        <f aca="false">IF($L62="","",IF(INDEX('NHẬP ĐƠN HÀNG'!$H$6:$H$505,$L62)="","",INDEX('NHẬP ĐƠN HÀNG'!$H$6:$H$505,$L62)))</f>
        <v/>
      </c>
      <c r="F62" s="10" t="str">
        <f aca="false">IF($L62="","",N(INDEX('NHẬP ĐƠN HÀNG'!$I$6:$I$505,$L62)))</f>
        <v/>
      </c>
      <c r="G62" s="10" t="str">
        <f aca="false">IF($L62="","",N(INDEX('NHẬP ĐƠN HÀNG'!$L$6:$L$505,$L62)))</f>
        <v/>
      </c>
      <c r="H62" s="10" t="str">
        <f aca="false">IF($L62="","",N(INDEX('NHẬP ĐƠN HÀNG'!$Q$6:$Q$505,$L62)))</f>
        <v/>
      </c>
      <c r="I62" s="10" t="str">
        <f aca="false">IF($L62="","",N(INDEX('NHẬP ĐƠN HÀNG'!$R$6:$R$505,$L62)))</f>
        <v/>
      </c>
      <c r="J62" s="10" t="str">
        <f aca="false">IF($L62="","",IF(INDEX('NHẬP ĐƠN HÀNG'!$U$6:$U$505,$L62)="","",INDEX('NHẬP ĐƠN HÀNG'!$U$6:$U$505,$L62)))</f>
        <v/>
      </c>
      <c r="K62" s="16" t="str">
        <f aca="false">IF($L62="","",IF(INDEX('NHẬP ĐƠN HÀNG'!$W$6:$W$505,$L62)="","",INDEX('NHẬP ĐƠN HÀNG'!$W$6:$W$505,$L62)))</f>
        <v/>
      </c>
      <c r="L62" s="0" t="str">
        <f aca="false">IFERROR(MATCH(57,'NHẬP ĐƠN HÀNG'!$AA$6:$AA$505,0),"")</f>
        <v/>
      </c>
    </row>
    <row r="63" customFormat="false" ht="15" hidden="false" customHeight="false" outlineLevel="0" collapsed="false">
      <c r="A63" s="16" t="str">
        <f aca="false">IF($L63="","",58)</f>
        <v/>
      </c>
      <c r="B63" s="34" t="str">
        <f aca="false">IF($L63="","",IF(INDEX('NHẬP ĐƠN HÀNG'!$B$6:$B$505,$L63)="","",INDEX('NHẬP ĐƠN HÀNG'!$B$6:$B$505,$L63)))</f>
        <v/>
      </c>
      <c r="C63" s="16" t="str">
        <f aca="false">IF($L63="","",IF(INDEX('NHẬP ĐƠN HÀNG'!$C$6:$C$505,$L63)="","",INDEX('NHẬP ĐƠN HÀNG'!$C$6:$C$505,$L63)))</f>
        <v/>
      </c>
      <c r="D63" s="16" t="str">
        <f aca="false">IF($L63="","",IF(INDEX('NHẬP ĐƠN HÀNG'!$D$6:$D$505,$L63)="","",INDEX('NHẬP ĐƠN HÀNG'!$D$6:$D$505,$L63)))</f>
        <v/>
      </c>
      <c r="E63" s="16" t="str">
        <f aca="false">IF($L63="","",IF(INDEX('NHẬP ĐƠN HÀNG'!$H$6:$H$505,$L63)="","",INDEX('NHẬP ĐƠN HÀNG'!$H$6:$H$505,$L63)))</f>
        <v/>
      </c>
      <c r="F63" s="10" t="str">
        <f aca="false">IF($L63="","",N(INDEX('NHẬP ĐƠN HÀNG'!$I$6:$I$505,$L63)))</f>
        <v/>
      </c>
      <c r="G63" s="10" t="str">
        <f aca="false">IF($L63="","",N(INDEX('NHẬP ĐƠN HÀNG'!$L$6:$L$505,$L63)))</f>
        <v/>
      </c>
      <c r="H63" s="10" t="str">
        <f aca="false">IF($L63="","",N(INDEX('NHẬP ĐƠN HÀNG'!$Q$6:$Q$505,$L63)))</f>
        <v/>
      </c>
      <c r="I63" s="10" t="str">
        <f aca="false">IF($L63="","",N(INDEX('NHẬP ĐƠN HÀNG'!$R$6:$R$505,$L63)))</f>
        <v/>
      </c>
      <c r="J63" s="10" t="str">
        <f aca="false">IF($L63="","",IF(INDEX('NHẬP ĐƠN HÀNG'!$U$6:$U$505,$L63)="","",INDEX('NHẬP ĐƠN HÀNG'!$U$6:$U$505,$L63)))</f>
        <v/>
      </c>
      <c r="K63" s="16" t="str">
        <f aca="false">IF($L63="","",IF(INDEX('NHẬP ĐƠN HÀNG'!$W$6:$W$505,$L63)="","",INDEX('NHẬP ĐƠN HÀNG'!$W$6:$W$505,$L63)))</f>
        <v/>
      </c>
      <c r="L63" s="0" t="str">
        <f aca="false">IFERROR(MATCH(58,'NHẬP ĐƠN HÀNG'!$AA$6:$AA$505,0),"")</f>
        <v/>
      </c>
    </row>
    <row r="64" customFormat="false" ht="15" hidden="false" customHeight="false" outlineLevel="0" collapsed="false">
      <c r="A64" s="16" t="str">
        <f aca="false">IF($L64="","",59)</f>
        <v/>
      </c>
      <c r="B64" s="34" t="str">
        <f aca="false">IF($L64="","",IF(INDEX('NHẬP ĐƠN HÀNG'!$B$6:$B$505,$L64)="","",INDEX('NHẬP ĐƠN HÀNG'!$B$6:$B$505,$L64)))</f>
        <v/>
      </c>
      <c r="C64" s="16" t="str">
        <f aca="false">IF($L64="","",IF(INDEX('NHẬP ĐƠN HÀNG'!$C$6:$C$505,$L64)="","",INDEX('NHẬP ĐƠN HÀNG'!$C$6:$C$505,$L64)))</f>
        <v/>
      </c>
      <c r="D64" s="16" t="str">
        <f aca="false">IF($L64="","",IF(INDEX('NHẬP ĐƠN HÀNG'!$D$6:$D$505,$L64)="","",INDEX('NHẬP ĐƠN HÀNG'!$D$6:$D$505,$L64)))</f>
        <v/>
      </c>
      <c r="E64" s="16" t="str">
        <f aca="false">IF($L64="","",IF(INDEX('NHẬP ĐƠN HÀNG'!$H$6:$H$505,$L64)="","",INDEX('NHẬP ĐƠN HÀNG'!$H$6:$H$505,$L64)))</f>
        <v/>
      </c>
      <c r="F64" s="10" t="str">
        <f aca="false">IF($L64="","",N(INDEX('NHẬP ĐƠN HÀNG'!$I$6:$I$505,$L64)))</f>
        <v/>
      </c>
      <c r="G64" s="10" t="str">
        <f aca="false">IF($L64="","",N(INDEX('NHẬP ĐƠN HÀNG'!$L$6:$L$505,$L64)))</f>
        <v/>
      </c>
      <c r="H64" s="10" t="str">
        <f aca="false">IF($L64="","",N(INDEX('NHẬP ĐƠN HÀNG'!$Q$6:$Q$505,$L64)))</f>
        <v/>
      </c>
      <c r="I64" s="10" t="str">
        <f aca="false">IF($L64="","",N(INDEX('NHẬP ĐƠN HÀNG'!$R$6:$R$505,$L64)))</f>
        <v/>
      </c>
      <c r="J64" s="10" t="str">
        <f aca="false">IF($L64="","",IF(INDEX('NHẬP ĐƠN HÀNG'!$U$6:$U$505,$L64)="","",INDEX('NHẬP ĐƠN HÀNG'!$U$6:$U$505,$L64)))</f>
        <v/>
      </c>
      <c r="K64" s="16" t="str">
        <f aca="false">IF($L64="","",IF(INDEX('NHẬP ĐƠN HÀNG'!$W$6:$W$505,$L64)="","",INDEX('NHẬP ĐƠN HÀNG'!$W$6:$W$505,$L64)))</f>
        <v/>
      </c>
      <c r="L64" s="0" t="str">
        <f aca="false">IFERROR(MATCH(59,'NHẬP ĐƠN HÀNG'!$AA$6:$AA$505,0),"")</f>
        <v/>
      </c>
    </row>
    <row r="65" customFormat="false" ht="15" hidden="false" customHeight="false" outlineLevel="0" collapsed="false">
      <c r="A65" s="16" t="str">
        <f aca="false">IF($L65="","",60)</f>
        <v/>
      </c>
      <c r="B65" s="34" t="str">
        <f aca="false">IF($L65="","",IF(INDEX('NHẬP ĐƠN HÀNG'!$B$6:$B$505,$L65)="","",INDEX('NHẬP ĐƠN HÀNG'!$B$6:$B$505,$L65)))</f>
        <v/>
      </c>
      <c r="C65" s="16" t="str">
        <f aca="false">IF($L65="","",IF(INDEX('NHẬP ĐƠN HÀNG'!$C$6:$C$505,$L65)="","",INDEX('NHẬP ĐƠN HÀNG'!$C$6:$C$505,$L65)))</f>
        <v/>
      </c>
      <c r="D65" s="16" t="str">
        <f aca="false">IF($L65="","",IF(INDEX('NHẬP ĐƠN HÀNG'!$D$6:$D$505,$L65)="","",INDEX('NHẬP ĐƠN HÀNG'!$D$6:$D$505,$L65)))</f>
        <v/>
      </c>
      <c r="E65" s="16" t="str">
        <f aca="false">IF($L65="","",IF(INDEX('NHẬP ĐƠN HÀNG'!$H$6:$H$505,$L65)="","",INDEX('NHẬP ĐƠN HÀNG'!$H$6:$H$505,$L65)))</f>
        <v/>
      </c>
      <c r="F65" s="10" t="str">
        <f aca="false">IF($L65="","",N(INDEX('NHẬP ĐƠN HÀNG'!$I$6:$I$505,$L65)))</f>
        <v/>
      </c>
      <c r="G65" s="10" t="str">
        <f aca="false">IF($L65="","",N(INDEX('NHẬP ĐƠN HÀNG'!$L$6:$L$505,$L65)))</f>
        <v/>
      </c>
      <c r="H65" s="10" t="str">
        <f aca="false">IF($L65="","",N(INDEX('NHẬP ĐƠN HÀNG'!$Q$6:$Q$505,$L65)))</f>
        <v/>
      </c>
      <c r="I65" s="10" t="str">
        <f aca="false">IF($L65="","",N(INDEX('NHẬP ĐƠN HÀNG'!$R$6:$R$505,$L65)))</f>
        <v/>
      </c>
      <c r="J65" s="10" t="str">
        <f aca="false">IF($L65="","",IF(INDEX('NHẬP ĐƠN HÀNG'!$U$6:$U$505,$L65)="","",INDEX('NHẬP ĐƠN HÀNG'!$U$6:$U$505,$L65)))</f>
        <v/>
      </c>
      <c r="K65" s="16" t="str">
        <f aca="false">IF($L65="","",IF(INDEX('NHẬP ĐƠN HÀNG'!$W$6:$W$505,$L65)="","",INDEX('NHẬP ĐƠN HÀNG'!$W$6:$W$505,$L65)))</f>
        <v/>
      </c>
      <c r="L65" s="0" t="str">
        <f aca="false">IFERROR(MATCH(60,'NHẬP ĐƠN HÀNG'!$AA$6:$AA$505,0),"")</f>
        <v/>
      </c>
    </row>
    <row r="66" customFormat="false" ht="15" hidden="false" customHeight="false" outlineLevel="0" collapsed="false">
      <c r="A66" s="16" t="str">
        <f aca="false">IF($L66="","",61)</f>
        <v/>
      </c>
      <c r="B66" s="34" t="str">
        <f aca="false">IF($L66="","",IF(INDEX('NHẬP ĐƠN HÀNG'!$B$6:$B$505,$L66)="","",INDEX('NHẬP ĐƠN HÀNG'!$B$6:$B$505,$L66)))</f>
        <v/>
      </c>
      <c r="C66" s="16" t="str">
        <f aca="false">IF($L66="","",IF(INDEX('NHẬP ĐƠN HÀNG'!$C$6:$C$505,$L66)="","",INDEX('NHẬP ĐƠN HÀNG'!$C$6:$C$505,$L66)))</f>
        <v/>
      </c>
      <c r="D66" s="16" t="str">
        <f aca="false">IF($L66="","",IF(INDEX('NHẬP ĐƠN HÀNG'!$D$6:$D$505,$L66)="","",INDEX('NHẬP ĐƠN HÀNG'!$D$6:$D$505,$L66)))</f>
        <v/>
      </c>
      <c r="E66" s="16" t="str">
        <f aca="false">IF($L66="","",IF(INDEX('NHẬP ĐƠN HÀNG'!$H$6:$H$505,$L66)="","",INDEX('NHẬP ĐƠN HÀNG'!$H$6:$H$505,$L66)))</f>
        <v/>
      </c>
      <c r="F66" s="10" t="str">
        <f aca="false">IF($L66="","",N(INDEX('NHẬP ĐƠN HÀNG'!$I$6:$I$505,$L66)))</f>
        <v/>
      </c>
      <c r="G66" s="10" t="str">
        <f aca="false">IF($L66="","",N(INDEX('NHẬP ĐƠN HÀNG'!$L$6:$L$505,$L66)))</f>
        <v/>
      </c>
      <c r="H66" s="10" t="str">
        <f aca="false">IF($L66="","",N(INDEX('NHẬP ĐƠN HÀNG'!$Q$6:$Q$505,$L66)))</f>
        <v/>
      </c>
      <c r="I66" s="10" t="str">
        <f aca="false">IF($L66="","",N(INDEX('NHẬP ĐƠN HÀNG'!$R$6:$R$505,$L66)))</f>
        <v/>
      </c>
      <c r="J66" s="10" t="str">
        <f aca="false">IF($L66="","",IF(INDEX('NHẬP ĐƠN HÀNG'!$U$6:$U$505,$L66)="","",INDEX('NHẬP ĐƠN HÀNG'!$U$6:$U$505,$L66)))</f>
        <v/>
      </c>
      <c r="K66" s="16" t="str">
        <f aca="false">IF($L66="","",IF(INDEX('NHẬP ĐƠN HÀNG'!$W$6:$W$505,$L66)="","",INDEX('NHẬP ĐƠN HÀNG'!$W$6:$W$505,$L66)))</f>
        <v/>
      </c>
      <c r="L66" s="0" t="str">
        <f aca="false">IFERROR(MATCH(61,'NHẬP ĐƠN HÀNG'!$AA$6:$AA$505,0),"")</f>
        <v/>
      </c>
    </row>
    <row r="67" customFormat="false" ht="15" hidden="false" customHeight="false" outlineLevel="0" collapsed="false">
      <c r="A67" s="16" t="str">
        <f aca="false">IF($L67="","",62)</f>
        <v/>
      </c>
      <c r="B67" s="34" t="str">
        <f aca="false">IF($L67="","",IF(INDEX('NHẬP ĐƠN HÀNG'!$B$6:$B$505,$L67)="","",INDEX('NHẬP ĐƠN HÀNG'!$B$6:$B$505,$L67)))</f>
        <v/>
      </c>
      <c r="C67" s="16" t="str">
        <f aca="false">IF($L67="","",IF(INDEX('NHẬP ĐƠN HÀNG'!$C$6:$C$505,$L67)="","",INDEX('NHẬP ĐƠN HÀNG'!$C$6:$C$505,$L67)))</f>
        <v/>
      </c>
      <c r="D67" s="16" t="str">
        <f aca="false">IF($L67="","",IF(INDEX('NHẬP ĐƠN HÀNG'!$D$6:$D$505,$L67)="","",INDEX('NHẬP ĐƠN HÀNG'!$D$6:$D$505,$L67)))</f>
        <v/>
      </c>
      <c r="E67" s="16" t="str">
        <f aca="false">IF($L67="","",IF(INDEX('NHẬP ĐƠN HÀNG'!$H$6:$H$505,$L67)="","",INDEX('NHẬP ĐƠN HÀNG'!$H$6:$H$505,$L67)))</f>
        <v/>
      </c>
      <c r="F67" s="10" t="str">
        <f aca="false">IF($L67="","",N(INDEX('NHẬP ĐƠN HÀNG'!$I$6:$I$505,$L67)))</f>
        <v/>
      </c>
      <c r="G67" s="10" t="str">
        <f aca="false">IF($L67="","",N(INDEX('NHẬP ĐƠN HÀNG'!$L$6:$L$505,$L67)))</f>
        <v/>
      </c>
      <c r="H67" s="10" t="str">
        <f aca="false">IF($L67="","",N(INDEX('NHẬP ĐƠN HÀNG'!$Q$6:$Q$505,$L67)))</f>
        <v/>
      </c>
      <c r="I67" s="10" t="str">
        <f aca="false">IF($L67="","",N(INDEX('NHẬP ĐƠN HÀNG'!$R$6:$R$505,$L67)))</f>
        <v/>
      </c>
      <c r="J67" s="10" t="str">
        <f aca="false">IF($L67="","",IF(INDEX('NHẬP ĐƠN HÀNG'!$U$6:$U$505,$L67)="","",INDEX('NHẬP ĐƠN HÀNG'!$U$6:$U$505,$L67)))</f>
        <v/>
      </c>
      <c r="K67" s="16" t="str">
        <f aca="false">IF($L67="","",IF(INDEX('NHẬP ĐƠN HÀNG'!$W$6:$W$505,$L67)="","",INDEX('NHẬP ĐƠN HÀNG'!$W$6:$W$505,$L67)))</f>
        <v/>
      </c>
      <c r="L67" s="0" t="str">
        <f aca="false">IFERROR(MATCH(62,'NHẬP ĐƠN HÀNG'!$AA$6:$AA$505,0),"")</f>
        <v/>
      </c>
    </row>
    <row r="68" customFormat="false" ht="15" hidden="false" customHeight="false" outlineLevel="0" collapsed="false">
      <c r="A68" s="16" t="str">
        <f aca="false">IF($L68="","",63)</f>
        <v/>
      </c>
      <c r="B68" s="34" t="str">
        <f aca="false">IF($L68="","",IF(INDEX('NHẬP ĐƠN HÀNG'!$B$6:$B$505,$L68)="","",INDEX('NHẬP ĐƠN HÀNG'!$B$6:$B$505,$L68)))</f>
        <v/>
      </c>
      <c r="C68" s="16" t="str">
        <f aca="false">IF($L68="","",IF(INDEX('NHẬP ĐƠN HÀNG'!$C$6:$C$505,$L68)="","",INDEX('NHẬP ĐƠN HÀNG'!$C$6:$C$505,$L68)))</f>
        <v/>
      </c>
      <c r="D68" s="16" t="str">
        <f aca="false">IF($L68="","",IF(INDEX('NHẬP ĐƠN HÀNG'!$D$6:$D$505,$L68)="","",INDEX('NHẬP ĐƠN HÀNG'!$D$6:$D$505,$L68)))</f>
        <v/>
      </c>
      <c r="E68" s="16" t="str">
        <f aca="false">IF($L68="","",IF(INDEX('NHẬP ĐƠN HÀNG'!$H$6:$H$505,$L68)="","",INDEX('NHẬP ĐƠN HÀNG'!$H$6:$H$505,$L68)))</f>
        <v/>
      </c>
      <c r="F68" s="10" t="str">
        <f aca="false">IF($L68="","",N(INDEX('NHẬP ĐƠN HÀNG'!$I$6:$I$505,$L68)))</f>
        <v/>
      </c>
      <c r="G68" s="10" t="str">
        <f aca="false">IF($L68="","",N(INDEX('NHẬP ĐƠN HÀNG'!$L$6:$L$505,$L68)))</f>
        <v/>
      </c>
      <c r="H68" s="10" t="str">
        <f aca="false">IF($L68="","",N(INDEX('NHẬP ĐƠN HÀNG'!$Q$6:$Q$505,$L68)))</f>
        <v/>
      </c>
      <c r="I68" s="10" t="str">
        <f aca="false">IF($L68="","",N(INDEX('NHẬP ĐƠN HÀNG'!$R$6:$R$505,$L68)))</f>
        <v/>
      </c>
      <c r="J68" s="10" t="str">
        <f aca="false">IF($L68="","",IF(INDEX('NHẬP ĐƠN HÀNG'!$U$6:$U$505,$L68)="","",INDEX('NHẬP ĐƠN HÀNG'!$U$6:$U$505,$L68)))</f>
        <v/>
      </c>
      <c r="K68" s="16" t="str">
        <f aca="false">IF($L68="","",IF(INDEX('NHẬP ĐƠN HÀNG'!$W$6:$W$505,$L68)="","",INDEX('NHẬP ĐƠN HÀNG'!$W$6:$W$505,$L68)))</f>
        <v/>
      </c>
      <c r="L68" s="0" t="str">
        <f aca="false">IFERROR(MATCH(63,'NHẬP ĐƠN HÀNG'!$AA$6:$AA$505,0),"")</f>
        <v/>
      </c>
    </row>
    <row r="69" customFormat="false" ht="15" hidden="false" customHeight="false" outlineLevel="0" collapsed="false">
      <c r="A69" s="16" t="str">
        <f aca="false">IF($L69="","",64)</f>
        <v/>
      </c>
      <c r="B69" s="34" t="str">
        <f aca="false">IF($L69="","",IF(INDEX('NHẬP ĐƠN HÀNG'!$B$6:$B$505,$L69)="","",INDEX('NHẬP ĐƠN HÀNG'!$B$6:$B$505,$L69)))</f>
        <v/>
      </c>
      <c r="C69" s="16" t="str">
        <f aca="false">IF($L69="","",IF(INDEX('NHẬP ĐƠN HÀNG'!$C$6:$C$505,$L69)="","",INDEX('NHẬP ĐƠN HÀNG'!$C$6:$C$505,$L69)))</f>
        <v/>
      </c>
      <c r="D69" s="16" t="str">
        <f aca="false">IF($L69="","",IF(INDEX('NHẬP ĐƠN HÀNG'!$D$6:$D$505,$L69)="","",INDEX('NHẬP ĐƠN HÀNG'!$D$6:$D$505,$L69)))</f>
        <v/>
      </c>
      <c r="E69" s="16" t="str">
        <f aca="false">IF($L69="","",IF(INDEX('NHẬP ĐƠN HÀNG'!$H$6:$H$505,$L69)="","",INDEX('NHẬP ĐƠN HÀNG'!$H$6:$H$505,$L69)))</f>
        <v/>
      </c>
      <c r="F69" s="10" t="str">
        <f aca="false">IF($L69="","",N(INDEX('NHẬP ĐƠN HÀNG'!$I$6:$I$505,$L69)))</f>
        <v/>
      </c>
      <c r="G69" s="10" t="str">
        <f aca="false">IF($L69="","",N(INDEX('NHẬP ĐƠN HÀNG'!$L$6:$L$505,$L69)))</f>
        <v/>
      </c>
      <c r="H69" s="10" t="str">
        <f aca="false">IF($L69="","",N(INDEX('NHẬP ĐƠN HÀNG'!$Q$6:$Q$505,$L69)))</f>
        <v/>
      </c>
      <c r="I69" s="10" t="str">
        <f aca="false">IF($L69="","",N(INDEX('NHẬP ĐƠN HÀNG'!$R$6:$R$505,$L69)))</f>
        <v/>
      </c>
      <c r="J69" s="10" t="str">
        <f aca="false">IF($L69="","",IF(INDEX('NHẬP ĐƠN HÀNG'!$U$6:$U$505,$L69)="","",INDEX('NHẬP ĐƠN HÀNG'!$U$6:$U$505,$L69)))</f>
        <v/>
      </c>
      <c r="K69" s="16" t="str">
        <f aca="false">IF($L69="","",IF(INDEX('NHẬP ĐƠN HÀNG'!$W$6:$W$505,$L69)="","",INDEX('NHẬP ĐƠN HÀNG'!$W$6:$W$505,$L69)))</f>
        <v/>
      </c>
      <c r="L69" s="0" t="str">
        <f aca="false">IFERROR(MATCH(64,'NHẬP ĐƠN HÀNG'!$AA$6:$AA$505,0),"")</f>
        <v/>
      </c>
    </row>
    <row r="70" customFormat="false" ht="15" hidden="false" customHeight="false" outlineLevel="0" collapsed="false">
      <c r="A70" s="16" t="str">
        <f aca="false">IF($L70="","",65)</f>
        <v/>
      </c>
      <c r="B70" s="34" t="str">
        <f aca="false">IF($L70="","",IF(INDEX('NHẬP ĐƠN HÀNG'!$B$6:$B$505,$L70)="","",INDEX('NHẬP ĐƠN HÀNG'!$B$6:$B$505,$L70)))</f>
        <v/>
      </c>
      <c r="C70" s="16" t="str">
        <f aca="false">IF($L70="","",IF(INDEX('NHẬP ĐƠN HÀNG'!$C$6:$C$505,$L70)="","",INDEX('NHẬP ĐƠN HÀNG'!$C$6:$C$505,$L70)))</f>
        <v/>
      </c>
      <c r="D70" s="16" t="str">
        <f aca="false">IF($L70="","",IF(INDEX('NHẬP ĐƠN HÀNG'!$D$6:$D$505,$L70)="","",INDEX('NHẬP ĐƠN HÀNG'!$D$6:$D$505,$L70)))</f>
        <v/>
      </c>
      <c r="E70" s="16" t="str">
        <f aca="false">IF($L70="","",IF(INDEX('NHẬP ĐƠN HÀNG'!$H$6:$H$505,$L70)="","",INDEX('NHẬP ĐƠN HÀNG'!$H$6:$H$505,$L70)))</f>
        <v/>
      </c>
      <c r="F70" s="10" t="str">
        <f aca="false">IF($L70="","",N(INDEX('NHẬP ĐƠN HÀNG'!$I$6:$I$505,$L70)))</f>
        <v/>
      </c>
      <c r="G70" s="10" t="str">
        <f aca="false">IF($L70="","",N(INDEX('NHẬP ĐƠN HÀNG'!$L$6:$L$505,$L70)))</f>
        <v/>
      </c>
      <c r="H70" s="10" t="str">
        <f aca="false">IF($L70="","",N(INDEX('NHẬP ĐƠN HÀNG'!$Q$6:$Q$505,$L70)))</f>
        <v/>
      </c>
      <c r="I70" s="10" t="str">
        <f aca="false">IF($L70="","",N(INDEX('NHẬP ĐƠN HÀNG'!$R$6:$R$505,$L70)))</f>
        <v/>
      </c>
      <c r="J70" s="10" t="str">
        <f aca="false">IF($L70="","",IF(INDEX('NHẬP ĐƠN HÀNG'!$U$6:$U$505,$L70)="","",INDEX('NHẬP ĐƠN HÀNG'!$U$6:$U$505,$L70)))</f>
        <v/>
      </c>
      <c r="K70" s="16" t="str">
        <f aca="false">IF($L70="","",IF(INDEX('NHẬP ĐƠN HÀNG'!$W$6:$W$505,$L70)="","",INDEX('NHẬP ĐƠN HÀNG'!$W$6:$W$505,$L70)))</f>
        <v/>
      </c>
      <c r="L70" s="0" t="str">
        <f aca="false">IFERROR(MATCH(65,'NHẬP ĐƠN HÀNG'!$AA$6:$AA$505,0),"")</f>
        <v/>
      </c>
    </row>
    <row r="71" customFormat="false" ht="15" hidden="false" customHeight="false" outlineLevel="0" collapsed="false">
      <c r="A71" s="16" t="str">
        <f aca="false">IF($L71="","",66)</f>
        <v/>
      </c>
      <c r="B71" s="34" t="str">
        <f aca="false">IF($L71="","",IF(INDEX('NHẬP ĐƠN HÀNG'!$B$6:$B$505,$L71)="","",INDEX('NHẬP ĐƠN HÀNG'!$B$6:$B$505,$L71)))</f>
        <v/>
      </c>
      <c r="C71" s="16" t="str">
        <f aca="false">IF($L71="","",IF(INDEX('NHẬP ĐƠN HÀNG'!$C$6:$C$505,$L71)="","",INDEX('NHẬP ĐƠN HÀNG'!$C$6:$C$505,$L71)))</f>
        <v/>
      </c>
      <c r="D71" s="16" t="str">
        <f aca="false">IF($L71="","",IF(INDEX('NHẬP ĐƠN HÀNG'!$D$6:$D$505,$L71)="","",INDEX('NHẬP ĐƠN HÀNG'!$D$6:$D$505,$L71)))</f>
        <v/>
      </c>
      <c r="E71" s="16" t="str">
        <f aca="false">IF($L71="","",IF(INDEX('NHẬP ĐƠN HÀNG'!$H$6:$H$505,$L71)="","",INDEX('NHẬP ĐƠN HÀNG'!$H$6:$H$505,$L71)))</f>
        <v/>
      </c>
      <c r="F71" s="10" t="str">
        <f aca="false">IF($L71="","",N(INDEX('NHẬP ĐƠN HÀNG'!$I$6:$I$505,$L71)))</f>
        <v/>
      </c>
      <c r="G71" s="10" t="str">
        <f aca="false">IF($L71="","",N(INDEX('NHẬP ĐƠN HÀNG'!$L$6:$L$505,$L71)))</f>
        <v/>
      </c>
      <c r="H71" s="10" t="str">
        <f aca="false">IF($L71="","",N(INDEX('NHẬP ĐƠN HÀNG'!$Q$6:$Q$505,$L71)))</f>
        <v/>
      </c>
      <c r="I71" s="10" t="str">
        <f aca="false">IF($L71="","",N(INDEX('NHẬP ĐƠN HÀNG'!$R$6:$R$505,$L71)))</f>
        <v/>
      </c>
      <c r="J71" s="10" t="str">
        <f aca="false">IF($L71="","",IF(INDEX('NHẬP ĐƠN HÀNG'!$U$6:$U$505,$L71)="","",INDEX('NHẬP ĐƠN HÀNG'!$U$6:$U$505,$L71)))</f>
        <v/>
      </c>
      <c r="K71" s="16" t="str">
        <f aca="false">IF($L71="","",IF(INDEX('NHẬP ĐƠN HÀNG'!$W$6:$W$505,$L71)="","",INDEX('NHẬP ĐƠN HÀNG'!$W$6:$W$505,$L71)))</f>
        <v/>
      </c>
      <c r="L71" s="0" t="str">
        <f aca="false">IFERROR(MATCH(66,'NHẬP ĐƠN HÀNG'!$AA$6:$AA$505,0),"")</f>
        <v/>
      </c>
    </row>
    <row r="72" customFormat="false" ht="15" hidden="false" customHeight="false" outlineLevel="0" collapsed="false">
      <c r="A72" s="16" t="str">
        <f aca="false">IF($L72="","",67)</f>
        <v/>
      </c>
      <c r="B72" s="34" t="str">
        <f aca="false">IF($L72="","",IF(INDEX('NHẬP ĐƠN HÀNG'!$B$6:$B$505,$L72)="","",INDEX('NHẬP ĐƠN HÀNG'!$B$6:$B$505,$L72)))</f>
        <v/>
      </c>
      <c r="C72" s="16" t="str">
        <f aca="false">IF($L72="","",IF(INDEX('NHẬP ĐƠN HÀNG'!$C$6:$C$505,$L72)="","",INDEX('NHẬP ĐƠN HÀNG'!$C$6:$C$505,$L72)))</f>
        <v/>
      </c>
      <c r="D72" s="16" t="str">
        <f aca="false">IF($L72="","",IF(INDEX('NHẬP ĐƠN HÀNG'!$D$6:$D$505,$L72)="","",INDEX('NHẬP ĐƠN HÀNG'!$D$6:$D$505,$L72)))</f>
        <v/>
      </c>
      <c r="E72" s="16" t="str">
        <f aca="false">IF($L72="","",IF(INDEX('NHẬP ĐƠN HÀNG'!$H$6:$H$505,$L72)="","",INDEX('NHẬP ĐƠN HÀNG'!$H$6:$H$505,$L72)))</f>
        <v/>
      </c>
      <c r="F72" s="10" t="str">
        <f aca="false">IF($L72="","",N(INDEX('NHẬP ĐƠN HÀNG'!$I$6:$I$505,$L72)))</f>
        <v/>
      </c>
      <c r="G72" s="10" t="str">
        <f aca="false">IF($L72="","",N(INDEX('NHẬP ĐƠN HÀNG'!$L$6:$L$505,$L72)))</f>
        <v/>
      </c>
      <c r="H72" s="10" t="str">
        <f aca="false">IF($L72="","",N(INDEX('NHẬP ĐƠN HÀNG'!$Q$6:$Q$505,$L72)))</f>
        <v/>
      </c>
      <c r="I72" s="10" t="str">
        <f aca="false">IF($L72="","",N(INDEX('NHẬP ĐƠN HÀNG'!$R$6:$R$505,$L72)))</f>
        <v/>
      </c>
      <c r="J72" s="10" t="str">
        <f aca="false">IF($L72="","",IF(INDEX('NHẬP ĐƠN HÀNG'!$U$6:$U$505,$L72)="","",INDEX('NHẬP ĐƠN HÀNG'!$U$6:$U$505,$L72)))</f>
        <v/>
      </c>
      <c r="K72" s="16" t="str">
        <f aca="false">IF($L72="","",IF(INDEX('NHẬP ĐƠN HÀNG'!$W$6:$W$505,$L72)="","",INDEX('NHẬP ĐƠN HÀNG'!$W$6:$W$505,$L72)))</f>
        <v/>
      </c>
      <c r="L72" s="0" t="str">
        <f aca="false">IFERROR(MATCH(67,'NHẬP ĐƠN HÀNG'!$AA$6:$AA$505,0),"")</f>
        <v/>
      </c>
    </row>
    <row r="73" customFormat="false" ht="15" hidden="false" customHeight="false" outlineLevel="0" collapsed="false">
      <c r="A73" s="16" t="str">
        <f aca="false">IF($L73="","",68)</f>
        <v/>
      </c>
      <c r="B73" s="34" t="str">
        <f aca="false">IF($L73="","",IF(INDEX('NHẬP ĐƠN HÀNG'!$B$6:$B$505,$L73)="","",INDEX('NHẬP ĐƠN HÀNG'!$B$6:$B$505,$L73)))</f>
        <v/>
      </c>
      <c r="C73" s="16" t="str">
        <f aca="false">IF($L73="","",IF(INDEX('NHẬP ĐƠN HÀNG'!$C$6:$C$505,$L73)="","",INDEX('NHẬP ĐƠN HÀNG'!$C$6:$C$505,$L73)))</f>
        <v/>
      </c>
      <c r="D73" s="16" t="str">
        <f aca="false">IF($L73="","",IF(INDEX('NHẬP ĐƠN HÀNG'!$D$6:$D$505,$L73)="","",INDEX('NHẬP ĐƠN HÀNG'!$D$6:$D$505,$L73)))</f>
        <v/>
      </c>
      <c r="E73" s="16" t="str">
        <f aca="false">IF($L73="","",IF(INDEX('NHẬP ĐƠN HÀNG'!$H$6:$H$505,$L73)="","",INDEX('NHẬP ĐƠN HÀNG'!$H$6:$H$505,$L73)))</f>
        <v/>
      </c>
      <c r="F73" s="10" t="str">
        <f aca="false">IF($L73="","",N(INDEX('NHẬP ĐƠN HÀNG'!$I$6:$I$505,$L73)))</f>
        <v/>
      </c>
      <c r="G73" s="10" t="str">
        <f aca="false">IF($L73="","",N(INDEX('NHẬP ĐƠN HÀNG'!$L$6:$L$505,$L73)))</f>
        <v/>
      </c>
      <c r="H73" s="10" t="str">
        <f aca="false">IF($L73="","",N(INDEX('NHẬP ĐƠN HÀNG'!$Q$6:$Q$505,$L73)))</f>
        <v/>
      </c>
      <c r="I73" s="10" t="str">
        <f aca="false">IF($L73="","",N(INDEX('NHẬP ĐƠN HÀNG'!$R$6:$R$505,$L73)))</f>
        <v/>
      </c>
      <c r="J73" s="10" t="str">
        <f aca="false">IF($L73="","",IF(INDEX('NHẬP ĐƠN HÀNG'!$U$6:$U$505,$L73)="","",INDEX('NHẬP ĐƠN HÀNG'!$U$6:$U$505,$L73)))</f>
        <v/>
      </c>
      <c r="K73" s="16" t="str">
        <f aca="false">IF($L73="","",IF(INDEX('NHẬP ĐƠN HÀNG'!$W$6:$W$505,$L73)="","",INDEX('NHẬP ĐƠN HÀNG'!$W$6:$W$505,$L73)))</f>
        <v/>
      </c>
      <c r="L73" s="0" t="str">
        <f aca="false">IFERROR(MATCH(68,'NHẬP ĐƠN HÀNG'!$AA$6:$AA$505,0),"")</f>
        <v/>
      </c>
    </row>
    <row r="74" customFormat="false" ht="15" hidden="false" customHeight="false" outlineLevel="0" collapsed="false">
      <c r="A74" s="16" t="str">
        <f aca="false">IF($L74="","",69)</f>
        <v/>
      </c>
      <c r="B74" s="34" t="str">
        <f aca="false">IF($L74="","",IF(INDEX('NHẬP ĐƠN HÀNG'!$B$6:$B$505,$L74)="","",INDEX('NHẬP ĐƠN HÀNG'!$B$6:$B$505,$L74)))</f>
        <v/>
      </c>
      <c r="C74" s="16" t="str">
        <f aca="false">IF($L74="","",IF(INDEX('NHẬP ĐƠN HÀNG'!$C$6:$C$505,$L74)="","",INDEX('NHẬP ĐƠN HÀNG'!$C$6:$C$505,$L74)))</f>
        <v/>
      </c>
      <c r="D74" s="16" t="str">
        <f aca="false">IF($L74="","",IF(INDEX('NHẬP ĐƠN HÀNG'!$D$6:$D$505,$L74)="","",INDEX('NHẬP ĐƠN HÀNG'!$D$6:$D$505,$L74)))</f>
        <v/>
      </c>
      <c r="E74" s="16" t="str">
        <f aca="false">IF($L74="","",IF(INDEX('NHẬP ĐƠN HÀNG'!$H$6:$H$505,$L74)="","",INDEX('NHẬP ĐƠN HÀNG'!$H$6:$H$505,$L74)))</f>
        <v/>
      </c>
      <c r="F74" s="10" t="str">
        <f aca="false">IF($L74="","",N(INDEX('NHẬP ĐƠN HÀNG'!$I$6:$I$505,$L74)))</f>
        <v/>
      </c>
      <c r="G74" s="10" t="str">
        <f aca="false">IF($L74="","",N(INDEX('NHẬP ĐƠN HÀNG'!$L$6:$L$505,$L74)))</f>
        <v/>
      </c>
      <c r="H74" s="10" t="str">
        <f aca="false">IF($L74="","",N(INDEX('NHẬP ĐƠN HÀNG'!$Q$6:$Q$505,$L74)))</f>
        <v/>
      </c>
      <c r="I74" s="10" t="str">
        <f aca="false">IF($L74="","",N(INDEX('NHẬP ĐƠN HÀNG'!$R$6:$R$505,$L74)))</f>
        <v/>
      </c>
      <c r="J74" s="10" t="str">
        <f aca="false">IF($L74="","",IF(INDEX('NHẬP ĐƠN HÀNG'!$U$6:$U$505,$L74)="","",INDEX('NHẬP ĐƠN HÀNG'!$U$6:$U$505,$L74)))</f>
        <v/>
      </c>
      <c r="K74" s="16" t="str">
        <f aca="false">IF($L74="","",IF(INDEX('NHẬP ĐƠN HÀNG'!$W$6:$W$505,$L74)="","",INDEX('NHẬP ĐƠN HÀNG'!$W$6:$W$505,$L74)))</f>
        <v/>
      </c>
      <c r="L74" s="0" t="str">
        <f aca="false">IFERROR(MATCH(69,'NHẬP ĐƠN HÀNG'!$AA$6:$AA$505,0),"")</f>
        <v/>
      </c>
    </row>
    <row r="75" customFormat="false" ht="15" hidden="false" customHeight="false" outlineLevel="0" collapsed="false">
      <c r="A75" s="16" t="str">
        <f aca="false">IF($L75="","",70)</f>
        <v/>
      </c>
      <c r="B75" s="34" t="str">
        <f aca="false">IF($L75="","",IF(INDEX('NHẬP ĐƠN HÀNG'!$B$6:$B$505,$L75)="","",INDEX('NHẬP ĐƠN HÀNG'!$B$6:$B$505,$L75)))</f>
        <v/>
      </c>
      <c r="C75" s="16" t="str">
        <f aca="false">IF($L75="","",IF(INDEX('NHẬP ĐƠN HÀNG'!$C$6:$C$505,$L75)="","",INDEX('NHẬP ĐƠN HÀNG'!$C$6:$C$505,$L75)))</f>
        <v/>
      </c>
      <c r="D75" s="16" t="str">
        <f aca="false">IF($L75="","",IF(INDEX('NHẬP ĐƠN HÀNG'!$D$6:$D$505,$L75)="","",INDEX('NHẬP ĐƠN HÀNG'!$D$6:$D$505,$L75)))</f>
        <v/>
      </c>
      <c r="E75" s="16" t="str">
        <f aca="false">IF($L75="","",IF(INDEX('NHẬP ĐƠN HÀNG'!$H$6:$H$505,$L75)="","",INDEX('NHẬP ĐƠN HÀNG'!$H$6:$H$505,$L75)))</f>
        <v/>
      </c>
      <c r="F75" s="10" t="str">
        <f aca="false">IF($L75="","",N(INDEX('NHẬP ĐƠN HÀNG'!$I$6:$I$505,$L75)))</f>
        <v/>
      </c>
      <c r="G75" s="10" t="str">
        <f aca="false">IF($L75="","",N(INDEX('NHẬP ĐƠN HÀNG'!$L$6:$L$505,$L75)))</f>
        <v/>
      </c>
      <c r="H75" s="10" t="str">
        <f aca="false">IF($L75="","",N(INDEX('NHẬP ĐƠN HÀNG'!$Q$6:$Q$505,$L75)))</f>
        <v/>
      </c>
      <c r="I75" s="10" t="str">
        <f aca="false">IF($L75="","",N(INDEX('NHẬP ĐƠN HÀNG'!$R$6:$R$505,$L75)))</f>
        <v/>
      </c>
      <c r="J75" s="10" t="str">
        <f aca="false">IF($L75="","",IF(INDEX('NHẬP ĐƠN HÀNG'!$U$6:$U$505,$L75)="","",INDEX('NHẬP ĐƠN HÀNG'!$U$6:$U$505,$L75)))</f>
        <v/>
      </c>
      <c r="K75" s="16" t="str">
        <f aca="false">IF($L75="","",IF(INDEX('NHẬP ĐƠN HÀNG'!$W$6:$W$505,$L75)="","",INDEX('NHẬP ĐƠN HÀNG'!$W$6:$W$505,$L75)))</f>
        <v/>
      </c>
      <c r="L75" s="0" t="str">
        <f aca="false">IFERROR(MATCH(70,'NHẬP ĐƠN HÀNG'!$AA$6:$AA$505,0),"")</f>
        <v/>
      </c>
    </row>
    <row r="76" customFormat="false" ht="15" hidden="false" customHeight="false" outlineLevel="0" collapsed="false">
      <c r="A76" s="16" t="str">
        <f aca="false">IF($L76="","",71)</f>
        <v/>
      </c>
      <c r="B76" s="34" t="str">
        <f aca="false">IF($L76="","",IF(INDEX('NHẬP ĐƠN HÀNG'!$B$6:$B$505,$L76)="","",INDEX('NHẬP ĐƠN HÀNG'!$B$6:$B$505,$L76)))</f>
        <v/>
      </c>
      <c r="C76" s="16" t="str">
        <f aca="false">IF($L76="","",IF(INDEX('NHẬP ĐƠN HÀNG'!$C$6:$C$505,$L76)="","",INDEX('NHẬP ĐƠN HÀNG'!$C$6:$C$505,$L76)))</f>
        <v/>
      </c>
      <c r="D76" s="16" t="str">
        <f aca="false">IF($L76="","",IF(INDEX('NHẬP ĐƠN HÀNG'!$D$6:$D$505,$L76)="","",INDEX('NHẬP ĐƠN HÀNG'!$D$6:$D$505,$L76)))</f>
        <v/>
      </c>
      <c r="E76" s="16" t="str">
        <f aca="false">IF($L76="","",IF(INDEX('NHẬP ĐƠN HÀNG'!$H$6:$H$505,$L76)="","",INDEX('NHẬP ĐƠN HÀNG'!$H$6:$H$505,$L76)))</f>
        <v/>
      </c>
      <c r="F76" s="10" t="str">
        <f aca="false">IF($L76="","",N(INDEX('NHẬP ĐƠN HÀNG'!$I$6:$I$505,$L76)))</f>
        <v/>
      </c>
      <c r="G76" s="10" t="str">
        <f aca="false">IF($L76="","",N(INDEX('NHẬP ĐƠN HÀNG'!$L$6:$L$505,$L76)))</f>
        <v/>
      </c>
      <c r="H76" s="10" t="str">
        <f aca="false">IF($L76="","",N(INDEX('NHẬP ĐƠN HÀNG'!$Q$6:$Q$505,$L76)))</f>
        <v/>
      </c>
      <c r="I76" s="10" t="str">
        <f aca="false">IF($L76="","",N(INDEX('NHẬP ĐƠN HÀNG'!$R$6:$R$505,$L76)))</f>
        <v/>
      </c>
      <c r="J76" s="10" t="str">
        <f aca="false">IF($L76="","",IF(INDEX('NHẬP ĐƠN HÀNG'!$U$6:$U$505,$L76)="","",INDEX('NHẬP ĐƠN HÀNG'!$U$6:$U$505,$L76)))</f>
        <v/>
      </c>
      <c r="K76" s="16" t="str">
        <f aca="false">IF($L76="","",IF(INDEX('NHẬP ĐƠN HÀNG'!$W$6:$W$505,$L76)="","",INDEX('NHẬP ĐƠN HÀNG'!$W$6:$W$505,$L76)))</f>
        <v/>
      </c>
      <c r="L76" s="0" t="str">
        <f aca="false">IFERROR(MATCH(71,'NHẬP ĐƠN HÀNG'!$AA$6:$AA$505,0),"")</f>
        <v/>
      </c>
    </row>
    <row r="77" customFormat="false" ht="15" hidden="false" customHeight="false" outlineLevel="0" collapsed="false">
      <c r="A77" s="16" t="str">
        <f aca="false">IF($L77="","",72)</f>
        <v/>
      </c>
      <c r="B77" s="34" t="str">
        <f aca="false">IF($L77="","",IF(INDEX('NHẬP ĐƠN HÀNG'!$B$6:$B$505,$L77)="","",INDEX('NHẬP ĐƠN HÀNG'!$B$6:$B$505,$L77)))</f>
        <v/>
      </c>
      <c r="C77" s="16" t="str">
        <f aca="false">IF($L77="","",IF(INDEX('NHẬP ĐƠN HÀNG'!$C$6:$C$505,$L77)="","",INDEX('NHẬP ĐƠN HÀNG'!$C$6:$C$505,$L77)))</f>
        <v/>
      </c>
      <c r="D77" s="16" t="str">
        <f aca="false">IF($L77="","",IF(INDEX('NHẬP ĐƠN HÀNG'!$D$6:$D$505,$L77)="","",INDEX('NHẬP ĐƠN HÀNG'!$D$6:$D$505,$L77)))</f>
        <v/>
      </c>
      <c r="E77" s="16" t="str">
        <f aca="false">IF($L77="","",IF(INDEX('NHẬP ĐƠN HÀNG'!$H$6:$H$505,$L77)="","",INDEX('NHẬP ĐƠN HÀNG'!$H$6:$H$505,$L77)))</f>
        <v/>
      </c>
      <c r="F77" s="10" t="str">
        <f aca="false">IF($L77="","",N(INDEX('NHẬP ĐƠN HÀNG'!$I$6:$I$505,$L77)))</f>
        <v/>
      </c>
      <c r="G77" s="10" t="str">
        <f aca="false">IF($L77="","",N(INDEX('NHẬP ĐƠN HÀNG'!$L$6:$L$505,$L77)))</f>
        <v/>
      </c>
      <c r="H77" s="10" t="str">
        <f aca="false">IF($L77="","",N(INDEX('NHẬP ĐƠN HÀNG'!$Q$6:$Q$505,$L77)))</f>
        <v/>
      </c>
      <c r="I77" s="10" t="str">
        <f aca="false">IF($L77="","",N(INDEX('NHẬP ĐƠN HÀNG'!$R$6:$R$505,$L77)))</f>
        <v/>
      </c>
      <c r="J77" s="10" t="str">
        <f aca="false">IF($L77="","",IF(INDEX('NHẬP ĐƠN HÀNG'!$U$6:$U$505,$L77)="","",INDEX('NHẬP ĐƠN HÀNG'!$U$6:$U$505,$L77)))</f>
        <v/>
      </c>
      <c r="K77" s="16" t="str">
        <f aca="false">IF($L77="","",IF(INDEX('NHẬP ĐƠN HÀNG'!$W$6:$W$505,$L77)="","",INDEX('NHẬP ĐƠN HÀNG'!$W$6:$W$505,$L77)))</f>
        <v/>
      </c>
      <c r="L77" s="0" t="str">
        <f aca="false">IFERROR(MATCH(72,'NHẬP ĐƠN HÀNG'!$AA$6:$AA$505,0),"")</f>
        <v/>
      </c>
    </row>
    <row r="78" customFormat="false" ht="15" hidden="false" customHeight="false" outlineLevel="0" collapsed="false">
      <c r="A78" s="16" t="str">
        <f aca="false">IF($L78="","",73)</f>
        <v/>
      </c>
      <c r="B78" s="34" t="str">
        <f aca="false">IF($L78="","",IF(INDEX('NHẬP ĐƠN HÀNG'!$B$6:$B$505,$L78)="","",INDEX('NHẬP ĐƠN HÀNG'!$B$6:$B$505,$L78)))</f>
        <v/>
      </c>
      <c r="C78" s="16" t="str">
        <f aca="false">IF($L78="","",IF(INDEX('NHẬP ĐƠN HÀNG'!$C$6:$C$505,$L78)="","",INDEX('NHẬP ĐƠN HÀNG'!$C$6:$C$505,$L78)))</f>
        <v/>
      </c>
      <c r="D78" s="16" t="str">
        <f aca="false">IF($L78="","",IF(INDEX('NHẬP ĐƠN HÀNG'!$D$6:$D$505,$L78)="","",INDEX('NHẬP ĐƠN HÀNG'!$D$6:$D$505,$L78)))</f>
        <v/>
      </c>
      <c r="E78" s="16" t="str">
        <f aca="false">IF($L78="","",IF(INDEX('NHẬP ĐƠN HÀNG'!$H$6:$H$505,$L78)="","",INDEX('NHẬP ĐƠN HÀNG'!$H$6:$H$505,$L78)))</f>
        <v/>
      </c>
      <c r="F78" s="10" t="str">
        <f aca="false">IF($L78="","",N(INDEX('NHẬP ĐƠN HÀNG'!$I$6:$I$505,$L78)))</f>
        <v/>
      </c>
      <c r="G78" s="10" t="str">
        <f aca="false">IF($L78="","",N(INDEX('NHẬP ĐƠN HÀNG'!$L$6:$L$505,$L78)))</f>
        <v/>
      </c>
      <c r="H78" s="10" t="str">
        <f aca="false">IF($L78="","",N(INDEX('NHẬP ĐƠN HÀNG'!$Q$6:$Q$505,$L78)))</f>
        <v/>
      </c>
      <c r="I78" s="10" t="str">
        <f aca="false">IF($L78="","",N(INDEX('NHẬP ĐƠN HÀNG'!$R$6:$R$505,$L78)))</f>
        <v/>
      </c>
      <c r="J78" s="10" t="str">
        <f aca="false">IF($L78="","",IF(INDEX('NHẬP ĐƠN HÀNG'!$U$6:$U$505,$L78)="","",INDEX('NHẬP ĐƠN HÀNG'!$U$6:$U$505,$L78)))</f>
        <v/>
      </c>
      <c r="K78" s="16" t="str">
        <f aca="false">IF($L78="","",IF(INDEX('NHẬP ĐƠN HÀNG'!$W$6:$W$505,$L78)="","",INDEX('NHẬP ĐƠN HÀNG'!$W$6:$W$505,$L78)))</f>
        <v/>
      </c>
      <c r="L78" s="0" t="str">
        <f aca="false">IFERROR(MATCH(73,'NHẬP ĐƠN HÀNG'!$AA$6:$AA$505,0),"")</f>
        <v/>
      </c>
    </row>
    <row r="79" customFormat="false" ht="15" hidden="false" customHeight="false" outlineLevel="0" collapsed="false">
      <c r="A79" s="16" t="str">
        <f aca="false">IF($L79="","",74)</f>
        <v/>
      </c>
      <c r="B79" s="34" t="str">
        <f aca="false">IF($L79="","",IF(INDEX('NHẬP ĐƠN HÀNG'!$B$6:$B$505,$L79)="","",INDEX('NHẬP ĐƠN HÀNG'!$B$6:$B$505,$L79)))</f>
        <v/>
      </c>
      <c r="C79" s="16" t="str">
        <f aca="false">IF($L79="","",IF(INDEX('NHẬP ĐƠN HÀNG'!$C$6:$C$505,$L79)="","",INDEX('NHẬP ĐƠN HÀNG'!$C$6:$C$505,$L79)))</f>
        <v/>
      </c>
      <c r="D79" s="16" t="str">
        <f aca="false">IF($L79="","",IF(INDEX('NHẬP ĐƠN HÀNG'!$D$6:$D$505,$L79)="","",INDEX('NHẬP ĐƠN HÀNG'!$D$6:$D$505,$L79)))</f>
        <v/>
      </c>
      <c r="E79" s="16" t="str">
        <f aca="false">IF($L79="","",IF(INDEX('NHẬP ĐƠN HÀNG'!$H$6:$H$505,$L79)="","",INDEX('NHẬP ĐƠN HÀNG'!$H$6:$H$505,$L79)))</f>
        <v/>
      </c>
      <c r="F79" s="10" t="str">
        <f aca="false">IF($L79="","",N(INDEX('NHẬP ĐƠN HÀNG'!$I$6:$I$505,$L79)))</f>
        <v/>
      </c>
      <c r="G79" s="10" t="str">
        <f aca="false">IF($L79="","",N(INDEX('NHẬP ĐƠN HÀNG'!$L$6:$L$505,$L79)))</f>
        <v/>
      </c>
      <c r="H79" s="10" t="str">
        <f aca="false">IF($L79="","",N(INDEX('NHẬP ĐƠN HÀNG'!$Q$6:$Q$505,$L79)))</f>
        <v/>
      </c>
      <c r="I79" s="10" t="str">
        <f aca="false">IF($L79="","",N(INDEX('NHẬP ĐƠN HÀNG'!$R$6:$R$505,$L79)))</f>
        <v/>
      </c>
      <c r="J79" s="10" t="str">
        <f aca="false">IF($L79="","",IF(INDEX('NHẬP ĐƠN HÀNG'!$U$6:$U$505,$L79)="","",INDEX('NHẬP ĐƠN HÀNG'!$U$6:$U$505,$L79)))</f>
        <v/>
      </c>
      <c r="K79" s="16" t="str">
        <f aca="false">IF($L79="","",IF(INDEX('NHẬP ĐƠN HÀNG'!$W$6:$W$505,$L79)="","",INDEX('NHẬP ĐƠN HÀNG'!$W$6:$W$505,$L79)))</f>
        <v/>
      </c>
      <c r="L79" s="0" t="str">
        <f aca="false">IFERROR(MATCH(74,'NHẬP ĐƠN HÀNG'!$AA$6:$AA$505,0),"")</f>
        <v/>
      </c>
    </row>
    <row r="80" customFormat="false" ht="15" hidden="false" customHeight="false" outlineLevel="0" collapsed="false">
      <c r="A80" s="16" t="str">
        <f aca="false">IF($L80="","",75)</f>
        <v/>
      </c>
      <c r="B80" s="34" t="str">
        <f aca="false">IF($L80="","",IF(INDEX('NHẬP ĐƠN HÀNG'!$B$6:$B$505,$L80)="","",INDEX('NHẬP ĐƠN HÀNG'!$B$6:$B$505,$L80)))</f>
        <v/>
      </c>
      <c r="C80" s="16" t="str">
        <f aca="false">IF($L80="","",IF(INDEX('NHẬP ĐƠN HÀNG'!$C$6:$C$505,$L80)="","",INDEX('NHẬP ĐƠN HÀNG'!$C$6:$C$505,$L80)))</f>
        <v/>
      </c>
      <c r="D80" s="16" t="str">
        <f aca="false">IF($L80="","",IF(INDEX('NHẬP ĐƠN HÀNG'!$D$6:$D$505,$L80)="","",INDEX('NHẬP ĐƠN HÀNG'!$D$6:$D$505,$L80)))</f>
        <v/>
      </c>
      <c r="E80" s="16" t="str">
        <f aca="false">IF($L80="","",IF(INDEX('NHẬP ĐƠN HÀNG'!$H$6:$H$505,$L80)="","",INDEX('NHẬP ĐƠN HÀNG'!$H$6:$H$505,$L80)))</f>
        <v/>
      </c>
      <c r="F80" s="10" t="str">
        <f aca="false">IF($L80="","",N(INDEX('NHẬP ĐƠN HÀNG'!$I$6:$I$505,$L80)))</f>
        <v/>
      </c>
      <c r="G80" s="10" t="str">
        <f aca="false">IF($L80="","",N(INDEX('NHẬP ĐƠN HÀNG'!$L$6:$L$505,$L80)))</f>
        <v/>
      </c>
      <c r="H80" s="10" t="str">
        <f aca="false">IF($L80="","",N(INDEX('NHẬP ĐƠN HÀNG'!$Q$6:$Q$505,$L80)))</f>
        <v/>
      </c>
      <c r="I80" s="10" t="str">
        <f aca="false">IF($L80="","",N(INDEX('NHẬP ĐƠN HÀNG'!$R$6:$R$505,$L80)))</f>
        <v/>
      </c>
      <c r="J80" s="10" t="str">
        <f aca="false">IF($L80="","",IF(INDEX('NHẬP ĐƠN HÀNG'!$U$6:$U$505,$L80)="","",INDEX('NHẬP ĐƠN HÀNG'!$U$6:$U$505,$L80)))</f>
        <v/>
      </c>
      <c r="K80" s="16" t="str">
        <f aca="false">IF($L80="","",IF(INDEX('NHẬP ĐƠN HÀNG'!$W$6:$W$505,$L80)="","",INDEX('NHẬP ĐƠN HÀNG'!$W$6:$W$505,$L80)))</f>
        <v/>
      </c>
      <c r="L80" s="0" t="str">
        <f aca="false">IFERROR(MATCH(75,'NHẬP ĐƠN HÀNG'!$AA$6:$AA$505,0),"")</f>
        <v/>
      </c>
    </row>
    <row r="81" customFormat="false" ht="15" hidden="false" customHeight="false" outlineLevel="0" collapsed="false">
      <c r="A81" s="16" t="str">
        <f aca="false">IF($L81="","",76)</f>
        <v/>
      </c>
      <c r="B81" s="34" t="str">
        <f aca="false">IF($L81="","",IF(INDEX('NHẬP ĐƠN HÀNG'!$B$6:$B$505,$L81)="","",INDEX('NHẬP ĐƠN HÀNG'!$B$6:$B$505,$L81)))</f>
        <v/>
      </c>
      <c r="C81" s="16" t="str">
        <f aca="false">IF($L81="","",IF(INDEX('NHẬP ĐƠN HÀNG'!$C$6:$C$505,$L81)="","",INDEX('NHẬP ĐƠN HÀNG'!$C$6:$C$505,$L81)))</f>
        <v/>
      </c>
      <c r="D81" s="16" t="str">
        <f aca="false">IF($L81="","",IF(INDEX('NHẬP ĐƠN HÀNG'!$D$6:$D$505,$L81)="","",INDEX('NHẬP ĐƠN HÀNG'!$D$6:$D$505,$L81)))</f>
        <v/>
      </c>
      <c r="E81" s="16" t="str">
        <f aca="false">IF($L81="","",IF(INDEX('NHẬP ĐƠN HÀNG'!$H$6:$H$505,$L81)="","",INDEX('NHẬP ĐƠN HÀNG'!$H$6:$H$505,$L81)))</f>
        <v/>
      </c>
      <c r="F81" s="10" t="str">
        <f aca="false">IF($L81="","",N(INDEX('NHẬP ĐƠN HÀNG'!$I$6:$I$505,$L81)))</f>
        <v/>
      </c>
      <c r="G81" s="10" t="str">
        <f aca="false">IF($L81="","",N(INDEX('NHẬP ĐƠN HÀNG'!$L$6:$L$505,$L81)))</f>
        <v/>
      </c>
      <c r="H81" s="10" t="str">
        <f aca="false">IF($L81="","",N(INDEX('NHẬP ĐƠN HÀNG'!$Q$6:$Q$505,$L81)))</f>
        <v/>
      </c>
      <c r="I81" s="10" t="str">
        <f aca="false">IF($L81="","",N(INDEX('NHẬP ĐƠN HÀNG'!$R$6:$R$505,$L81)))</f>
        <v/>
      </c>
      <c r="J81" s="10" t="str">
        <f aca="false">IF($L81="","",IF(INDEX('NHẬP ĐƠN HÀNG'!$U$6:$U$505,$L81)="","",INDEX('NHẬP ĐƠN HÀNG'!$U$6:$U$505,$L81)))</f>
        <v/>
      </c>
      <c r="K81" s="16" t="str">
        <f aca="false">IF($L81="","",IF(INDEX('NHẬP ĐƠN HÀNG'!$W$6:$W$505,$L81)="","",INDEX('NHẬP ĐƠN HÀNG'!$W$6:$W$505,$L81)))</f>
        <v/>
      </c>
      <c r="L81" s="0" t="str">
        <f aca="false">IFERROR(MATCH(76,'NHẬP ĐƠN HÀNG'!$AA$6:$AA$505,0),"")</f>
        <v/>
      </c>
    </row>
    <row r="82" customFormat="false" ht="15" hidden="false" customHeight="false" outlineLevel="0" collapsed="false">
      <c r="A82" s="16" t="str">
        <f aca="false">IF($L82="","",77)</f>
        <v/>
      </c>
      <c r="B82" s="34" t="str">
        <f aca="false">IF($L82="","",IF(INDEX('NHẬP ĐƠN HÀNG'!$B$6:$B$505,$L82)="","",INDEX('NHẬP ĐƠN HÀNG'!$B$6:$B$505,$L82)))</f>
        <v/>
      </c>
      <c r="C82" s="16" t="str">
        <f aca="false">IF($L82="","",IF(INDEX('NHẬP ĐƠN HÀNG'!$C$6:$C$505,$L82)="","",INDEX('NHẬP ĐƠN HÀNG'!$C$6:$C$505,$L82)))</f>
        <v/>
      </c>
      <c r="D82" s="16" t="str">
        <f aca="false">IF($L82="","",IF(INDEX('NHẬP ĐƠN HÀNG'!$D$6:$D$505,$L82)="","",INDEX('NHẬP ĐƠN HÀNG'!$D$6:$D$505,$L82)))</f>
        <v/>
      </c>
      <c r="E82" s="16" t="str">
        <f aca="false">IF($L82="","",IF(INDEX('NHẬP ĐƠN HÀNG'!$H$6:$H$505,$L82)="","",INDEX('NHẬP ĐƠN HÀNG'!$H$6:$H$505,$L82)))</f>
        <v/>
      </c>
      <c r="F82" s="10" t="str">
        <f aca="false">IF($L82="","",N(INDEX('NHẬP ĐƠN HÀNG'!$I$6:$I$505,$L82)))</f>
        <v/>
      </c>
      <c r="G82" s="10" t="str">
        <f aca="false">IF($L82="","",N(INDEX('NHẬP ĐƠN HÀNG'!$L$6:$L$505,$L82)))</f>
        <v/>
      </c>
      <c r="H82" s="10" t="str">
        <f aca="false">IF($L82="","",N(INDEX('NHẬP ĐƠN HÀNG'!$Q$6:$Q$505,$L82)))</f>
        <v/>
      </c>
      <c r="I82" s="10" t="str">
        <f aca="false">IF($L82="","",N(INDEX('NHẬP ĐƠN HÀNG'!$R$6:$R$505,$L82)))</f>
        <v/>
      </c>
      <c r="J82" s="10" t="str">
        <f aca="false">IF($L82="","",IF(INDEX('NHẬP ĐƠN HÀNG'!$U$6:$U$505,$L82)="","",INDEX('NHẬP ĐƠN HÀNG'!$U$6:$U$505,$L82)))</f>
        <v/>
      </c>
      <c r="K82" s="16" t="str">
        <f aca="false">IF($L82="","",IF(INDEX('NHẬP ĐƠN HÀNG'!$W$6:$W$505,$L82)="","",INDEX('NHẬP ĐƠN HÀNG'!$W$6:$W$505,$L82)))</f>
        <v/>
      </c>
      <c r="L82" s="0" t="str">
        <f aca="false">IFERROR(MATCH(77,'NHẬP ĐƠN HÀNG'!$AA$6:$AA$505,0),"")</f>
        <v/>
      </c>
    </row>
    <row r="83" customFormat="false" ht="15" hidden="false" customHeight="false" outlineLevel="0" collapsed="false">
      <c r="A83" s="16" t="str">
        <f aca="false">IF($L83="","",78)</f>
        <v/>
      </c>
      <c r="B83" s="34" t="str">
        <f aca="false">IF($L83="","",IF(INDEX('NHẬP ĐƠN HÀNG'!$B$6:$B$505,$L83)="","",INDEX('NHẬP ĐƠN HÀNG'!$B$6:$B$505,$L83)))</f>
        <v/>
      </c>
      <c r="C83" s="16" t="str">
        <f aca="false">IF($L83="","",IF(INDEX('NHẬP ĐƠN HÀNG'!$C$6:$C$505,$L83)="","",INDEX('NHẬP ĐƠN HÀNG'!$C$6:$C$505,$L83)))</f>
        <v/>
      </c>
      <c r="D83" s="16" t="str">
        <f aca="false">IF($L83="","",IF(INDEX('NHẬP ĐƠN HÀNG'!$D$6:$D$505,$L83)="","",INDEX('NHẬP ĐƠN HÀNG'!$D$6:$D$505,$L83)))</f>
        <v/>
      </c>
      <c r="E83" s="16" t="str">
        <f aca="false">IF($L83="","",IF(INDEX('NHẬP ĐƠN HÀNG'!$H$6:$H$505,$L83)="","",INDEX('NHẬP ĐƠN HÀNG'!$H$6:$H$505,$L83)))</f>
        <v/>
      </c>
      <c r="F83" s="10" t="str">
        <f aca="false">IF($L83="","",N(INDEX('NHẬP ĐƠN HÀNG'!$I$6:$I$505,$L83)))</f>
        <v/>
      </c>
      <c r="G83" s="10" t="str">
        <f aca="false">IF($L83="","",N(INDEX('NHẬP ĐƠN HÀNG'!$L$6:$L$505,$L83)))</f>
        <v/>
      </c>
      <c r="H83" s="10" t="str">
        <f aca="false">IF($L83="","",N(INDEX('NHẬP ĐƠN HÀNG'!$Q$6:$Q$505,$L83)))</f>
        <v/>
      </c>
      <c r="I83" s="10" t="str">
        <f aca="false">IF($L83="","",N(INDEX('NHẬP ĐƠN HÀNG'!$R$6:$R$505,$L83)))</f>
        <v/>
      </c>
      <c r="J83" s="10" t="str">
        <f aca="false">IF($L83="","",IF(INDEX('NHẬP ĐƠN HÀNG'!$U$6:$U$505,$L83)="","",INDEX('NHẬP ĐƠN HÀNG'!$U$6:$U$505,$L83)))</f>
        <v/>
      </c>
      <c r="K83" s="16" t="str">
        <f aca="false">IF($L83="","",IF(INDEX('NHẬP ĐƠN HÀNG'!$W$6:$W$505,$L83)="","",INDEX('NHẬP ĐƠN HÀNG'!$W$6:$W$505,$L83)))</f>
        <v/>
      </c>
      <c r="L83" s="0" t="str">
        <f aca="false">IFERROR(MATCH(78,'NHẬP ĐƠN HÀNG'!$AA$6:$AA$505,0),"")</f>
        <v/>
      </c>
    </row>
    <row r="84" customFormat="false" ht="15" hidden="false" customHeight="false" outlineLevel="0" collapsed="false">
      <c r="A84" s="16" t="str">
        <f aca="false">IF($L84="","",79)</f>
        <v/>
      </c>
      <c r="B84" s="34" t="str">
        <f aca="false">IF($L84="","",IF(INDEX('NHẬP ĐƠN HÀNG'!$B$6:$B$505,$L84)="","",INDEX('NHẬP ĐƠN HÀNG'!$B$6:$B$505,$L84)))</f>
        <v/>
      </c>
      <c r="C84" s="16" t="str">
        <f aca="false">IF($L84="","",IF(INDEX('NHẬP ĐƠN HÀNG'!$C$6:$C$505,$L84)="","",INDEX('NHẬP ĐƠN HÀNG'!$C$6:$C$505,$L84)))</f>
        <v/>
      </c>
      <c r="D84" s="16" t="str">
        <f aca="false">IF($L84="","",IF(INDEX('NHẬP ĐƠN HÀNG'!$D$6:$D$505,$L84)="","",INDEX('NHẬP ĐƠN HÀNG'!$D$6:$D$505,$L84)))</f>
        <v/>
      </c>
      <c r="E84" s="16" t="str">
        <f aca="false">IF($L84="","",IF(INDEX('NHẬP ĐƠN HÀNG'!$H$6:$H$505,$L84)="","",INDEX('NHẬP ĐƠN HÀNG'!$H$6:$H$505,$L84)))</f>
        <v/>
      </c>
      <c r="F84" s="10" t="str">
        <f aca="false">IF($L84="","",N(INDEX('NHẬP ĐƠN HÀNG'!$I$6:$I$505,$L84)))</f>
        <v/>
      </c>
      <c r="G84" s="10" t="str">
        <f aca="false">IF($L84="","",N(INDEX('NHẬP ĐƠN HÀNG'!$L$6:$L$505,$L84)))</f>
        <v/>
      </c>
      <c r="H84" s="10" t="str">
        <f aca="false">IF($L84="","",N(INDEX('NHẬP ĐƠN HÀNG'!$Q$6:$Q$505,$L84)))</f>
        <v/>
      </c>
      <c r="I84" s="10" t="str">
        <f aca="false">IF($L84="","",N(INDEX('NHẬP ĐƠN HÀNG'!$R$6:$R$505,$L84)))</f>
        <v/>
      </c>
      <c r="J84" s="10" t="str">
        <f aca="false">IF($L84="","",IF(INDEX('NHẬP ĐƠN HÀNG'!$U$6:$U$505,$L84)="","",INDEX('NHẬP ĐƠN HÀNG'!$U$6:$U$505,$L84)))</f>
        <v/>
      </c>
      <c r="K84" s="16" t="str">
        <f aca="false">IF($L84="","",IF(INDEX('NHẬP ĐƠN HÀNG'!$W$6:$W$505,$L84)="","",INDEX('NHẬP ĐƠN HÀNG'!$W$6:$W$505,$L84)))</f>
        <v/>
      </c>
      <c r="L84" s="0" t="str">
        <f aca="false">IFERROR(MATCH(79,'NHẬP ĐƠN HÀNG'!$AA$6:$AA$505,0),"")</f>
        <v/>
      </c>
    </row>
    <row r="85" customFormat="false" ht="15" hidden="false" customHeight="false" outlineLevel="0" collapsed="false">
      <c r="A85" s="16" t="str">
        <f aca="false">IF($L85="","",80)</f>
        <v/>
      </c>
      <c r="B85" s="34" t="str">
        <f aca="false">IF($L85="","",IF(INDEX('NHẬP ĐƠN HÀNG'!$B$6:$B$505,$L85)="","",INDEX('NHẬP ĐƠN HÀNG'!$B$6:$B$505,$L85)))</f>
        <v/>
      </c>
      <c r="C85" s="16" t="str">
        <f aca="false">IF($L85="","",IF(INDEX('NHẬP ĐƠN HÀNG'!$C$6:$C$505,$L85)="","",INDEX('NHẬP ĐƠN HÀNG'!$C$6:$C$505,$L85)))</f>
        <v/>
      </c>
      <c r="D85" s="16" t="str">
        <f aca="false">IF($L85="","",IF(INDEX('NHẬP ĐƠN HÀNG'!$D$6:$D$505,$L85)="","",INDEX('NHẬP ĐƠN HÀNG'!$D$6:$D$505,$L85)))</f>
        <v/>
      </c>
      <c r="E85" s="16" t="str">
        <f aca="false">IF($L85="","",IF(INDEX('NHẬP ĐƠN HÀNG'!$H$6:$H$505,$L85)="","",INDEX('NHẬP ĐƠN HÀNG'!$H$6:$H$505,$L85)))</f>
        <v/>
      </c>
      <c r="F85" s="10" t="str">
        <f aca="false">IF($L85="","",N(INDEX('NHẬP ĐƠN HÀNG'!$I$6:$I$505,$L85)))</f>
        <v/>
      </c>
      <c r="G85" s="10" t="str">
        <f aca="false">IF($L85="","",N(INDEX('NHẬP ĐƠN HÀNG'!$L$6:$L$505,$L85)))</f>
        <v/>
      </c>
      <c r="H85" s="10" t="str">
        <f aca="false">IF($L85="","",N(INDEX('NHẬP ĐƠN HÀNG'!$Q$6:$Q$505,$L85)))</f>
        <v/>
      </c>
      <c r="I85" s="10" t="str">
        <f aca="false">IF($L85="","",N(INDEX('NHẬP ĐƠN HÀNG'!$R$6:$R$505,$L85)))</f>
        <v/>
      </c>
      <c r="J85" s="10" t="str">
        <f aca="false">IF($L85="","",IF(INDEX('NHẬP ĐƠN HÀNG'!$U$6:$U$505,$L85)="","",INDEX('NHẬP ĐƠN HÀNG'!$U$6:$U$505,$L85)))</f>
        <v/>
      </c>
      <c r="K85" s="16" t="str">
        <f aca="false">IF($L85="","",IF(INDEX('NHẬP ĐƠN HÀNG'!$W$6:$W$505,$L85)="","",INDEX('NHẬP ĐƠN HÀNG'!$W$6:$W$505,$L85)))</f>
        <v/>
      </c>
      <c r="L85" s="0" t="str">
        <f aca="false">IFERROR(MATCH(80,'NHẬP ĐƠN HÀNG'!$AA$6:$AA$505,0),"")</f>
        <v/>
      </c>
    </row>
    <row r="86" customFormat="false" ht="15" hidden="false" customHeight="false" outlineLevel="0" collapsed="false">
      <c r="A86" s="16" t="str">
        <f aca="false">IF($L86="","",81)</f>
        <v/>
      </c>
      <c r="B86" s="34" t="str">
        <f aca="false">IF($L86="","",IF(INDEX('NHẬP ĐƠN HÀNG'!$B$6:$B$505,$L86)="","",INDEX('NHẬP ĐƠN HÀNG'!$B$6:$B$505,$L86)))</f>
        <v/>
      </c>
      <c r="C86" s="16" t="str">
        <f aca="false">IF($L86="","",IF(INDEX('NHẬP ĐƠN HÀNG'!$C$6:$C$505,$L86)="","",INDEX('NHẬP ĐƠN HÀNG'!$C$6:$C$505,$L86)))</f>
        <v/>
      </c>
      <c r="D86" s="16" t="str">
        <f aca="false">IF($L86="","",IF(INDEX('NHẬP ĐƠN HÀNG'!$D$6:$D$505,$L86)="","",INDEX('NHẬP ĐƠN HÀNG'!$D$6:$D$505,$L86)))</f>
        <v/>
      </c>
      <c r="E86" s="16" t="str">
        <f aca="false">IF($L86="","",IF(INDEX('NHẬP ĐƠN HÀNG'!$H$6:$H$505,$L86)="","",INDEX('NHẬP ĐƠN HÀNG'!$H$6:$H$505,$L86)))</f>
        <v/>
      </c>
      <c r="F86" s="10" t="str">
        <f aca="false">IF($L86="","",N(INDEX('NHẬP ĐƠN HÀNG'!$I$6:$I$505,$L86)))</f>
        <v/>
      </c>
      <c r="G86" s="10" t="str">
        <f aca="false">IF($L86="","",N(INDEX('NHẬP ĐƠN HÀNG'!$L$6:$L$505,$L86)))</f>
        <v/>
      </c>
      <c r="H86" s="10" t="str">
        <f aca="false">IF($L86="","",N(INDEX('NHẬP ĐƠN HÀNG'!$Q$6:$Q$505,$L86)))</f>
        <v/>
      </c>
      <c r="I86" s="10" t="str">
        <f aca="false">IF($L86="","",N(INDEX('NHẬP ĐƠN HÀNG'!$R$6:$R$505,$L86)))</f>
        <v/>
      </c>
      <c r="J86" s="10" t="str">
        <f aca="false">IF($L86="","",IF(INDEX('NHẬP ĐƠN HÀNG'!$U$6:$U$505,$L86)="","",INDEX('NHẬP ĐƠN HÀNG'!$U$6:$U$505,$L86)))</f>
        <v/>
      </c>
      <c r="K86" s="16" t="str">
        <f aca="false">IF($L86="","",IF(INDEX('NHẬP ĐƠN HÀNG'!$W$6:$W$505,$L86)="","",INDEX('NHẬP ĐƠN HÀNG'!$W$6:$W$505,$L86)))</f>
        <v/>
      </c>
      <c r="L86" s="0" t="str">
        <f aca="false">IFERROR(MATCH(81,'NHẬP ĐƠN HÀNG'!$AA$6:$AA$505,0),"")</f>
        <v/>
      </c>
    </row>
    <row r="87" customFormat="false" ht="15" hidden="false" customHeight="false" outlineLevel="0" collapsed="false">
      <c r="A87" s="16" t="str">
        <f aca="false">IF($L87="","",82)</f>
        <v/>
      </c>
      <c r="B87" s="34" t="str">
        <f aca="false">IF($L87="","",IF(INDEX('NHẬP ĐƠN HÀNG'!$B$6:$B$505,$L87)="","",INDEX('NHẬP ĐƠN HÀNG'!$B$6:$B$505,$L87)))</f>
        <v/>
      </c>
      <c r="C87" s="16" t="str">
        <f aca="false">IF($L87="","",IF(INDEX('NHẬP ĐƠN HÀNG'!$C$6:$C$505,$L87)="","",INDEX('NHẬP ĐƠN HÀNG'!$C$6:$C$505,$L87)))</f>
        <v/>
      </c>
      <c r="D87" s="16" t="str">
        <f aca="false">IF($L87="","",IF(INDEX('NHẬP ĐƠN HÀNG'!$D$6:$D$505,$L87)="","",INDEX('NHẬP ĐƠN HÀNG'!$D$6:$D$505,$L87)))</f>
        <v/>
      </c>
      <c r="E87" s="16" t="str">
        <f aca="false">IF($L87="","",IF(INDEX('NHẬP ĐƠN HÀNG'!$H$6:$H$505,$L87)="","",INDEX('NHẬP ĐƠN HÀNG'!$H$6:$H$505,$L87)))</f>
        <v/>
      </c>
      <c r="F87" s="10" t="str">
        <f aca="false">IF($L87="","",N(INDEX('NHẬP ĐƠN HÀNG'!$I$6:$I$505,$L87)))</f>
        <v/>
      </c>
      <c r="G87" s="10" t="str">
        <f aca="false">IF($L87="","",N(INDEX('NHẬP ĐƠN HÀNG'!$L$6:$L$505,$L87)))</f>
        <v/>
      </c>
      <c r="H87" s="10" t="str">
        <f aca="false">IF($L87="","",N(INDEX('NHẬP ĐƠN HÀNG'!$Q$6:$Q$505,$L87)))</f>
        <v/>
      </c>
      <c r="I87" s="10" t="str">
        <f aca="false">IF($L87="","",N(INDEX('NHẬP ĐƠN HÀNG'!$R$6:$R$505,$L87)))</f>
        <v/>
      </c>
      <c r="J87" s="10" t="str">
        <f aca="false">IF($L87="","",IF(INDEX('NHẬP ĐƠN HÀNG'!$U$6:$U$505,$L87)="","",INDEX('NHẬP ĐƠN HÀNG'!$U$6:$U$505,$L87)))</f>
        <v/>
      </c>
      <c r="K87" s="16" t="str">
        <f aca="false">IF($L87="","",IF(INDEX('NHẬP ĐƠN HÀNG'!$W$6:$W$505,$L87)="","",INDEX('NHẬP ĐƠN HÀNG'!$W$6:$W$505,$L87)))</f>
        <v/>
      </c>
      <c r="L87" s="0" t="str">
        <f aca="false">IFERROR(MATCH(82,'NHẬP ĐƠN HÀNG'!$AA$6:$AA$505,0),"")</f>
        <v/>
      </c>
    </row>
    <row r="88" customFormat="false" ht="15" hidden="false" customHeight="false" outlineLevel="0" collapsed="false">
      <c r="A88" s="16" t="str">
        <f aca="false">IF($L88="","",83)</f>
        <v/>
      </c>
      <c r="B88" s="34" t="str">
        <f aca="false">IF($L88="","",IF(INDEX('NHẬP ĐƠN HÀNG'!$B$6:$B$505,$L88)="","",INDEX('NHẬP ĐƠN HÀNG'!$B$6:$B$505,$L88)))</f>
        <v/>
      </c>
      <c r="C88" s="16" t="str">
        <f aca="false">IF($L88="","",IF(INDEX('NHẬP ĐƠN HÀNG'!$C$6:$C$505,$L88)="","",INDEX('NHẬP ĐƠN HÀNG'!$C$6:$C$505,$L88)))</f>
        <v/>
      </c>
      <c r="D88" s="16" t="str">
        <f aca="false">IF($L88="","",IF(INDEX('NHẬP ĐƠN HÀNG'!$D$6:$D$505,$L88)="","",INDEX('NHẬP ĐƠN HÀNG'!$D$6:$D$505,$L88)))</f>
        <v/>
      </c>
      <c r="E88" s="16" t="str">
        <f aca="false">IF($L88="","",IF(INDEX('NHẬP ĐƠN HÀNG'!$H$6:$H$505,$L88)="","",INDEX('NHẬP ĐƠN HÀNG'!$H$6:$H$505,$L88)))</f>
        <v/>
      </c>
      <c r="F88" s="10" t="str">
        <f aca="false">IF($L88="","",N(INDEX('NHẬP ĐƠN HÀNG'!$I$6:$I$505,$L88)))</f>
        <v/>
      </c>
      <c r="G88" s="10" t="str">
        <f aca="false">IF($L88="","",N(INDEX('NHẬP ĐƠN HÀNG'!$L$6:$L$505,$L88)))</f>
        <v/>
      </c>
      <c r="H88" s="10" t="str">
        <f aca="false">IF($L88="","",N(INDEX('NHẬP ĐƠN HÀNG'!$Q$6:$Q$505,$L88)))</f>
        <v/>
      </c>
      <c r="I88" s="10" t="str">
        <f aca="false">IF($L88="","",N(INDEX('NHẬP ĐƠN HÀNG'!$R$6:$R$505,$L88)))</f>
        <v/>
      </c>
      <c r="J88" s="10" t="str">
        <f aca="false">IF($L88="","",IF(INDEX('NHẬP ĐƠN HÀNG'!$U$6:$U$505,$L88)="","",INDEX('NHẬP ĐƠN HÀNG'!$U$6:$U$505,$L88)))</f>
        <v/>
      </c>
      <c r="K88" s="16" t="str">
        <f aca="false">IF($L88="","",IF(INDEX('NHẬP ĐƠN HÀNG'!$W$6:$W$505,$L88)="","",INDEX('NHẬP ĐƠN HÀNG'!$W$6:$W$505,$L88)))</f>
        <v/>
      </c>
      <c r="L88" s="0" t="str">
        <f aca="false">IFERROR(MATCH(83,'NHẬP ĐƠN HÀNG'!$AA$6:$AA$505,0),"")</f>
        <v/>
      </c>
    </row>
    <row r="89" customFormat="false" ht="15" hidden="false" customHeight="false" outlineLevel="0" collapsed="false">
      <c r="A89" s="16" t="str">
        <f aca="false">IF($L89="","",84)</f>
        <v/>
      </c>
      <c r="B89" s="34" t="str">
        <f aca="false">IF($L89="","",IF(INDEX('NHẬP ĐƠN HÀNG'!$B$6:$B$505,$L89)="","",INDEX('NHẬP ĐƠN HÀNG'!$B$6:$B$505,$L89)))</f>
        <v/>
      </c>
      <c r="C89" s="16" t="str">
        <f aca="false">IF($L89="","",IF(INDEX('NHẬP ĐƠN HÀNG'!$C$6:$C$505,$L89)="","",INDEX('NHẬP ĐƠN HÀNG'!$C$6:$C$505,$L89)))</f>
        <v/>
      </c>
      <c r="D89" s="16" t="str">
        <f aca="false">IF($L89="","",IF(INDEX('NHẬP ĐƠN HÀNG'!$D$6:$D$505,$L89)="","",INDEX('NHẬP ĐƠN HÀNG'!$D$6:$D$505,$L89)))</f>
        <v/>
      </c>
      <c r="E89" s="16" t="str">
        <f aca="false">IF($L89="","",IF(INDEX('NHẬP ĐƠN HÀNG'!$H$6:$H$505,$L89)="","",INDEX('NHẬP ĐƠN HÀNG'!$H$6:$H$505,$L89)))</f>
        <v/>
      </c>
      <c r="F89" s="10" t="str">
        <f aca="false">IF($L89="","",N(INDEX('NHẬP ĐƠN HÀNG'!$I$6:$I$505,$L89)))</f>
        <v/>
      </c>
      <c r="G89" s="10" t="str">
        <f aca="false">IF($L89="","",N(INDEX('NHẬP ĐƠN HÀNG'!$L$6:$L$505,$L89)))</f>
        <v/>
      </c>
      <c r="H89" s="10" t="str">
        <f aca="false">IF($L89="","",N(INDEX('NHẬP ĐƠN HÀNG'!$Q$6:$Q$505,$L89)))</f>
        <v/>
      </c>
      <c r="I89" s="10" t="str">
        <f aca="false">IF($L89="","",N(INDEX('NHẬP ĐƠN HÀNG'!$R$6:$R$505,$L89)))</f>
        <v/>
      </c>
      <c r="J89" s="10" t="str">
        <f aca="false">IF($L89="","",IF(INDEX('NHẬP ĐƠN HÀNG'!$U$6:$U$505,$L89)="","",INDEX('NHẬP ĐƠN HÀNG'!$U$6:$U$505,$L89)))</f>
        <v/>
      </c>
      <c r="K89" s="16" t="str">
        <f aca="false">IF($L89="","",IF(INDEX('NHẬP ĐƠN HÀNG'!$W$6:$W$505,$L89)="","",INDEX('NHẬP ĐƠN HÀNG'!$W$6:$W$505,$L89)))</f>
        <v/>
      </c>
      <c r="L89" s="0" t="str">
        <f aca="false">IFERROR(MATCH(84,'NHẬP ĐƠN HÀNG'!$AA$6:$AA$505,0),"")</f>
        <v/>
      </c>
    </row>
    <row r="90" customFormat="false" ht="15" hidden="false" customHeight="false" outlineLevel="0" collapsed="false">
      <c r="A90" s="16" t="str">
        <f aca="false">IF($L90="","",85)</f>
        <v/>
      </c>
      <c r="B90" s="34" t="str">
        <f aca="false">IF($L90="","",IF(INDEX('NHẬP ĐƠN HÀNG'!$B$6:$B$505,$L90)="","",INDEX('NHẬP ĐƠN HÀNG'!$B$6:$B$505,$L90)))</f>
        <v/>
      </c>
      <c r="C90" s="16" t="str">
        <f aca="false">IF($L90="","",IF(INDEX('NHẬP ĐƠN HÀNG'!$C$6:$C$505,$L90)="","",INDEX('NHẬP ĐƠN HÀNG'!$C$6:$C$505,$L90)))</f>
        <v/>
      </c>
      <c r="D90" s="16" t="str">
        <f aca="false">IF($L90="","",IF(INDEX('NHẬP ĐƠN HÀNG'!$D$6:$D$505,$L90)="","",INDEX('NHẬP ĐƠN HÀNG'!$D$6:$D$505,$L90)))</f>
        <v/>
      </c>
      <c r="E90" s="16" t="str">
        <f aca="false">IF($L90="","",IF(INDEX('NHẬP ĐƠN HÀNG'!$H$6:$H$505,$L90)="","",INDEX('NHẬP ĐƠN HÀNG'!$H$6:$H$505,$L90)))</f>
        <v/>
      </c>
      <c r="F90" s="10" t="str">
        <f aca="false">IF($L90="","",N(INDEX('NHẬP ĐƠN HÀNG'!$I$6:$I$505,$L90)))</f>
        <v/>
      </c>
      <c r="G90" s="10" t="str">
        <f aca="false">IF($L90="","",N(INDEX('NHẬP ĐƠN HÀNG'!$L$6:$L$505,$L90)))</f>
        <v/>
      </c>
      <c r="H90" s="10" t="str">
        <f aca="false">IF($L90="","",N(INDEX('NHẬP ĐƠN HÀNG'!$Q$6:$Q$505,$L90)))</f>
        <v/>
      </c>
      <c r="I90" s="10" t="str">
        <f aca="false">IF($L90="","",N(INDEX('NHẬP ĐƠN HÀNG'!$R$6:$R$505,$L90)))</f>
        <v/>
      </c>
      <c r="J90" s="10" t="str">
        <f aca="false">IF($L90="","",IF(INDEX('NHẬP ĐƠN HÀNG'!$U$6:$U$505,$L90)="","",INDEX('NHẬP ĐƠN HÀNG'!$U$6:$U$505,$L90)))</f>
        <v/>
      </c>
      <c r="K90" s="16" t="str">
        <f aca="false">IF($L90="","",IF(INDEX('NHẬP ĐƠN HÀNG'!$W$6:$W$505,$L90)="","",INDEX('NHẬP ĐƠN HÀNG'!$W$6:$W$505,$L90)))</f>
        <v/>
      </c>
      <c r="L90" s="0" t="str">
        <f aca="false">IFERROR(MATCH(85,'NHẬP ĐƠN HÀNG'!$AA$6:$AA$505,0),"")</f>
        <v/>
      </c>
    </row>
    <row r="91" customFormat="false" ht="15" hidden="false" customHeight="false" outlineLevel="0" collapsed="false">
      <c r="A91" s="16" t="str">
        <f aca="false">IF($L91="","",86)</f>
        <v/>
      </c>
      <c r="B91" s="34" t="str">
        <f aca="false">IF($L91="","",IF(INDEX('NHẬP ĐƠN HÀNG'!$B$6:$B$505,$L91)="","",INDEX('NHẬP ĐƠN HÀNG'!$B$6:$B$505,$L91)))</f>
        <v/>
      </c>
      <c r="C91" s="16" t="str">
        <f aca="false">IF($L91="","",IF(INDEX('NHẬP ĐƠN HÀNG'!$C$6:$C$505,$L91)="","",INDEX('NHẬP ĐƠN HÀNG'!$C$6:$C$505,$L91)))</f>
        <v/>
      </c>
      <c r="D91" s="16" t="str">
        <f aca="false">IF($L91="","",IF(INDEX('NHẬP ĐƠN HÀNG'!$D$6:$D$505,$L91)="","",INDEX('NHẬP ĐƠN HÀNG'!$D$6:$D$505,$L91)))</f>
        <v/>
      </c>
      <c r="E91" s="16" t="str">
        <f aca="false">IF($L91="","",IF(INDEX('NHẬP ĐƠN HÀNG'!$H$6:$H$505,$L91)="","",INDEX('NHẬP ĐƠN HÀNG'!$H$6:$H$505,$L91)))</f>
        <v/>
      </c>
      <c r="F91" s="10" t="str">
        <f aca="false">IF($L91="","",N(INDEX('NHẬP ĐƠN HÀNG'!$I$6:$I$505,$L91)))</f>
        <v/>
      </c>
      <c r="G91" s="10" t="str">
        <f aca="false">IF($L91="","",N(INDEX('NHẬP ĐƠN HÀNG'!$L$6:$L$505,$L91)))</f>
        <v/>
      </c>
      <c r="H91" s="10" t="str">
        <f aca="false">IF($L91="","",N(INDEX('NHẬP ĐƠN HÀNG'!$Q$6:$Q$505,$L91)))</f>
        <v/>
      </c>
      <c r="I91" s="10" t="str">
        <f aca="false">IF($L91="","",N(INDEX('NHẬP ĐƠN HÀNG'!$R$6:$R$505,$L91)))</f>
        <v/>
      </c>
      <c r="J91" s="10" t="str">
        <f aca="false">IF($L91="","",IF(INDEX('NHẬP ĐƠN HÀNG'!$U$6:$U$505,$L91)="","",INDEX('NHẬP ĐƠN HÀNG'!$U$6:$U$505,$L91)))</f>
        <v/>
      </c>
      <c r="K91" s="16" t="str">
        <f aca="false">IF($L91="","",IF(INDEX('NHẬP ĐƠN HÀNG'!$W$6:$W$505,$L91)="","",INDEX('NHẬP ĐƠN HÀNG'!$W$6:$W$505,$L91)))</f>
        <v/>
      </c>
      <c r="L91" s="0" t="str">
        <f aca="false">IFERROR(MATCH(86,'NHẬP ĐƠN HÀNG'!$AA$6:$AA$505,0),"")</f>
        <v/>
      </c>
    </row>
    <row r="92" customFormat="false" ht="15" hidden="false" customHeight="false" outlineLevel="0" collapsed="false">
      <c r="A92" s="16" t="str">
        <f aca="false">IF($L92="","",87)</f>
        <v/>
      </c>
      <c r="B92" s="34" t="str">
        <f aca="false">IF($L92="","",IF(INDEX('NHẬP ĐƠN HÀNG'!$B$6:$B$505,$L92)="","",INDEX('NHẬP ĐƠN HÀNG'!$B$6:$B$505,$L92)))</f>
        <v/>
      </c>
      <c r="C92" s="16" t="str">
        <f aca="false">IF($L92="","",IF(INDEX('NHẬP ĐƠN HÀNG'!$C$6:$C$505,$L92)="","",INDEX('NHẬP ĐƠN HÀNG'!$C$6:$C$505,$L92)))</f>
        <v/>
      </c>
      <c r="D92" s="16" t="str">
        <f aca="false">IF($L92="","",IF(INDEX('NHẬP ĐƠN HÀNG'!$D$6:$D$505,$L92)="","",INDEX('NHẬP ĐƠN HÀNG'!$D$6:$D$505,$L92)))</f>
        <v/>
      </c>
      <c r="E92" s="16" t="str">
        <f aca="false">IF($L92="","",IF(INDEX('NHẬP ĐƠN HÀNG'!$H$6:$H$505,$L92)="","",INDEX('NHẬP ĐƠN HÀNG'!$H$6:$H$505,$L92)))</f>
        <v/>
      </c>
      <c r="F92" s="10" t="str">
        <f aca="false">IF($L92="","",N(INDEX('NHẬP ĐƠN HÀNG'!$I$6:$I$505,$L92)))</f>
        <v/>
      </c>
      <c r="G92" s="10" t="str">
        <f aca="false">IF($L92="","",N(INDEX('NHẬP ĐƠN HÀNG'!$L$6:$L$505,$L92)))</f>
        <v/>
      </c>
      <c r="H92" s="10" t="str">
        <f aca="false">IF($L92="","",N(INDEX('NHẬP ĐƠN HÀNG'!$Q$6:$Q$505,$L92)))</f>
        <v/>
      </c>
      <c r="I92" s="10" t="str">
        <f aca="false">IF($L92="","",N(INDEX('NHẬP ĐƠN HÀNG'!$R$6:$R$505,$L92)))</f>
        <v/>
      </c>
      <c r="J92" s="10" t="str">
        <f aca="false">IF($L92="","",IF(INDEX('NHẬP ĐƠN HÀNG'!$U$6:$U$505,$L92)="","",INDEX('NHẬP ĐƠN HÀNG'!$U$6:$U$505,$L92)))</f>
        <v/>
      </c>
      <c r="K92" s="16" t="str">
        <f aca="false">IF($L92="","",IF(INDEX('NHẬP ĐƠN HÀNG'!$W$6:$W$505,$L92)="","",INDEX('NHẬP ĐƠN HÀNG'!$W$6:$W$505,$L92)))</f>
        <v/>
      </c>
      <c r="L92" s="0" t="str">
        <f aca="false">IFERROR(MATCH(87,'NHẬP ĐƠN HÀNG'!$AA$6:$AA$505,0),"")</f>
        <v/>
      </c>
    </row>
    <row r="93" customFormat="false" ht="15" hidden="false" customHeight="false" outlineLevel="0" collapsed="false">
      <c r="A93" s="16" t="str">
        <f aca="false">IF($L93="","",88)</f>
        <v/>
      </c>
      <c r="B93" s="34" t="str">
        <f aca="false">IF($L93="","",IF(INDEX('NHẬP ĐƠN HÀNG'!$B$6:$B$505,$L93)="","",INDEX('NHẬP ĐƠN HÀNG'!$B$6:$B$505,$L93)))</f>
        <v/>
      </c>
      <c r="C93" s="16" t="str">
        <f aca="false">IF($L93="","",IF(INDEX('NHẬP ĐƠN HÀNG'!$C$6:$C$505,$L93)="","",INDEX('NHẬP ĐƠN HÀNG'!$C$6:$C$505,$L93)))</f>
        <v/>
      </c>
      <c r="D93" s="16" t="str">
        <f aca="false">IF($L93="","",IF(INDEX('NHẬP ĐƠN HÀNG'!$D$6:$D$505,$L93)="","",INDEX('NHẬP ĐƠN HÀNG'!$D$6:$D$505,$L93)))</f>
        <v/>
      </c>
      <c r="E93" s="16" t="str">
        <f aca="false">IF($L93="","",IF(INDEX('NHẬP ĐƠN HÀNG'!$H$6:$H$505,$L93)="","",INDEX('NHẬP ĐƠN HÀNG'!$H$6:$H$505,$L93)))</f>
        <v/>
      </c>
      <c r="F93" s="10" t="str">
        <f aca="false">IF($L93="","",N(INDEX('NHẬP ĐƠN HÀNG'!$I$6:$I$505,$L93)))</f>
        <v/>
      </c>
      <c r="G93" s="10" t="str">
        <f aca="false">IF($L93="","",N(INDEX('NHẬP ĐƠN HÀNG'!$L$6:$L$505,$L93)))</f>
        <v/>
      </c>
      <c r="H93" s="10" t="str">
        <f aca="false">IF($L93="","",N(INDEX('NHẬP ĐƠN HÀNG'!$Q$6:$Q$505,$L93)))</f>
        <v/>
      </c>
      <c r="I93" s="10" t="str">
        <f aca="false">IF($L93="","",N(INDEX('NHẬP ĐƠN HÀNG'!$R$6:$R$505,$L93)))</f>
        <v/>
      </c>
      <c r="J93" s="10" t="str">
        <f aca="false">IF($L93="","",IF(INDEX('NHẬP ĐƠN HÀNG'!$U$6:$U$505,$L93)="","",INDEX('NHẬP ĐƠN HÀNG'!$U$6:$U$505,$L93)))</f>
        <v/>
      </c>
      <c r="K93" s="16" t="str">
        <f aca="false">IF($L93="","",IF(INDEX('NHẬP ĐƠN HÀNG'!$W$6:$W$505,$L93)="","",INDEX('NHẬP ĐƠN HÀNG'!$W$6:$W$505,$L93)))</f>
        <v/>
      </c>
      <c r="L93" s="0" t="str">
        <f aca="false">IFERROR(MATCH(88,'NHẬP ĐƠN HÀNG'!$AA$6:$AA$505,0),"")</f>
        <v/>
      </c>
    </row>
    <row r="94" customFormat="false" ht="15" hidden="false" customHeight="false" outlineLevel="0" collapsed="false">
      <c r="A94" s="16" t="str">
        <f aca="false">IF($L94="","",89)</f>
        <v/>
      </c>
      <c r="B94" s="34" t="str">
        <f aca="false">IF($L94="","",IF(INDEX('NHẬP ĐƠN HÀNG'!$B$6:$B$505,$L94)="","",INDEX('NHẬP ĐƠN HÀNG'!$B$6:$B$505,$L94)))</f>
        <v/>
      </c>
      <c r="C94" s="16" t="str">
        <f aca="false">IF($L94="","",IF(INDEX('NHẬP ĐƠN HÀNG'!$C$6:$C$505,$L94)="","",INDEX('NHẬP ĐƠN HÀNG'!$C$6:$C$505,$L94)))</f>
        <v/>
      </c>
      <c r="D94" s="16" t="str">
        <f aca="false">IF($L94="","",IF(INDEX('NHẬP ĐƠN HÀNG'!$D$6:$D$505,$L94)="","",INDEX('NHẬP ĐƠN HÀNG'!$D$6:$D$505,$L94)))</f>
        <v/>
      </c>
      <c r="E94" s="16" t="str">
        <f aca="false">IF($L94="","",IF(INDEX('NHẬP ĐƠN HÀNG'!$H$6:$H$505,$L94)="","",INDEX('NHẬP ĐƠN HÀNG'!$H$6:$H$505,$L94)))</f>
        <v/>
      </c>
      <c r="F94" s="10" t="str">
        <f aca="false">IF($L94="","",N(INDEX('NHẬP ĐƠN HÀNG'!$I$6:$I$505,$L94)))</f>
        <v/>
      </c>
      <c r="G94" s="10" t="str">
        <f aca="false">IF($L94="","",N(INDEX('NHẬP ĐƠN HÀNG'!$L$6:$L$505,$L94)))</f>
        <v/>
      </c>
      <c r="H94" s="10" t="str">
        <f aca="false">IF($L94="","",N(INDEX('NHẬP ĐƠN HÀNG'!$Q$6:$Q$505,$L94)))</f>
        <v/>
      </c>
      <c r="I94" s="10" t="str">
        <f aca="false">IF($L94="","",N(INDEX('NHẬP ĐƠN HÀNG'!$R$6:$R$505,$L94)))</f>
        <v/>
      </c>
      <c r="J94" s="10" t="str">
        <f aca="false">IF($L94="","",IF(INDEX('NHẬP ĐƠN HÀNG'!$U$6:$U$505,$L94)="","",INDEX('NHẬP ĐƠN HÀNG'!$U$6:$U$505,$L94)))</f>
        <v/>
      </c>
      <c r="K94" s="16" t="str">
        <f aca="false">IF($L94="","",IF(INDEX('NHẬP ĐƠN HÀNG'!$W$6:$W$505,$L94)="","",INDEX('NHẬP ĐƠN HÀNG'!$W$6:$W$505,$L94)))</f>
        <v/>
      </c>
      <c r="L94" s="0" t="str">
        <f aca="false">IFERROR(MATCH(89,'NHẬP ĐƠN HÀNG'!$AA$6:$AA$505,0),"")</f>
        <v/>
      </c>
    </row>
    <row r="95" customFormat="false" ht="15" hidden="false" customHeight="false" outlineLevel="0" collapsed="false">
      <c r="A95" s="16" t="str">
        <f aca="false">IF($L95="","",90)</f>
        <v/>
      </c>
      <c r="B95" s="34" t="str">
        <f aca="false">IF($L95="","",IF(INDEX('NHẬP ĐƠN HÀNG'!$B$6:$B$505,$L95)="","",INDEX('NHẬP ĐƠN HÀNG'!$B$6:$B$505,$L95)))</f>
        <v/>
      </c>
      <c r="C95" s="16" t="str">
        <f aca="false">IF($L95="","",IF(INDEX('NHẬP ĐƠN HÀNG'!$C$6:$C$505,$L95)="","",INDEX('NHẬP ĐƠN HÀNG'!$C$6:$C$505,$L95)))</f>
        <v/>
      </c>
      <c r="D95" s="16" t="str">
        <f aca="false">IF($L95="","",IF(INDEX('NHẬP ĐƠN HÀNG'!$D$6:$D$505,$L95)="","",INDEX('NHẬP ĐƠN HÀNG'!$D$6:$D$505,$L95)))</f>
        <v/>
      </c>
      <c r="E95" s="16" t="str">
        <f aca="false">IF($L95="","",IF(INDEX('NHẬP ĐƠN HÀNG'!$H$6:$H$505,$L95)="","",INDEX('NHẬP ĐƠN HÀNG'!$H$6:$H$505,$L95)))</f>
        <v/>
      </c>
      <c r="F95" s="10" t="str">
        <f aca="false">IF($L95="","",N(INDEX('NHẬP ĐƠN HÀNG'!$I$6:$I$505,$L95)))</f>
        <v/>
      </c>
      <c r="G95" s="10" t="str">
        <f aca="false">IF($L95="","",N(INDEX('NHẬP ĐƠN HÀNG'!$L$6:$L$505,$L95)))</f>
        <v/>
      </c>
      <c r="H95" s="10" t="str">
        <f aca="false">IF($L95="","",N(INDEX('NHẬP ĐƠN HÀNG'!$Q$6:$Q$505,$L95)))</f>
        <v/>
      </c>
      <c r="I95" s="10" t="str">
        <f aca="false">IF($L95="","",N(INDEX('NHẬP ĐƠN HÀNG'!$R$6:$R$505,$L95)))</f>
        <v/>
      </c>
      <c r="J95" s="10" t="str">
        <f aca="false">IF($L95="","",IF(INDEX('NHẬP ĐƠN HÀNG'!$U$6:$U$505,$L95)="","",INDEX('NHẬP ĐƠN HÀNG'!$U$6:$U$505,$L95)))</f>
        <v/>
      </c>
      <c r="K95" s="16" t="str">
        <f aca="false">IF($L95="","",IF(INDEX('NHẬP ĐƠN HÀNG'!$W$6:$W$505,$L95)="","",INDEX('NHẬP ĐƠN HÀNG'!$W$6:$W$505,$L95)))</f>
        <v/>
      </c>
      <c r="L95" s="0" t="str">
        <f aca="false">IFERROR(MATCH(90,'NHẬP ĐƠN HÀNG'!$AA$6:$AA$505,0),"")</f>
        <v/>
      </c>
    </row>
    <row r="96" customFormat="false" ht="15" hidden="false" customHeight="false" outlineLevel="0" collapsed="false">
      <c r="A96" s="16" t="str">
        <f aca="false">IF($L96="","",91)</f>
        <v/>
      </c>
      <c r="B96" s="34" t="str">
        <f aca="false">IF($L96="","",IF(INDEX('NHẬP ĐƠN HÀNG'!$B$6:$B$505,$L96)="","",INDEX('NHẬP ĐƠN HÀNG'!$B$6:$B$505,$L96)))</f>
        <v/>
      </c>
      <c r="C96" s="16" t="str">
        <f aca="false">IF($L96="","",IF(INDEX('NHẬP ĐƠN HÀNG'!$C$6:$C$505,$L96)="","",INDEX('NHẬP ĐƠN HÀNG'!$C$6:$C$505,$L96)))</f>
        <v/>
      </c>
      <c r="D96" s="16" t="str">
        <f aca="false">IF($L96="","",IF(INDEX('NHẬP ĐƠN HÀNG'!$D$6:$D$505,$L96)="","",INDEX('NHẬP ĐƠN HÀNG'!$D$6:$D$505,$L96)))</f>
        <v/>
      </c>
      <c r="E96" s="16" t="str">
        <f aca="false">IF($L96="","",IF(INDEX('NHẬP ĐƠN HÀNG'!$H$6:$H$505,$L96)="","",INDEX('NHẬP ĐƠN HÀNG'!$H$6:$H$505,$L96)))</f>
        <v/>
      </c>
      <c r="F96" s="10" t="str">
        <f aca="false">IF($L96="","",N(INDEX('NHẬP ĐƠN HÀNG'!$I$6:$I$505,$L96)))</f>
        <v/>
      </c>
      <c r="G96" s="10" t="str">
        <f aca="false">IF($L96="","",N(INDEX('NHẬP ĐƠN HÀNG'!$L$6:$L$505,$L96)))</f>
        <v/>
      </c>
      <c r="H96" s="10" t="str">
        <f aca="false">IF($L96="","",N(INDEX('NHẬP ĐƠN HÀNG'!$Q$6:$Q$505,$L96)))</f>
        <v/>
      </c>
      <c r="I96" s="10" t="str">
        <f aca="false">IF($L96="","",N(INDEX('NHẬP ĐƠN HÀNG'!$R$6:$R$505,$L96)))</f>
        <v/>
      </c>
      <c r="J96" s="10" t="str">
        <f aca="false">IF($L96="","",IF(INDEX('NHẬP ĐƠN HÀNG'!$U$6:$U$505,$L96)="","",INDEX('NHẬP ĐƠN HÀNG'!$U$6:$U$505,$L96)))</f>
        <v/>
      </c>
      <c r="K96" s="16" t="str">
        <f aca="false">IF($L96="","",IF(INDEX('NHẬP ĐƠN HÀNG'!$W$6:$W$505,$L96)="","",INDEX('NHẬP ĐƠN HÀNG'!$W$6:$W$505,$L96)))</f>
        <v/>
      </c>
      <c r="L96" s="0" t="str">
        <f aca="false">IFERROR(MATCH(91,'NHẬP ĐƠN HÀNG'!$AA$6:$AA$505,0),"")</f>
        <v/>
      </c>
    </row>
    <row r="97" customFormat="false" ht="15" hidden="false" customHeight="false" outlineLevel="0" collapsed="false">
      <c r="A97" s="16" t="str">
        <f aca="false">IF($L97="","",92)</f>
        <v/>
      </c>
      <c r="B97" s="34" t="str">
        <f aca="false">IF($L97="","",IF(INDEX('NHẬP ĐƠN HÀNG'!$B$6:$B$505,$L97)="","",INDEX('NHẬP ĐƠN HÀNG'!$B$6:$B$505,$L97)))</f>
        <v/>
      </c>
      <c r="C97" s="16" t="str">
        <f aca="false">IF($L97="","",IF(INDEX('NHẬP ĐƠN HÀNG'!$C$6:$C$505,$L97)="","",INDEX('NHẬP ĐƠN HÀNG'!$C$6:$C$505,$L97)))</f>
        <v/>
      </c>
      <c r="D97" s="16" t="str">
        <f aca="false">IF($L97="","",IF(INDEX('NHẬP ĐƠN HÀNG'!$D$6:$D$505,$L97)="","",INDEX('NHẬP ĐƠN HÀNG'!$D$6:$D$505,$L97)))</f>
        <v/>
      </c>
      <c r="E97" s="16" t="str">
        <f aca="false">IF($L97="","",IF(INDEX('NHẬP ĐƠN HÀNG'!$H$6:$H$505,$L97)="","",INDEX('NHẬP ĐƠN HÀNG'!$H$6:$H$505,$L97)))</f>
        <v/>
      </c>
      <c r="F97" s="10" t="str">
        <f aca="false">IF($L97="","",N(INDEX('NHẬP ĐƠN HÀNG'!$I$6:$I$505,$L97)))</f>
        <v/>
      </c>
      <c r="G97" s="10" t="str">
        <f aca="false">IF($L97="","",N(INDEX('NHẬP ĐƠN HÀNG'!$L$6:$L$505,$L97)))</f>
        <v/>
      </c>
      <c r="H97" s="10" t="str">
        <f aca="false">IF($L97="","",N(INDEX('NHẬP ĐƠN HÀNG'!$Q$6:$Q$505,$L97)))</f>
        <v/>
      </c>
      <c r="I97" s="10" t="str">
        <f aca="false">IF($L97="","",N(INDEX('NHẬP ĐƠN HÀNG'!$R$6:$R$505,$L97)))</f>
        <v/>
      </c>
      <c r="J97" s="10" t="str">
        <f aca="false">IF($L97="","",IF(INDEX('NHẬP ĐƠN HÀNG'!$U$6:$U$505,$L97)="","",INDEX('NHẬP ĐƠN HÀNG'!$U$6:$U$505,$L97)))</f>
        <v/>
      </c>
      <c r="K97" s="16" t="str">
        <f aca="false">IF($L97="","",IF(INDEX('NHẬP ĐƠN HÀNG'!$W$6:$W$505,$L97)="","",INDEX('NHẬP ĐƠN HÀNG'!$W$6:$W$505,$L97)))</f>
        <v/>
      </c>
      <c r="L97" s="0" t="str">
        <f aca="false">IFERROR(MATCH(92,'NHẬP ĐƠN HÀNG'!$AA$6:$AA$505,0),"")</f>
        <v/>
      </c>
    </row>
    <row r="98" customFormat="false" ht="15" hidden="false" customHeight="false" outlineLevel="0" collapsed="false">
      <c r="A98" s="16" t="str">
        <f aca="false">IF($L98="","",93)</f>
        <v/>
      </c>
      <c r="B98" s="34" t="str">
        <f aca="false">IF($L98="","",IF(INDEX('NHẬP ĐƠN HÀNG'!$B$6:$B$505,$L98)="","",INDEX('NHẬP ĐƠN HÀNG'!$B$6:$B$505,$L98)))</f>
        <v/>
      </c>
      <c r="C98" s="16" t="str">
        <f aca="false">IF($L98="","",IF(INDEX('NHẬP ĐƠN HÀNG'!$C$6:$C$505,$L98)="","",INDEX('NHẬP ĐƠN HÀNG'!$C$6:$C$505,$L98)))</f>
        <v/>
      </c>
      <c r="D98" s="16" t="str">
        <f aca="false">IF($L98="","",IF(INDEX('NHẬP ĐƠN HÀNG'!$D$6:$D$505,$L98)="","",INDEX('NHẬP ĐƠN HÀNG'!$D$6:$D$505,$L98)))</f>
        <v/>
      </c>
      <c r="E98" s="16" t="str">
        <f aca="false">IF($L98="","",IF(INDEX('NHẬP ĐƠN HÀNG'!$H$6:$H$505,$L98)="","",INDEX('NHẬP ĐƠN HÀNG'!$H$6:$H$505,$L98)))</f>
        <v/>
      </c>
      <c r="F98" s="10" t="str">
        <f aca="false">IF($L98="","",N(INDEX('NHẬP ĐƠN HÀNG'!$I$6:$I$505,$L98)))</f>
        <v/>
      </c>
      <c r="G98" s="10" t="str">
        <f aca="false">IF($L98="","",N(INDEX('NHẬP ĐƠN HÀNG'!$L$6:$L$505,$L98)))</f>
        <v/>
      </c>
      <c r="H98" s="10" t="str">
        <f aca="false">IF($L98="","",N(INDEX('NHẬP ĐƠN HÀNG'!$Q$6:$Q$505,$L98)))</f>
        <v/>
      </c>
      <c r="I98" s="10" t="str">
        <f aca="false">IF($L98="","",N(INDEX('NHẬP ĐƠN HÀNG'!$R$6:$R$505,$L98)))</f>
        <v/>
      </c>
      <c r="J98" s="10" t="str">
        <f aca="false">IF($L98="","",IF(INDEX('NHẬP ĐƠN HÀNG'!$U$6:$U$505,$L98)="","",INDEX('NHẬP ĐƠN HÀNG'!$U$6:$U$505,$L98)))</f>
        <v/>
      </c>
      <c r="K98" s="16" t="str">
        <f aca="false">IF($L98="","",IF(INDEX('NHẬP ĐƠN HÀNG'!$W$6:$W$505,$L98)="","",INDEX('NHẬP ĐƠN HÀNG'!$W$6:$W$505,$L98)))</f>
        <v/>
      </c>
      <c r="L98" s="0" t="str">
        <f aca="false">IFERROR(MATCH(93,'NHẬP ĐƠN HÀNG'!$AA$6:$AA$505,0),"")</f>
        <v/>
      </c>
    </row>
    <row r="99" customFormat="false" ht="15" hidden="false" customHeight="false" outlineLevel="0" collapsed="false">
      <c r="A99" s="16" t="str">
        <f aca="false">IF($L99="","",94)</f>
        <v/>
      </c>
      <c r="B99" s="34" t="str">
        <f aca="false">IF($L99="","",IF(INDEX('NHẬP ĐƠN HÀNG'!$B$6:$B$505,$L99)="","",INDEX('NHẬP ĐƠN HÀNG'!$B$6:$B$505,$L99)))</f>
        <v/>
      </c>
      <c r="C99" s="16" t="str">
        <f aca="false">IF($L99="","",IF(INDEX('NHẬP ĐƠN HÀNG'!$C$6:$C$505,$L99)="","",INDEX('NHẬP ĐƠN HÀNG'!$C$6:$C$505,$L99)))</f>
        <v/>
      </c>
      <c r="D99" s="16" t="str">
        <f aca="false">IF($L99="","",IF(INDEX('NHẬP ĐƠN HÀNG'!$D$6:$D$505,$L99)="","",INDEX('NHẬP ĐƠN HÀNG'!$D$6:$D$505,$L99)))</f>
        <v/>
      </c>
      <c r="E99" s="16" t="str">
        <f aca="false">IF($L99="","",IF(INDEX('NHẬP ĐƠN HÀNG'!$H$6:$H$505,$L99)="","",INDEX('NHẬP ĐƠN HÀNG'!$H$6:$H$505,$L99)))</f>
        <v/>
      </c>
      <c r="F99" s="10" t="str">
        <f aca="false">IF($L99="","",N(INDEX('NHẬP ĐƠN HÀNG'!$I$6:$I$505,$L99)))</f>
        <v/>
      </c>
      <c r="G99" s="10" t="str">
        <f aca="false">IF($L99="","",N(INDEX('NHẬP ĐƠN HÀNG'!$L$6:$L$505,$L99)))</f>
        <v/>
      </c>
      <c r="H99" s="10" t="str">
        <f aca="false">IF($L99="","",N(INDEX('NHẬP ĐƠN HÀNG'!$Q$6:$Q$505,$L99)))</f>
        <v/>
      </c>
      <c r="I99" s="10" t="str">
        <f aca="false">IF($L99="","",N(INDEX('NHẬP ĐƠN HÀNG'!$R$6:$R$505,$L99)))</f>
        <v/>
      </c>
      <c r="J99" s="10" t="str">
        <f aca="false">IF($L99="","",IF(INDEX('NHẬP ĐƠN HÀNG'!$U$6:$U$505,$L99)="","",INDEX('NHẬP ĐƠN HÀNG'!$U$6:$U$505,$L99)))</f>
        <v/>
      </c>
      <c r="K99" s="16" t="str">
        <f aca="false">IF($L99="","",IF(INDEX('NHẬP ĐƠN HÀNG'!$W$6:$W$505,$L99)="","",INDEX('NHẬP ĐƠN HÀNG'!$W$6:$W$505,$L99)))</f>
        <v/>
      </c>
      <c r="L99" s="0" t="str">
        <f aca="false">IFERROR(MATCH(94,'NHẬP ĐƠN HÀNG'!$AA$6:$AA$505,0),"")</f>
        <v/>
      </c>
    </row>
    <row r="100" customFormat="false" ht="15" hidden="false" customHeight="false" outlineLevel="0" collapsed="false">
      <c r="A100" s="16" t="str">
        <f aca="false">IF($L100="","",95)</f>
        <v/>
      </c>
      <c r="B100" s="34" t="str">
        <f aca="false">IF($L100="","",IF(INDEX('NHẬP ĐƠN HÀNG'!$B$6:$B$505,$L100)="","",INDEX('NHẬP ĐƠN HÀNG'!$B$6:$B$505,$L100)))</f>
        <v/>
      </c>
      <c r="C100" s="16" t="str">
        <f aca="false">IF($L100="","",IF(INDEX('NHẬP ĐƠN HÀNG'!$C$6:$C$505,$L100)="","",INDEX('NHẬP ĐƠN HÀNG'!$C$6:$C$505,$L100)))</f>
        <v/>
      </c>
      <c r="D100" s="16" t="str">
        <f aca="false">IF($L100="","",IF(INDEX('NHẬP ĐƠN HÀNG'!$D$6:$D$505,$L100)="","",INDEX('NHẬP ĐƠN HÀNG'!$D$6:$D$505,$L100)))</f>
        <v/>
      </c>
      <c r="E100" s="16" t="str">
        <f aca="false">IF($L100="","",IF(INDEX('NHẬP ĐƠN HÀNG'!$H$6:$H$505,$L100)="","",INDEX('NHẬP ĐƠN HÀNG'!$H$6:$H$505,$L100)))</f>
        <v/>
      </c>
      <c r="F100" s="10" t="str">
        <f aca="false">IF($L100="","",N(INDEX('NHẬP ĐƠN HÀNG'!$I$6:$I$505,$L100)))</f>
        <v/>
      </c>
      <c r="G100" s="10" t="str">
        <f aca="false">IF($L100="","",N(INDEX('NHẬP ĐƠN HÀNG'!$L$6:$L$505,$L100)))</f>
        <v/>
      </c>
      <c r="H100" s="10" t="str">
        <f aca="false">IF($L100="","",N(INDEX('NHẬP ĐƠN HÀNG'!$Q$6:$Q$505,$L100)))</f>
        <v/>
      </c>
      <c r="I100" s="10" t="str">
        <f aca="false">IF($L100="","",N(INDEX('NHẬP ĐƠN HÀNG'!$R$6:$R$505,$L100)))</f>
        <v/>
      </c>
      <c r="J100" s="10" t="str">
        <f aca="false">IF($L100="","",IF(INDEX('NHẬP ĐƠN HÀNG'!$U$6:$U$505,$L100)="","",INDEX('NHẬP ĐƠN HÀNG'!$U$6:$U$505,$L100)))</f>
        <v/>
      </c>
      <c r="K100" s="16" t="str">
        <f aca="false">IF($L100="","",IF(INDEX('NHẬP ĐƠN HÀNG'!$W$6:$W$505,$L100)="","",INDEX('NHẬP ĐƠN HÀNG'!$W$6:$W$505,$L100)))</f>
        <v/>
      </c>
      <c r="L100" s="0" t="str">
        <f aca="false">IFERROR(MATCH(95,'NHẬP ĐƠN HÀNG'!$AA$6:$AA$505,0),"")</f>
        <v/>
      </c>
    </row>
    <row r="101" customFormat="false" ht="15" hidden="false" customHeight="false" outlineLevel="0" collapsed="false">
      <c r="A101" s="16" t="str">
        <f aca="false">IF($L101="","",96)</f>
        <v/>
      </c>
      <c r="B101" s="34" t="str">
        <f aca="false">IF($L101="","",IF(INDEX('NHẬP ĐƠN HÀNG'!$B$6:$B$505,$L101)="","",INDEX('NHẬP ĐƠN HÀNG'!$B$6:$B$505,$L101)))</f>
        <v/>
      </c>
      <c r="C101" s="16" t="str">
        <f aca="false">IF($L101="","",IF(INDEX('NHẬP ĐƠN HÀNG'!$C$6:$C$505,$L101)="","",INDEX('NHẬP ĐƠN HÀNG'!$C$6:$C$505,$L101)))</f>
        <v/>
      </c>
      <c r="D101" s="16" t="str">
        <f aca="false">IF($L101="","",IF(INDEX('NHẬP ĐƠN HÀNG'!$D$6:$D$505,$L101)="","",INDEX('NHẬP ĐƠN HÀNG'!$D$6:$D$505,$L101)))</f>
        <v/>
      </c>
      <c r="E101" s="16" t="str">
        <f aca="false">IF($L101="","",IF(INDEX('NHẬP ĐƠN HÀNG'!$H$6:$H$505,$L101)="","",INDEX('NHẬP ĐƠN HÀNG'!$H$6:$H$505,$L101)))</f>
        <v/>
      </c>
      <c r="F101" s="10" t="str">
        <f aca="false">IF($L101="","",N(INDEX('NHẬP ĐƠN HÀNG'!$I$6:$I$505,$L101)))</f>
        <v/>
      </c>
      <c r="G101" s="10" t="str">
        <f aca="false">IF($L101="","",N(INDEX('NHẬP ĐƠN HÀNG'!$L$6:$L$505,$L101)))</f>
        <v/>
      </c>
      <c r="H101" s="10" t="str">
        <f aca="false">IF($L101="","",N(INDEX('NHẬP ĐƠN HÀNG'!$Q$6:$Q$505,$L101)))</f>
        <v/>
      </c>
      <c r="I101" s="10" t="str">
        <f aca="false">IF($L101="","",N(INDEX('NHẬP ĐƠN HÀNG'!$R$6:$R$505,$L101)))</f>
        <v/>
      </c>
      <c r="J101" s="10" t="str">
        <f aca="false">IF($L101="","",IF(INDEX('NHẬP ĐƠN HÀNG'!$U$6:$U$505,$L101)="","",INDEX('NHẬP ĐƠN HÀNG'!$U$6:$U$505,$L101)))</f>
        <v/>
      </c>
      <c r="K101" s="16" t="str">
        <f aca="false">IF($L101="","",IF(INDEX('NHẬP ĐƠN HÀNG'!$W$6:$W$505,$L101)="","",INDEX('NHẬP ĐƠN HÀNG'!$W$6:$W$505,$L101)))</f>
        <v/>
      </c>
      <c r="L101" s="0" t="str">
        <f aca="false">IFERROR(MATCH(96,'NHẬP ĐƠN HÀNG'!$AA$6:$AA$505,0),"")</f>
        <v/>
      </c>
    </row>
    <row r="102" customFormat="false" ht="15" hidden="false" customHeight="false" outlineLevel="0" collapsed="false">
      <c r="A102" s="16" t="str">
        <f aca="false">IF($L102="","",97)</f>
        <v/>
      </c>
      <c r="B102" s="34" t="str">
        <f aca="false">IF($L102="","",IF(INDEX('NHẬP ĐƠN HÀNG'!$B$6:$B$505,$L102)="","",INDEX('NHẬP ĐƠN HÀNG'!$B$6:$B$505,$L102)))</f>
        <v/>
      </c>
      <c r="C102" s="16" t="str">
        <f aca="false">IF($L102="","",IF(INDEX('NHẬP ĐƠN HÀNG'!$C$6:$C$505,$L102)="","",INDEX('NHẬP ĐƠN HÀNG'!$C$6:$C$505,$L102)))</f>
        <v/>
      </c>
      <c r="D102" s="16" t="str">
        <f aca="false">IF($L102="","",IF(INDEX('NHẬP ĐƠN HÀNG'!$D$6:$D$505,$L102)="","",INDEX('NHẬP ĐƠN HÀNG'!$D$6:$D$505,$L102)))</f>
        <v/>
      </c>
      <c r="E102" s="16" t="str">
        <f aca="false">IF($L102="","",IF(INDEX('NHẬP ĐƠN HÀNG'!$H$6:$H$505,$L102)="","",INDEX('NHẬP ĐƠN HÀNG'!$H$6:$H$505,$L102)))</f>
        <v/>
      </c>
      <c r="F102" s="10" t="str">
        <f aca="false">IF($L102="","",N(INDEX('NHẬP ĐƠN HÀNG'!$I$6:$I$505,$L102)))</f>
        <v/>
      </c>
      <c r="G102" s="10" t="str">
        <f aca="false">IF($L102="","",N(INDEX('NHẬP ĐƠN HÀNG'!$L$6:$L$505,$L102)))</f>
        <v/>
      </c>
      <c r="H102" s="10" t="str">
        <f aca="false">IF($L102="","",N(INDEX('NHẬP ĐƠN HÀNG'!$Q$6:$Q$505,$L102)))</f>
        <v/>
      </c>
      <c r="I102" s="10" t="str">
        <f aca="false">IF($L102="","",N(INDEX('NHẬP ĐƠN HÀNG'!$R$6:$R$505,$L102)))</f>
        <v/>
      </c>
      <c r="J102" s="10" t="str">
        <f aca="false">IF($L102="","",IF(INDEX('NHẬP ĐƠN HÀNG'!$U$6:$U$505,$L102)="","",INDEX('NHẬP ĐƠN HÀNG'!$U$6:$U$505,$L102)))</f>
        <v/>
      </c>
      <c r="K102" s="16" t="str">
        <f aca="false">IF($L102="","",IF(INDEX('NHẬP ĐƠN HÀNG'!$W$6:$W$505,$L102)="","",INDEX('NHẬP ĐƠN HÀNG'!$W$6:$W$505,$L102)))</f>
        <v/>
      </c>
      <c r="L102" s="0" t="str">
        <f aca="false">IFERROR(MATCH(97,'NHẬP ĐƠN HÀNG'!$AA$6:$AA$505,0),"")</f>
        <v/>
      </c>
    </row>
    <row r="103" customFormat="false" ht="15" hidden="false" customHeight="false" outlineLevel="0" collapsed="false">
      <c r="A103" s="16" t="str">
        <f aca="false">IF($L103="","",98)</f>
        <v/>
      </c>
      <c r="B103" s="34" t="str">
        <f aca="false">IF($L103="","",IF(INDEX('NHẬP ĐƠN HÀNG'!$B$6:$B$505,$L103)="","",INDEX('NHẬP ĐƠN HÀNG'!$B$6:$B$505,$L103)))</f>
        <v/>
      </c>
      <c r="C103" s="16" t="str">
        <f aca="false">IF($L103="","",IF(INDEX('NHẬP ĐƠN HÀNG'!$C$6:$C$505,$L103)="","",INDEX('NHẬP ĐƠN HÀNG'!$C$6:$C$505,$L103)))</f>
        <v/>
      </c>
      <c r="D103" s="16" t="str">
        <f aca="false">IF($L103="","",IF(INDEX('NHẬP ĐƠN HÀNG'!$D$6:$D$505,$L103)="","",INDEX('NHẬP ĐƠN HÀNG'!$D$6:$D$505,$L103)))</f>
        <v/>
      </c>
      <c r="E103" s="16" t="str">
        <f aca="false">IF($L103="","",IF(INDEX('NHẬP ĐƠN HÀNG'!$H$6:$H$505,$L103)="","",INDEX('NHẬP ĐƠN HÀNG'!$H$6:$H$505,$L103)))</f>
        <v/>
      </c>
      <c r="F103" s="10" t="str">
        <f aca="false">IF($L103="","",N(INDEX('NHẬP ĐƠN HÀNG'!$I$6:$I$505,$L103)))</f>
        <v/>
      </c>
      <c r="G103" s="10" t="str">
        <f aca="false">IF($L103="","",N(INDEX('NHẬP ĐƠN HÀNG'!$L$6:$L$505,$L103)))</f>
        <v/>
      </c>
      <c r="H103" s="10" t="str">
        <f aca="false">IF($L103="","",N(INDEX('NHẬP ĐƠN HÀNG'!$Q$6:$Q$505,$L103)))</f>
        <v/>
      </c>
      <c r="I103" s="10" t="str">
        <f aca="false">IF($L103="","",N(INDEX('NHẬP ĐƠN HÀNG'!$R$6:$R$505,$L103)))</f>
        <v/>
      </c>
      <c r="J103" s="10" t="str">
        <f aca="false">IF($L103="","",IF(INDEX('NHẬP ĐƠN HÀNG'!$U$6:$U$505,$L103)="","",INDEX('NHẬP ĐƠN HÀNG'!$U$6:$U$505,$L103)))</f>
        <v/>
      </c>
      <c r="K103" s="16" t="str">
        <f aca="false">IF($L103="","",IF(INDEX('NHẬP ĐƠN HÀNG'!$W$6:$W$505,$L103)="","",INDEX('NHẬP ĐƠN HÀNG'!$W$6:$W$505,$L103)))</f>
        <v/>
      </c>
      <c r="L103" s="0" t="str">
        <f aca="false">IFERROR(MATCH(98,'NHẬP ĐƠN HÀNG'!$AA$6:$AA$505,0),"")</f>
        <v/>
      </c>
    </row>
    <row r="104" customFormat="false" ht="15" hidden="false" customHeight="false" outlineLevel="0" collapsed="false">
      <c r="A104" s="16" t="str">
        <f aca="false">IF($L104="","",99)</f>
        <v/>
      </c>
      <c r="B104" s="34" t="str">
        <f aca="false">IF($L104="","",IF(INDEX('NHẬP ĐƠN HÀNG'!$B$6:$B$505,$L104)="","",INDEX('NHẬP ĐƠN HÀNG'!$B$6:$B$505,$L104)))</f>
        <v/>
      </c>
      <c r="C104" s="16" t="str">
        <f aca="false">IF($L104="","",IF(INDEX('NHẬP ĐƠN HÀNG'!$C$6:$C$505,$L104)="","",INDEX('NHẬP ĐƠN HÀNG'!$C$6:$C$505,$L104)))</f>
        <v/>
      </c>
      <c r="D104" s="16" t="str">
        <f aca="false">IF($L104="","",IF(INDEX('NHẬP ĐƠN HÀNG'!$D$6:$D$505,$L104)="","",INDEX('NHẬP ĐƠN HÀNG'!$D$6:$D$505,$L104)))</f>
        <v/>
      </c>
      <c r="E104" s="16" t="str">
        <f aca="false">IF($L104="","",IF(INDEX('NHẬP ĐƠN HÀNG'!$H$6:$H$505,$L104)="","",INDEX('NHẬP ĐƠN HÀNG'!$H$6:$H$505,$L104)))</f>
        <v/>
      </c>
      <c r="F104" s="10" t="str">
        <f aca="false">IF($L104="","",N(INDEX('NHẬP ĐƠN HÀNG'!$I$6:$I$505,$L104)))</f>
        <v/>
      </c>
      <c r="G104" s="10" t="str">
        <f aca="false">IF($L104="","",N(INDEX('NHẬP ĐƠN HÀNG'!$L$6:$L$505,$L104)))</f>
        <v/>
      </c>
      <c r="H104" s="10" t="str">
        <f aca="false">IF($L104="","",N(INDEX('NHẬP ĐƠN HÀNG'!$Q$6:$Q$505,$L104)))</f>
        <v/>
      </c>
      <c r="I104" s="10" t="str">
        <f aca="false">IF($L104="","",N(INDEX('NHẬP ĐƠN HÀNG'!$R$6:$R$505,$L104)))</f>
        <v/>
      </c>
      <c r="J104" s="10" t="str">
        <f aca="false">IF($L104="","",IF(INDEX('NHẬP ĐƠN HÀNG'!$U$6:$U$505,$L104)="","",INDEX('NHẬP ĐƠN HÀNG'!$U$6:$U$505,$L104)))</f>
        <v/>
      </c>
      <c r="K104" s="16" t="str">
        <f aca="false">IF($L104="","",IF(INDEX('NHẬP ĐƠN HÀNG'!$W$6:$W$505,$L104)="","",INDEX('NHẬP ĐƠN HÀNG'!$W$6:$W$505,$L104)))</f>
        <v/>
      </c>
      <c r="L104" s="0" t="str">
        <f aca="false">IFERROR(MATCH(99,'NHẬP ĐƠN HÀNG'!$AA$6:$AA$505,0),"")</f>
        <v/>
      </c>
    </row>
    <row r="105" customFormat="false" ht="15" hidden="false" customHeight="false" outlineLevel="0" collapsed="false">
      <c r="A105" s="16" t="str">
        <f aca="false">IF($L105="","",100)</f>
        <v/>
      </c>
      <c r="B105" s="34" t="str">
        <f aca="false">IF($L105="","",IF(INDEX('NHẬP ĐƠN HÀNG'!$B$6:$B$505,$L105)="","",INDEX('NHẬP ĐƠN HÀNG'!$B$6:$B$505,$L105)))</f>
        <v/>
      </c>
      <c r="C105" s="16" t="str">
        <f aca="false">IF($L105="","",IF(INDEX('NHẬP ĐƠN HÀNG'!$C$6:$C$505,$L105)="","",INDEX('NHẬP ĐƠN HÀNG'!$C$6:$C$505,$L105)))</f>
        <v/>
      </c>
      <c r="D105" s="16" t="str">
        <f aca="false">IF($L105="","",IF(INDEX('NHẬP ĐƠN HÀNG'!$D$6:$D$505,$L105)="","",INDEX('NHẬP ĐƠN HÀNG'!$D$6:$D$505,$L105)))</f>
        <v/>
      </c>
      <c r="E105" s="16" t="str">
        <f aca="false">IF($L105="","",IF(INDEX('NHẬP ĐƠN HÀNG'!$H$6:$H$505,$L105)="","",INDEX('NHẬP ĐƠN HÀNG'!$H$6:$H$505,$L105)))</f>
        <v/>
      </c>
      <c r="F105" s="10" t="str">
        <f aca="false">IF($L105="","",N(INDEX('NHẬP ĐƠN HÀNG'!$I$6:$I$505,$L105)))</f>
        <v/>
      </c>
      <c r="G105" s="10" t="str">
        <f aca="false">IF($L105="","",N(INDEX('NHẬP ĐƠN HÀNG'!$L$6:$L$505,$L105)))</f>
        <v/>
      </c>
      <c r="H105" s="10" t="str">
        <f aca="false">IF($L105="","",N(INDEX('NHẬP ĐƠN HÀNG'!$Q$6:$Q$505,$L105)))</f>
        <v/>
      </c>
      <c r="I105" s="10" t="str">
        <f aca="false">IF($L105="","",N(INDEX('NHẬP ĐƠN HÀNG'!$R$6:$R$505,$L105)))</f>
        <v/>
      </c>
      <c r="J105" s="10" t="str">
        <f aca="false">IF($L105="","",IF(INDEX('NHẬP ĐƠN HÀNG'!$U$6:$U$505,$L105)="","",INDEX('NHẬP ĐƠN HÀNG'!$U$6:$U$505,$L105)))</f>
        <v/>
      </c>
      <c r="K105" s="16" t="str">
        <f aca="false">IF($L105="","",IF(INDEX('NHẬP ĐƠN HÀNG'!$W$6:$W$505,$L105)="","",INDEX('NHẬP ĐƠN HÀNG'!$W$6:$W$505,$L105)))</f>
        <v/>
      </c>
      <c r="L105" s="0" t="str">
        <f aca="false">IFERROR(MATCH(100,'NHẬP ĐƠN HÀNG'!$AA$6:$AA$505,0),"")</f>
        <v/>
      </c>
    </row>
    <row r="106" customFormat="false" ht="15" hidden="false" customHeight="false" outlineLevel="0" collapsed="false">
      <c r="A106" s="16" t="str">
        <f aca="false">IF($L106="","",101)</f>
        <v/>
      </c>
      <c r="B106" s="34" t="str">
        <f aca="false">IF($L106="","",IF(INDEX('NHẬP ĐƠN HÀNG'!$B$6:$B$505,$L106)="","",INDEX('NHẬP ĐƠN HÀNG'!$B$6:$B$505,$L106)))</f>
        <v/>
      </c>
      <c r="C106" s="16" t="str">
        <f aca="false">IF($L106="","",IF(INDEX('NHẬP ĐƠN HÀNG'!$C$6:$C$505,$L106)="","",INDEX('NHẬP ĐƠN HÀNG'!$C$6:$C$505,$L106)))</f>
        <v/>
      </c>
      <c r="D106" s="16" t="str">
        <f aca="false">IF($L106="","",IF(INDEX('NHẬP ĐƠN HÀNG'!$D$6:$D$505,$L106)="","",INDEX('NHẬP ĐƠN HÀNG'!$D$6:$D$505,$L106)))</f>
        <v/>
      </c>
      <c r="E106" s="16" t="str">
        <f aca="false">IF($L106="","",IF(INDEX('NHẬP ĐƠN HÀNG'!$H$6:$H$505,$L106)="","",INDEX('NHẬP ĐƠN HÀNG'!$H$6:$H$505,$L106)))</f>
        <v/>
      </c>
      <c r="F106" s="10" t="str">
        <f aca="false">IF($L106="","",N(INDEX('NHẬP ĐƠN HÀNG'!$I$6:$I$505,$L106)))</f>
        <v/>
      </c>
      <c r="G106" s="10" t="str">
        <f aca="false">IF($L106="","",N(INDEX('NHẬP ĐƠN HÀNG'!$L$6:$L$505,$L106)))</f>
        <v/>
      </c>
      <c r="H106" s="10" t="str">
        <f aca="false">IF($L106="","",N(INDEX('NHẬP ĐƠN HÀNG'!$Q$6:$Q$505,$L106)))</f>
        <v/>
      </c>
      <c r="I106" s="10" t="str">
        <f aca="false">IF($L106="","",N(INDEX('NHẬP ĐƠN HÀNG'!$R$6:$R$505,$L106)))</f>
        <v/>
      </c>
      <c r="J106" s="10" t="str">
        <f aca="false">IF($L106="","",IF(INDEX('NHẬP ĐƠN HÀNG'!$U$6:$U$505,$L106)="","",INDEX('NHẬP ĐƠN HÀNG'!$U$6:$U$505,$L106)))</f>
        <v/>
      </c>
      <c r="K106" s="16" t="str">
        <f aca="false">IF($L106="","",IF(INDEX('NHẬP ĐƠN HÀNG'!$W$6:$W$505,$L106)="","",INDEX('NHẬP ĐƠN HÀNG'!$W$6:$W$505,$L106)))</f>
        <v/>
      </c>
      <c r="L106" s="0" t="str">
        <f aca="false">IFERROR(MATCH(101,'NHẬP ĐƠN HÀNG'!$AA$6:$AA$505,0),"")</f>
        <v/>
      </c>
    </row>
    <row r="107" customFormat="false" ht="15" hidden="false" customHeight="false" outlineLevel="0" collapsed="false">
      <c r="A107" s="16" t="str">
        <f aca="false">IF($L107="","",102)</f>
        <v/>
      </c>
      <c r="B107" s="34" t="str">
        <f aca="false">IF($L107="","",IF(INDEX('NHẬP ĐƠN HÀNG'!$B$6:$B$505,$L107)="","",INDEX('NHẬP ĐƠN HÀNG'!$B$6:$B$505,$L107)))</f>
        <v/>
      </c>
      <c r="C107" s="16" t="str">
        <f aca="false">IF($L107="","",IF(INDEX('NHẬP ĐƠN HÀNG'!$C$6:$C$505,$L107)="","",INDEX('NHẬP ĐƠN HÀNG'!$C$6:$C$505,$L107)))</f>
        <v/>
      </c>
      <c r="D107" s="16" t="str">
        <f aca="false">IF($L107="","",IF(INDEX('NHẬP ĐƠN HÀNG'!$D$6:$D$505,$L107)="","",INDEX('NHẬP ĐƠN HÀNG'!$D$6:$D$505,$L107)))</f>
        <v/>
      </c>
      <c r="E107" s="16" t="str">
        <f aca="false">IF($L107="","",IF(INDEX('NHẬP ĐƠN HÀNG'!$H$6:$H$505,$L107)="","",INDEX('NHẬP ĐƠN HÀNG'!$H$6:$H$505,$L107)))</f>
        <v/>
      </c>
      <c r="F107" s="10" t="str">
        <f aca="false">IF($L107="","",N(INDEX('NHẬP ĐƠN HÀNG'!$I$6:$I$505,$L107)))</f>
        <v/>
      </c>
      <c r="G107" s="10" t="str">
        <f aca="false">IF($L107="","",N(INDEX('NHẬP ĐƠN HÀNG'!$L$6:$L$505,$L107)))</f>
        <v/>
      </c>
      <c r="H107" s="10" t="str">
        <f aca="false">IF($L107="","",N(INDEX('NHẬP ĐƠN HÀNG'!$Q$6:$Q$505,$L107)))</f>
        <v/>
      </c>
      <c r="I107" s="10" t="str">
        <f aca="false">IF($L107="","",N(INDEX('NHẬP ĐƠN HÀNG'!$R$6:$R$505,$L107)))</f>
        <v/>
      </c>
      <c r="J107" s="10" t="str">
        <f aca="false">IF($L107="","",IF(INDEX('NHẬP ĐƠN HÀNG'!$U$6:$U$505,$L107)="","",INDEX('NHẬP ĐƠN HÀNG'!$U$6:$U$505,$L107)))</f>
        <v/>
      </c>
      <c r="K107" s="16" t="str">
        <f aca="false">IF($L107="","",IF(INDEX('NHẬP ĐƠN HÀNG'!$W$6:$W$505,$L107)="","",INDEX('NHẬP ĐƠN HÀNG'!$W$6:$W$505,$L107)))</f>
        <v/>
      </c>
      <c r="L107" s="0" t="str">
        <f aca="false">IFERROR(MATCH(102,'NHẬP ĐƠN HÀNG'!$AA$6:$AA$505,0),"")</f>
        <v/>
      </c>
    </row>
    <row r="108" customFormat="false" ht="15" hidden="false" customHeight="false" outlineLevel="0" collapsed="false">
      <c r="A108" s="16" t="str">
        <f aca="false">IF($L108="","",103)</f>
        <v/>
      </c>
      <c r="B108" s="34" t="str">
        <f aca="false">IF($L108="","",IF(INDEX('NHẬP ĐƠN HÀNG'!$B$6:$B$505,$L108)="","",INDEX('NHẬP ĐƠN HÀNG'!$B$6:$B$505,$L108)))</f>
        <v/>
      </c>
      <c r="C108" s="16" t="str">
        <f aca="false">IF($L108="","",IF(INDEX('NHẬP ĐƠN HÀNG'!$C$6:$C$505,$L108)="","",INDEX('NHẬP ĐƠN HÀNG'!$C$6:$C$505,$L108)))</f>
        <v/>
      </c>
      <c r="D108" s="16" t="str">
        <f aca="false">IF($L108="","",IF(INDEX('NHẬP ĐƠN HÀNG'!$D$6:$D$505,$L108)="","",INDEX('NHẬP ĐƠN HÀNG'!$D$6:$D$505,$L108)))</f>
        <v/>
      </c>
      <c r="E108" s="16" t="str">
        <f aca="false">IF($L108="","",IF(INDEX('NHẬP ĐƠN HÀNG'!$H$6:$H$505,$L108)="","",INDEX('NHẬP ĐƠN HÀNG'!$H$6:$H$505,$L108)))</f>
        <v/>
      </c>
      <c r="F108" s="10" t="str">
        <f aca="false">IF($L108="","",N(INDEX('NHẬP ĐƠN HÀNG'!$I$6:$I$505,$L108)))</f>
        <v/>
      </c>
      <c r="G108" s="10" t="str">
        <f aca="false">IF($L108="","",N(INDEX('NHẬP ĐƠN HÀNG'!$L$6:$L$505,$L108)))</f>
        <v/>
      </c>
      <c r="H108" s="10" t="str">
        <f aca="false">IF($L108="","",N(INDEX('NHẬP ĐƠN HÀNG'!$Q$6:$Q$505,$L108)))</f>
        <v/>
      </c>
      <c r="I108" s="10" t="str">
        <f aca="false">IF($L108="","",N(INDEX('NHẬP ĐƠN HÀNG'!$R$6:$R$505,$L108)))</f>
        <v/>
      </c>
      <c r="J108" s="10" t="str">
        <f aca="false">IF($L108="","",IF(INDEX('NHẬP ĐƠN HÀNG'!$U$6:$U$505,$L108)="","",INDEX('NHẬP ĐƠN HÀNG'!$U$6:$U$505,$L108)))</f>
        <v/>
      </c>
      <c r="K108" s="16" t="str">
        <f aca="false">IF($L108="","",IF(INDEX('NHẬP ĐƠN HÀNG'!$W$6:$W$505,$L108)="","",INDEX('NHẬP ĐƠN HÀNG'!$W$6:$W$505,$L108)))</f>
        <v/>
      </c>
      <c r="L108" s="0" t="str">
        <f aca="false">IFERROR(MATCH(103,'NHẬP ĐƠN HÀNG'!$AA$6:$AA$505,0),"")</f>
        <v/>
      </c>
    </row>
    <row r="109" customFormat="false" ht="15" hidden="false" customHeight="false" outlineLevel="0" collapsed="false">
      <c r="A109" s="16" t="str">
        <f aca="false">IF($L109="","",104)</f>
        <v/>
      </c>
      <c r="B109" s="34" t="str">
        <f aca="false">IF($L109="","",IF(INDEX('NHẬP ĐƠN HÀNG'!$B$6:$B$505,$L109)="","",INDEX('NHẬP ĐƠN HÀNG'!$B$6:$B$505,$L109)))</f>
        <v/>
      </c>
      <c r="C109" s="16" t="str">
        <f aca="false">IF($L109="","",IF(INDEX('NHẬP ĐƠN HÀNG'!$C$6:$C$505,$L109)="","",INDEX('NHẬP ĐƠN HÀNG'!$C$6:$C$505,$L109)))</f>
        <v/>
      </c>
      <c r="D109" s="16" t="str">
        <f aca="false">IF($L109="","",IF(INDEX('NHẬP ĐƠN HÀNG'!$D$6:$D$505,$L109)="","",INDEX('NHẬP ĐƠN HÀNG'!$D$6:$D$505,$L109)))</f>
        <v/>
      </c>
      <c r="E109" s="16" t="str">
        <f aca="false">IF($L109="","",IF(INDEX('NHẬP ĐƠN HÀNG'!$H$6:$H$505,$L109)="","",INDEX('NHẬP ĐƠN HÀNG'!$H$6:$H$505,$L109)))</f>
        <v/>
      </c>
      <c r="F109" s="10" t="str">
        <f aca="false">IF($L109="","",N(INDEX('NHẬP ĐƠN HÀNG'!$I$6:$I$505,$L109)))</f>
        <v/>
      </c>
      <c r="G109" s="10" t="str">
        <f aca="false">IF($L109="","",N(INDEX('NHẬP ĐƠN HÀNG'!$L$6:$L$505,$L109)))</f>
        <v/>
      </c>
      <c r="H109" s="10" t="str">
        <f aca="false">IF($L109="","",N(INDEX('NHẬP ĐƠN HÀNG'!$Q$6:$Q$505,$L109)))</f>
        <v/>
      </c>
      <c r="I109" s="10" t="str">
        <f aca="false">IF($L109="","",N(INDEX('NHẬP ĐƠN HÀNG'!$R$6:$R$505,$L109)))</f>
        <v/>
      </c>
      <c r="J109" s="10" t="str">
        <f aca="false">IF($L109="","",IF(INDEX('NHẬP ĐƠN HÀNG'!$U$6:$U$505,$L109)="","",INDEX('NHẬP ĐƠN HÀNG'!$U$6:$U$505,$L109)))</f>
        <v/>
      </c>
      <c r="K109" s="16" t="str">
        <f aca="false">IF($L109="","",IF(INDEX('NHẬP ĐƠN HÀNG'!$W$6:$W$505,$L109)="","",INDEX('NHẬP ĐƠN HÀNG'!$W$6:$W$505,$L109)))</f>
        <v/>
      </c>
      <c r="L109" s="0" t="str">
        <f aca="false">IFERROR(MATCH(104,'NHẬP ĐƠN HÀNG'!$AA$6:$AA$505,0),"")</f>
        <v/>
      </c>
    </row>
    <row r="110" customFormat="false" ht="15" hidden="false" customHeight="false" outlineLevel="0" collapsed="false">
      <c r="A110" s="16" t="str">
        <f aca="false">IF($L110="","",105)</f>
        <v/>
      </c>
      <c r="B110" s="34" t="str">
        <f aca="false">IF($L110="","",IF(INDEX('NHẬP ĐƠN HÀNG'!$B$6:$B$505,$L110)="","",INDEX('NHẬP ĐƠN HÀNG'!$B$6:$B$505,$L110)))</f>
        <v/>
      </c>
      <c r="C110" s="16" t="str">
        <f aca="false">IF($L110="","",IF(INDEX('NHẬP ĐƠN HÀNG'!$C$6:$C$505,$L110)="","",INDEX('NHẬP ĐƠN HÀNG'!$C$6:$C$505,$L110)))</f>
        <v/>
      </c>
      <c r="D110" s="16" t="str">
        <f aca="false">IF($L110="","",IF(INDEX('NHẬP ĐƠN HÀNG'!$D$6:$D$505,$L110)="","",INDEX('NHẬP ĐƠN HÀNG'!$D$6:$D$505,$L110)))</f>
        <v/>
      </c>
      <c r="E110" s="16" t="str">
        <f aca="false">IF($L110="","",IF(INDEX('NHẬP ĐƠN HÀNG'!$H$6:$H$505,$L110)="","",INDEX('NHẬP ĐƠN HÀNG'!$H$6:$H$505,$L110)))</f>
        <v/>
      </c>
      <c r="F110" s="10" t="str">
        <f aca="false">IF($L110="","",N(INDEX('NHẬP ĐƠN HÀNG'!$I$6:$I$505,$L110)))</f>
        <v/>
      </c>
      <c r="G110" s="10" t="str">
        <f aca="false">IF($L110="","",N(INDEX('NHẬP ĐƠN HÀNG'!$L$6:$L$505,$L110)))</f>
        <v/>
      </c>
      <c r="H110" s="10" t="str">
        <f aca="false">IF($L110="","",N(INDEX('NHẬP ĐƠN HÀNG'!$Q$6:$Q$505,$L110)))</f>
        <v/>
      </c>
      <c r="I110" s="10" t="str">
        <f aca="false">IF($L110="","",N(INDEX('NHẬP ĐƠN HÀNG'!$R$6:$R$505,$L110)))</f>
        <v/>
      </c>
      <c r="J110" s="10" t="str">
        <f aca="false">IF($L110="","",IF(INDEX('NHẬP ĐƠN HÀNG'!$U$6:$U$505,$L110)="","",INDEX('NHẬP ĐƠN HÀNG'!$U$6:$U$505,$L110)))</f>
        <v/>
      </c>
      <c r="K110" s="16" t="str">
        <f aca="false">IF($L110="","",IF(INDEX('NHẬP ĐƠN HÀNG'!$W$6:$W$505,$L110)="","",INDEX('NHẬP ĐƠN HÀNG'!$W$6:$W$505,$L110)))</f>
        <v/>
      </c>
      <c r="L110" s="0" t="str">
        <f aca="false">IFERROR(MATCH(105,'NHẬP ĐƠN HÀNG'!$AA$6:$AA$505,0),"")</f>
        <v/>
      </c>
    </row>
    <row r="111" customFormat="false" ht="15" hidden="false" customHeight="false" outlineLevel="0" collapsed="false">
      <c r="A111" s="16" t="str">
        <f aca="false">IF($L111="","",106)</f>
        <v/>
      </c>
      <c r="B111" s="34" t="str">
        <f aca="false">IF($L111="","",IF(INDEX('NHẬP ĐƠN HÀNG'!$B$6:$B$505,$L111)="","",INDEX('NHẬP ĐƠN HÀNG'!$B$6:$B$505,$L111)))</f>
        <v/>
      </c>
      <c r="C111" s="16" t="str">
        <f aca="false">IF($L111="","",IF(INDEX('NHẬP ĐƠN HÀNG'!$C$6:$C$505,$L111)="","",INDEX('NHẬP ĐƠN HÀNG'!$C$6:$C$505,$L111)))</f>
        <v/>
      </c>
      <c r="D111" s="16" t="str">
        <f aca="false">IF($L111="","",IF(INDEX('NHẬP ĐƠN HÀNG'!$D$6:$D$505,$L111)="","",INDEX('NHẬP ĐƠN HÀNG'!$D$6:$D$505,$L111)))</f>
        <v/>
      </c>
      <c r="E111" s="16" t="str">
        <f aca="false">IF($L111="","",IF(INDEX('NHẬP ĐƠN HÀNG'!$H$6:$H$505,$L111)="","",INDEX('NHẬP ĐƠN HÀNG'!$H$6:$H$505,$L111)))</f>
        <v/>
      </c>
      <c r="F111" s="10" t="str">
        <f aca="false">IF($L111="","",N(INDEX('NHẬP ĐƠN HÀNG'!$I$6:$I$505,$L111)))</f>
        <v/>
      </c>
      <c r="G111" s="10" t="str">
        <f aca="false">IF($L111="","",N(INDEX('NHẬP ĐƠN HÀNG'!$L$6:$L$505,$L111)))</f>
        <v/>
      </c>
      <c r="H111" s="10" t="str">
        <f aca="false">IF($L111="","",N(INDEX('NHẬP ĐƠN HÀNG'!$Q$6:$Q$505,$L111)))</f>
        <v/>
      </c>
      <c r="I111" s="10" t="str">
        <f aca="false">IF($L111="","",N(INDEX('NHẬP ĐƠN HÀNG'!$R$6:$R$505,$L111)))</f>
        <v/>
      </c>
      <c r="J111" s="10" t="str">
        <f aca="false">IF($L111="","",IF(INDEX('NHẬP ĐƠN HÀNG'!$U$6:$U$505,$L111)="","",INDEX('NHẬP ĐƠN HÀNG'!$U$6:$U$505,$L111)))</f>
        <v/>
      </c>
      <c r="K111" s="16" t="str">
        <f aca="false">IF($L111="","",IF(INDEX('NHẬP ĐƠN HÀNG'!$W$6:$W$505,$L111)="","",INDEX('NHẬP ĐƠN HÀNG'!$W$6:$W$505,$L111)))</f>
        <v/>
      </c>
      <c r="L111" s="0" t="str">
        <f aca="false">IFERROR(MATCH(106,'NHẬP ĐƠN HÀNG'!$AA$6:$AA$505,0),"")</f>
        <v/>
      </c>
    </row>
    <row r="112" customFormat="false" ht="15" hidden="false" customHeight="false" outlineLevel="0" collapsed="false">
      <c r="A112" s="16" t="str">
        <f aca="false">IF($L112="","",107)</f>
        <v/>
      </c>
      <c r="B112" s="34" t="str">
        <f aca="false">IF($L112="","",IF(INDEX('NHẬP ĐƠN HÀNG'!$B$6:$B$505,$L112)="","",INDEX('NHẬP ĐƠN HÀNG'!$B$6:$B$505,$L112)))</f>
        <v/>
      </c>
      <c r="C112" s="16" t="str">
        <f aca="false">IF($L112="","",IF(INDEX('NHẬP ĐƠN HÀNG'!$C$6:$C$505,$L112)="","",INDEX('NHẬP ĐƠN HÀNG'!$C$6:$C$505,$L112)))</f>
        <v/>
      </c>
      <c r="D112" s="16" t="str">
        <f aca="false">IF($L112="","",IF(INDEX('NHẬP ĐƠN HÀNG'!$D$6:$D$505,$L112)="","",INDEX('NHẬP ĐƠN HÀNG'!$D$6:$D$505,$L112)))</f>
        <v/>
      </c>
      <c r="E112" s="16" t="str">
        <f aca="false">IF($L112="","",IF(INDEX('NHẬP ĐƠN HÀNG'!$H$6:$H$505,$L112)="","",INDEX('NHẬP ĐƠN HÀNG'!$H$6:$H$505,$L112)))</f>
        <v/>
      </c>
      <c r="F112" s="10" t="str">
        <f aca="false">IF($L112="","",N(INDEX('NHẬP ĐƠN HÀNG'!$I$6:$I$505,$L112)))</f>
        <v/>
      </c>
      <c r="G112" s="10" t="str">
        <f aca="false">IF($L112="","",N(INDEX('NHẬP ĐƠN HÀNG'!$L$6:$L$505,$L112)))</f>
        <v/>
      </c>
      <c r="H112" s="10" t="str">
        <f aca="false">IF($L112="","",N(INDEX('NHẬP ĐƠN HÀNG'!$Q$6:$Q$505,$L112)))</f>
        <v/>
      </c>
      <c r="I112" s="10" t="str">
        <f aca="false">IF($L112="","",N(INDEX('NHẬP ĐƠN HÀNG'!$R$6:$R$505,$L112)))</f>
        <v/>
      </c>
      <c r="J112" s="10" t="str">
        <f aca="false">IF($L112="","",IF(INDEX('NHẬP ĐƠN HÀNG'!$U$6:$U$505,$L112)="","",INDEX('NHẬP ĐƠN HÀNG'!$U$6:$U$505,$L112)))</f>
        <v/>
      </c>
      <c r="K112" s="16" t="str">
        <f aca="false">IF($L112="","",IF(INDEX('NHẬP ĐƠN HÀNG'!$W$6:$W$505,$L112)="","",INDEX('NHẬP ĐƠN HÀNG'!$W$6:$W$505,$L112)))</f>
        <v/>
      </c>
      <c r="L112" s="0" t="str">
        <f aca="false">IFERROR(MATCH(107,'NHẬP ĐƠN HÀNG'!$AA$6:$AA$505,0),"")</f>
        <v/>
      </c>
    </row>
    <row r="113" customFormat="false" ht="15" hidden="false" customHeight="false" outlineLevel="0" collapsed="false">
      <c r="A113" s="16" t="str">
        <f aca="false">IF($L113="","",108)</f>
        <v/>
      </c>
      <c r="B113" s="34" t="str">
        <f aca="false">IF($L113="","",IF(INDEX('NHẬP ĐƠN HÀNG'!$B$6:$B$505,$L113)="","",INDEX('NHẬP ĐƠN HÀNG'!$B$6:$B$505,$L113)))</f>
        <v/>
      </c>
      <c r="C113" s="16" t="str">
        <f aca="false">IF($L113="","",IF(INDEX('NHẬP ĐƠN HÀNG'!$C$6:$C$505,$L113)="","",INDEX('NHẬP ĐƠN HÀNG'!$C$6:$C$505,$L113)))</f>
        <v/>
      </c>
      <c r="D113" s="16" t="str">
        <f aca="false">IF($L113="","",IF(INDEX('NHẬP ĐƠN HÀNG'!$D$6:$D$505,$L113)="","",INDEX('NHẬP ĐƠN HÀNG'!$D$6:$D$505,$L113)))</f>
        <v/>
      </c>
      <c r="E113" s="16" t="str">
        <f aca="false">IF($L113="","",IF(INDEX('NHẬP ĐƠN HÀNG'!$H$6:$H$505,$L113)="","",INDEX('NHẬP ĐƠN HÀNG'!$H$6:$H$505,$L113)))</f>
        <v/>
      </c>
      <c r="F113" s="10" t="str">
        <f aca="false">IF($L113="","",N(INDEX('NHẬP ĐƠN HÀNG'!$I$6:$I$505,$L113)))</f>
        <v/>
      </c>
      <c r="G113" s="10" t="str">
        <f aca="false">IF($L113="","",N(INDEX('NHẬP ĐƠN HÀNG'!$L$6:$L$505,$L113)))</f>
        <v/>
      </c>
      <c r="H113" s="10" t="str">
        <f aca="false">IF($L113="","",N(INDEX('NHẬP ĐƠN HÀNG'!$Q$6:$Q$505,$L113)))</f>
        <v/>
      </c>
      <c r="I113" s="10" t="str">
        <f aca="false">IF($L113="","",N(INDEX('NHẬP ĐƠN HÀNG'!$R$6:$R$505,$L113)))</f>
        <v/>
      </c>
      <c r="J113" s="10" t="str">
        <f aca="false">IF($L113="","",IF(INDEX('NHẬP ĐƠN HÀNG'!$U$6:$U$505,$L113)="","",INDEX('NHẬP ĐƠN HÀNG'!$U$6:$U$505,$L113)))</f>
        <v/>
      </c>
      <c r="K113" s="16" t="str">
        <f aca="false">IF($L113="","",IF(INDEX('NHẬP ĐƠN HÀNG'!$W$6:$W$505,$L113)="","",INDEX('NHẬP ĐƠN HÀNG'!$W$6:$W$505,$L113)))</f>
        <v/>
      </c>
      <c r="L113" s="0" t="str">
        <f aca="false">IFERROR(MATCH(108,'NHẬP ĐƠN HÀNG'!$AA$6:$AA$505,0),"")</f>
        <v/>
      </c>
    </row>
    <row r="114" customFormat="false" ht="15" hidden="false" customHeight="false" outlineLevel="0" collapsed="false">
      <c r="A114" s="16" t="str">
        <f aca="false">IF($L114="","",109)</f>
        <v/>
      </c>
      <c r="B114" s="34" t="str">
        <f aca="false">IF($L114="","",IF(INDEX('NHẬP ĐƠN HÀNG'!$B$6:$B$505,$L114)="","",INDEX('NHẬP ĐƠN HÀNG'!$B$6:$B$505,$L114)))</f>
        <v/>
      </c>
      <c r="C114" s="16" t="str">
        <f aca="false">IF($L114="","",IF(INDEX('NHẬP ĐƠN HÀNG'!$C$6:$C$505,$L114)="","",INDEX('NHẬP ĐƠN HÀNG'!$C$6:$C$505,$L114)))</f>
        <v/>
      </c>
      <c r="D114" s="16" t="str">
        <f aca="false">IF($L114="","",IF(INDEX('NHẬP ĐƠN HÀNG'!$D$6:$D$505,$L114)="","",INDEX('NHẬP ĐƠN HÀNG'!$D$6:$D$505,$L114)))</f>
        <v/>
      </c>
      <c r="E114" s="16" t="str">
        <f aca="false">IF($L114="","",IF(INDEX('NHẬP ĐƠN HÀNG'!$H$6:$H$505,$L114)="","",INDEX('NHẬP ĐƠN HÀNG'!$H$6:$H$505,$L114)))</f>
        <v/>
      </c>
      <c r="F114" s="10" t="str">
        <f aca="false">IF($L114="","",N(INDEX('NHẬP ĐƠN HÀNG'!$I$6:$I$505,$L114)))</f>
        <v/>
      </c>
      <c r="G114" s="10" t="str">
        <f aca="false">IF($L114="","",N(INDEX('NHẬP ĐƠN HÀNG'!$L$6:$L$505,$L114)))</f>
        <v/>
      </c>
      <c r="H114" s="10" t="str">
        <f aca="false">IF($L114="","",N(INDEX('NHẬP ĐƠN HÀNG'!$Q$6:$Q$505,$L114)))</f>
        <v/>
      </c>
      <c r="I114" s="10" t="str">
        <f aca="false">IF($L114="","",N(INDEX('NHẬP ĐƠN HÀNG'!$R$6:$R$505,$L114)))</f>
        <v/>
      </c>
      <c r="J114" s="10" t="str">
        <f aca="false">IF($L114="","",IF(INDEX('NHẬP ĐƠN HÀNG'!$U$6:$U$505,$L114)="","",INDEX('NHẬP ĐƠN HÀNG'!$U$6:$U$505,$L114)))</f>
        <v/>
      </c>
      <c r="K114" s="16" t="str">
        <f aca="false">IF($L114="","",IF(INDEX('NHẬP ĐƠN HÀNG'!$W$6:$W$505,$L114)="","",INDEX('NHẬP ĐƠN HÀNG'!$W$6:$W$505,$L114)))</f>
        <v/>
      </c>
      <c r="L114" s="0" t="str">
        <f aca="false">IFERROR(MATCH(109,'NHẬP ĐƠN HÀNG'!$AA$6:$AA$505,0),"")</f>
        <v/>
      </c>
    </row>
    <row r="115" customFormat="false" ht="15" hidden="false" customHeight="false" outlineLevel="0" collapsed="false">
      <c r="A115" s="16" t="str">
        <f aca="false">IF($L115="","",110)</f>
        <v/>
      </c>
      <c r="B115" s="34" t="str">
        <f aca="false">IF($L115="","",IF(INDEX('NHẬP ĐƠN HÀNG'!$B$6:$B$505,$L115)="","",INDEX('NHẬP ĐƠN HÀNG'!$B$6:$B$505,$L115)))</f>
        <v/>
      </c>
      <c r="C115" s="16" t="str">
        <f aca="false">IF($L115="","",IF(INDEX('NHẬP ĐƠN HÀNG'!$C$6:$C$505,$L115)="","",INDEX('NHẬP ĐƠN HÀNG'!$C$6:$C$505,$L115)))</f>
        <v/>
      </c>
      <c r="D115" s="16" t="str">
        <f aca="false">IF($L115="","",IF(INDEX('NHẬP ĐƠN HÀNG'!$D$6:$D$505,$L115)="","",INDEX('NHẬP ĐƠN HÀNG'!$D$6:$D$505,$L115)))</f>
        <v/>
      </c>
      <c r="E115" s="16" t="str">
        <f aca="false">IF($L115="","",IF(INDEX('NHẬP ĐƠN HÀNG'!$H$6:$H$505,$L115)="","",INDEX('NHẬP ĐƠN HÀNG'!$H$6:$H$505,$L115)))</f>
        <v/>
      </c>
      <c r="F115" s="10" t="str">
        <f aca="false">IF($L115="","",N(INDEX('NHẬP ĐƠN HÀNG'!$I$6:$I$505,$L115)))</f>
        <v/>
      </c>
      <c r="G115" s="10" t="str">
        <f aca="false">IF($L115="","",N(INDEX('NHẬP ĐƠN HÀNG'!$L$6:$L$505,$L115)))</f>
        <v/>
      </c>
      <c r="H115" s="10" t="str">
        <f aca="false">IF($L115="","",N(INDEX('NHẬP ĐƠN HÀNG'!$Q$6:$Q$505,$L115)))</f>
        <v/>
      </c>
      <c r="I115" s="10" t="str">
        <f aca="false">IF($L115="","",N(INDEX('NHẬP ĐƠN HÀNG'!$R$6:$R$505,$L115)))</f>
        <v/>
      </c>
      <c r="J115" s="10" t="str">
        <f aca="false">IF($L115="","",IF(INDEX('NHẬP ĐƠN HÀNG'!$U$6:$U$505,$L115)="","",INDEX('NHẬP ĐƠN HÀNG'!$U$6:$U$505,$L115)))</f>
        <v/>
      </c>
      <c r="K115" s="16" t="str">
        <f aca="false">IF($L115="","",IF(INDEX('NHẬP ĐƠN HÀNG'!$W$6:$W$505,$L115)="","",INDEX('NHẬP ĐƠN HÀNG'!$W$6:$W$505,$L115)))</f>
        <v/>
      </c>
      <c r="L115" s="0" t="str">
        <f aca="false">IFERROR(MATCH(110,'NHẬP ĐƠN HÀNG'!$AA$6:$AA$505,0),"")</f>
        <v/>
      </c>
    </row>
    <row r="116" customFormat="false" ht="15" hidden="false" customHeight="false" outlineLevel="0" collapsed="false">
      <c r="A116" s="16" t="str">
        <f aca="false">IF($L116="","",111)</f>
        <v/>
      </c>
      <c r="B116" s="34" t="str">
        <f aca="false">IF($L116="","",IF(INDEX('NHẬP ĐƠN HÀNG'!$B$6:$B$505,$L116)="","",INDEX('NHẬP ĐƠN HÀNG'!$B$6:$B$505,$L116)))</f>
        <v/>
      </c>
      <c r="C116" s="16" t="str">
        <f aca="false">IF($L116="","",IF(INDEX('NHẬP ĐƠN HÀNG'!$C$6:$C$505,$L116)="","",INDEX('NHẬP ĐƠN HÀNG'!$C$6:$C$505,$L116)))</f>
        <v/>
      </c>
      <c r="D116" s="16" t="str">
        <f aca="false">IF($L116="","",IF(INDEX('NHẬP ĐƠN HÀNG'!$D$6:$D$505,$L116)="","",INDEX('NHẬP ĐƠN HÀNG'!$D$6:$D$505,$L116)))</f>
        <v/>
      </c>
      <c r="E116" s="16" t="str">
        <f aca="false">IF($L116="","",IF(INDEX('NHẬP ĐƠN HÀNG'!$H$6:$H$505,$L116)="","",INDEX('NHẬP ĐƠN HÀNG'!$H$6:$H$505,$L116)))</f>
        <v/>
      </c>
      <c r="F116" s="10" t="str">
        <f aca="false">IF($L116="","",N(INDEX('NHẬP ĐƠN HÀNG'!$I$6:$I$505,$L116)))</f>
        <v/>
      </c>
      <c r="G116" s="10" t="str">
        <f aca="false">IF($L116="","",N(INDEX('NHẬP ĐƠN HÀNG'!$L$6:$L$505,$L116)))</f>
        <v/>
      </c>
      <c r="H116" s="10" t="str">
        <f aca="false">IF($L116="","",N(INDEX('NHẬP ĐƠN HÀNG'!$Q$6:$Q$505,$L116)))</f>
        <v/>
      </c>
      <c r="I116" s="10" t="str">
        <f aca="false">IF($L116="","",N(INDEX('NHẬP ĐƠN HÀNG'!$R$6:$R$505,$L116)))</f>
        <v/>
      </c>
      <c r="J116" s="10" t="str">
        <f aca="false">IF($L116="","",IF(INDEX('NHẬP ĐƠN HÀNG'!$U$6:$U$505,$L116)="","",INDEX('NHẬP ĐƠN HÀNG'!$U$6:$U$505,$L116)))</f>
        <v/>
      </c>
      <c r="K116" s="16" t="str">
        <f aca="false">IF($L116="","",IF(INDEX('NHẬP ĐƠN HÀNG'!$W$6:$W$505,$L116)="","",INDEX('NHẬP ĐƠN HÀNG'!$W$6:$W$505,$L116)))</f>
        <v/>
      </c>
      <c r="L116" s="0" t="str">
        <f aca="false">IFERROR(MATCH(111,'NHẬP ĐƠN HÀNG'!$AA$6:$AA$505,0),"")</f>
        <v/>
      </c>
    </row>
    <row r="117" customFormat="false" ht="15" hidden="false" customHeight="false" outlineLevel="0" collapsed="false">
      <c r="A117" s="16" t="str">
        <f aca="false">IF($L117="","",112)</f>
        <v/>
      </c>
      <c r="B117" s="34" t="str">
        <f aca="false">IF($L117="","",IF(INDEX('NHẬP ĐƠN HÀNG'!$B$6:$B$505,$L117)="","",INDEX('NHẬP ĐƠN HÀNG'!$B$6:$B$505,$L117)))</f>
        <v/>
      </c>
      <c r="C117" s="16" t="str">
        <f aca="false">IF($L117="","",IF(INDEX('NHẬP ĐƠN HÀNG'!$C$6:$C$505,$L117)="","",INDEX('NHẬP ĐƠN HÀNG'!$C$6:$C$505,$L117)))</f>
        <v/>
      </c>
      <c r="D117" s="16" t="str">
        <f aca="false">IF($L117="","",IF(INDEX('NHẬP ĐƠN HÀNG'!$D$6:$D$505,$L117)="","",INDEX('NHẬP ĐƠN HÀNG'!$D$6:$D$505,$L117)))</f>
        <v/>
      </c>
      <c r="E117" s="16" t="str">
        <f aca="false">IF($L117="","",IF(INDEX('NHẬP ĐƠN HÀNG'!$H$6:$H$505,$L117)="","",INDEX('NHẬP ĐƠN HÀNG'!$H$6:$H$505,$L117)))</f>
        <v/>
      </c>
      <c r="F117" s="10" t="str">
        <f aca="false">IF($L117="","",N(INDEX('NHẬP ĐƠN HÀNG'!$I$6:$I$505,$L117)))</f>
        <v/>
      </c>
      <c r="G117" s="10" t="str">
        <f aca="false">IF($L117="","",N(INDEX('NHẬP ĐƠN HÀNG'!$L$6:$L$505,$L117)))</f>
        <v/>
      </c>
      <c r="H117" s="10" t="str">
        <f aca="false">IF($L117="","",N(INDEX('NHẬP ĐƠN HÀNG'!$Q$6:$Q$505,$L117)))</f>
        <v/>
      </c>
      <c r="I117" s="10" t="str">
        <f aca="false">IF($L117="","",N(INDEX('NHẬP ĐƠN HÀNG'!$R$6:$R$505,$L117)))</f>
        <v/>
      </c>
      <c r="J117" s="10" t="str">
        <f aca="false">IF($L117="","",IF(INDEX('NHẬP ĐƠN HÀNG'!$U$6:$U$505,$L117)="","",INDEX('NHẬP ĐƠN HÀNG'!$U$6:$U$505,$L117)))</f>
        <v/>
      </c>
      <c r="K117" s="16" t="str">
        <f aca="false">IF($L117="","",IF(INDEX('NHẬP ĐƠN HÀNG'!$W$6:$W$505,$L117)="","",INDEX('NHẬP ĐƠN HÀNG'!$W$6:$W$505,$L117)))</f>
        <v/>
      </c>
      <c r="L117" s="0" t="str">
        <f aca="false">IFERROR(MATCH(112,'NHẬP ĐƠN HÀNG'!$AA$6:$AA$505,0),"")</f>
        <v/>
      </c>
    </row>
    <row r="118" customFormat="false" ht="15" hidden="false" customHeight="false" outlineLevel="0" collapsed="false">
      <c r="A118" s="16" t="str">
        <f aca="false">IF($L118="","",113)</f>
        <v/>
      </c>
      <c r="B118" s="34" t="str">
        <f aca="false">IF($L118="","",IF(INDEX('NHẬP ĐƠN HÀNG'!$B$6:$B$505,$L118)="","",INDEX('NHẬP ĐƠN HÀNG'!$B$6:$B$505,$L118)))</f>
        <v/>
      </c>
      <c r="C118" s="16" t="str">
        <f aca="false">IF($L118="","",IF(INDEX('NHẬP ĐƠN HÀNG'!$C$6:$C$505,$L118)="","",INDEX('NHẬP ĐƠN HÀNG'!$C$6:$C$505,$L118)))</f>
        <v/>
      </c>
      <c r="D118" s="16" t="str">
        <f aca="false">IF($L118="","",IF(INDEX('NHẬP ĐƠN HÀNG'!$D$6:$D$505,$L118)="","",INDEX('NHẬP ĐƠN HÀNG'!$D$6:$D$505,$L118)))</f>
        <v/>
      </c>
      <c r="E118" s="16" t="str">
        <f aca="false">IF($L118="","",IF(INDEX('NHẬP ĐƠN HÀNG'!$H$6:$H$505,$L118)="","",INDEX('NHẬP ĐƠN HÀNG'!$H$6:$H$505,$L118)))</f>
        <v/>
      </c>
      <c r="F118" s="10" t="str">
        <f aca="false">IF($L118="","",N(INDEX('NHẬP ĐƠN HÀNG'!$I$6:$I$505,$L118)))</f>
        <v/>
      </c>
      <c r="G118" s="10" t="str">
        <f aca="false">IF($L118="","",N(INDEX('NHẬP ĐƠN HÀNG'!$L$6:$L$505,$L118)))</f>
        <v/>
      </c>
      <c r="H118" s="10" t="str">
        <f aca="false">IF($L118="","",N(INDEX('NHẬP ĐƠN HÀNG'!$Q$6:$Q$505,$L118)))</f>
        <v/>
      </c>
      <c r="I118" s="10" t="str">
        <f aca="false">IF($L118="","",N(INDEX('NHẬP ĐƠN HÀNG'!$R$6:$R$505,$L118)))</f>
        <v/>
      </c>
      <c r="J118" s="10" t="str">
        <f aca="false">IF($L118="","",IF(INDEX('NHẬP ĐƠN HÀNG'!$U$6:$U$505,$L118)="","",INDEX('NHẬP ĐƠN HÀNG'!$U$6:$U$505,$L118)))</f>
        <v/>
      </c>
      <c r="K118" s="16" t="str">
        <f aca="false">IF($L118="","",IF(INDEX('NHẬP ĐƠN HÀNG'!$W$6:$W$505,$L118)="","",INDEX('NHẬP ĐƠN HÀNG'!$W$6:$W$505,$L118)))</f>
        <v/>
      </c>
      <c r="L118" s="0" t="str">
        <f aca="false">IFERROR(MATCH(113,'NHẬP ĐƠN HÀNG'!$AA$6:$AA$505,0),"")</f>
        <v/>
      </c>
    </row>
    <row r="119" customFormat="false" ht="15" hidden="false" customHeight="false" outlineLevel="0" collapsed="false">
      <c r="A119" s="16" t="str">
        <f aca="false">IF($L119="","",114)</f>
        <v/>
      </c>
      <c r="B119" s="34" t="str">
        <f aca="false">IF($L119="","",IF(INDEX('NHẬP ĐƠN HÀNG'!$B$6:$B$505,$L119)="","",INDEX('NHẬP ĐƠN HÀNG'!$B$6:$B$505,$L119)))</f>
        <v/>
      </c>
      <c r="C119" s="16" t="str">
        <f aca="false">IF($L119="","",IF(INDEX('NHẬP ĐƠN HÀNG'!$C$6:$C$505,$L119)="","",INDEX('NHẬP ĐƠN HÀNG'!$C$6:$C$505,$L119)))</f>
        <v/>
      </c>
      <c r="D119" s="16" t="str">
        <f aca="false">IF($L119="","",IF(INDEX('NHẬP ĐƠN HÀNG'!$D$6:$D$505,$L119)="","",INDEX('NHẬP ĐƠN HÀNG'!$D$6:$D$505,$L119)))</f>
        <v/>
      </c>
      <c r="E119" s="16" t="str">
        <f aca="false">IF($L119="","",IF(INDEX('NHẬP ĐƠN HÀNG'!$H$6:$H$505,$L119)="","",INDEX('NHẬP ĐƠN HÀNG'!$H$6:$H$505,$L119)))</f>
        <v/>
      </c>
      <c r="F119" s="10" t="str">
        <f aca="false">IF($L119="","",N(INDEX('NHẬP ĐƠN HÀNG'!$I$6:$I$505,$L119)))</f>
        <v/>
      </c>
      <c r="G119" s="10" t="str">
        <f aca="false">IF($L119="","",N(INDEX('NHẬP ĐƠN HÀNG'!$L$6:$L$505,$L119)))</f>
        <v/>
      </c>
      <c r="H119" s="10" t="str">
        <f aca="false">IF($L119="","",N(INDEX('NHẬP ĐƠN HÀNG'!$Q$6:$Q$505,$L119)))</f>
        <v/>
      </c>
      <c r="I119" s="10" t="str">
        <f aca="false">IF($L119="","",N(INDEX('NHẬP ĐƠN HÀNG'!$R$6:$R$505,$L119)))</f>
        <v/>
      </c>
      <c r="J119" s="10" t="str">
        <f aca="false">IF($L119="","",IF(INDEX('NHẬP ĐƠN HÀNG'!$U$6:$U$505,$L119)="","",INDEX('NHẬP ĐƠN HÀNG'!$U$6:$U$505,$L119)))</f>
        <v/>
      </c>
      <c r="K119" s="16" t="str">
        <f aca="false">IF($L119="","",IF(INDEX('NHẬP ĐƠN HÀNG'!$W$6:$W$505,$L119)="","",INDEX('NHẬP ĐƠN HÀNG'!$W$6:$W$505,$L119)))</f>
        <v/>
      </c>
      <c r="L119" s="0" t="str">
        <f aca="false">IFERROR(MATCH(114,'NHẬP ĐƠN HÀNG'!$AA$6:$AA$505,0),"")</f>
        <v/>
      </c>
    </row>
    <row r="120" customFormat="false" ht="15" hidden="false" customHeight="false" outlineLevel="0" collapsed="false">
      <c r="A120" s="16" t="str">
        <f aca="false">IF($L120="","",115)</f>
        <v/>
      </c>
      <c r="B120" s="34" t="str">
        <f aca="false">IF($L120="","",IF(INDEX('NHẬP ĐƠN HÀNG'!$B$6:$B$505,$L120)="","",INDEX('NHẬP ĐƠN HÀNG'!$B$6:$B$505,$L120)))</f>
        <v/>
      </c>
      <c r="C120" s="16" t="str">
        <f aca="false">IF($L120="","",IF(INDEX('NHẬP ĐƠN HÀNG'!$C$6:$C$505,$L120)="","",INDEX('NHẬP ĐƠN HÀNG'!$C$6:$C$505,$L120)))</f>
        <v/>
      </c>
      <c r="D120" s="16" t="str">
        <f aca="false">IF($L120="","",IF(INDEX('NHẬP ĐƠN HÀNG'!$D$6:$D$505,$L120)="","",INDEX('NHẬP ĐƠN HÀNG'!$D$6:$D$505,$L120)))</f>
        <v/>
      </c>
      <c r="E120" s="16" t="str">
        <f aca="false">IF($L120="","",IF(INDEX('NHẬP ĐƠN HÀNG'!$H$6:$H$505,$L120)="","",INDEX('NHẬP ĐƠN HÀNG'!$H$6:$H$505,$L120)))</f>
        <v/>
      </c>
      <c r="F120" s="10" t="str">
        <f aca="false">IF($L120="","",N(INDEX('NHẬP ĐƠN HÀNG'!$I$6:$I$505,$L120)))</f>
        <v/>
      </c>
      <c r="G120" s="10" t="str">
        <f aca="false">IF($L120="","",N(INDEX('NHẬP ĐƠN HÀNG'!$L$6:$L$505,$L120)))</f>
        <v/>
      </c>
      <c r="H120" s="10" t="str">
        <f aca="false">IF($L120="","",N(INDEX('NHẬP ĐƠN HÀNG'!$Q$6:$Q$505,$L120)))</f>
        <v/>
      </c>
      <c r="I120" s="10" t="str">
        <f aca="false">IF($L120="","",N(INDEX('NHẬP ĐƠN HÀNG'!$R$6:$R$505,$L120)))</f>
        <v/>
      </c>
      <c r="J120" s="10" t="str">
        <f aca="false">IF($L120="","",IF(INDEX('NHẬP ĐƠN HÀNG'!$U$6:$U$505,$L120)="","",INDEX('NHẬP ĐƠN HÀNG'!$U$6:$U$505,$L120)))</f>
        <v/>
      </c>
      <c r="K120" s="16" t="str">
        <f aca="false">IF($L120="","",IF(INDEX('NHẬP ĐƠN HÀNG'!$W$6:$W$505,$L120)="","",INDEX('NHẬP ĐƠN HÀNG'!$W$6:$W$505,$L120)))</f>
        <v/>
      </c>
      <c r="L120" s="0" t="str">
        <f aca="false">IFERROR(MATCH(115,'NHẬP ĐƠN HÀNG'!$AA$6:$AA$505,0),"")</f>
        <v/>
      </c>
    </row>
    <row r="121" customFormat="false" ht="15" hidden="false" customHeight="false" outlineLevel="0" collapsed="false">
      <c r="A121" s="16" t="str">
        <f aca="false">IF($L121="","",116)</f>
        <v/>
      </c>
      <c r="B121" s="34" t="str">
        <f aca="false">IF($L121="","",IF(INDEX('NHẬP ĐƠN HÀNG'!$B$6:$B$505,$L121)="","",INDEX('NHẬP ĐƠN HÀNG'!$B$6:$B$505,$L121)))</f>
        <v/>
      </c>
      <c r="C121" s="16" t="str">
        <f aca="false">IF($L121="","",IF(INDEX('NHẬP ĐƠN HÀNG'!$C$6:$C$505,$L121)="","",INDEX('NHẬP ĐƠN HÀNG'!$C$6:$C$505,$L121)))</f>
        <v/>
      </c>
      <c r="D121" s="16" t="str">
        <f aca="false">IF($L121="","",IF(INDEX('NHẬP ĐƠN HÀNG'!$D$6:$D$505,$L121)="","",INDEX('NHẬP ĐƠN HÀNG'!$D$6:$D$505,$L121)))</f>
        <v/>
      </c>
      <c r="E121" s="16" t="str">
        <f aca="false">IF($L121="","",IF(INDEX('NHẬP ĐƠN HÀNG'!$H$6:$H$505,$L121)="","",INDEX('NHẬP ĐƠN HÀNG'!$H$6:$H$505,$L121)))</f>
        <v/>
      </c>
      <c r="F121" s="10" t="str">
        <f aca="false">IF($L121="","",N(INDEX('NHẬP ĐƠN HÀNG'!$I$6:$I$505,$L121)))</f>
        <v/>
      </c>
      <c r="G121" s="10" t="str">
        <f aca="false">IF($L121="","",N(INDEX('NHẬP ĐƠN HÀNG'!$L$6:$L$505,$L121)))</f>
        <v/>
      </c>
      <c r="H121" s="10" t="str">
        <f aca="false">IF($L121="","",N(INDEX('NHẬP ĐƠN HÀNG'!$Q$6:$Q$505,$L121)))</f>
        <v/>
      </c>
      <c r="I121" s="10" t="str">
        <f aca="false">IF($L121="","",N(INDEX('NHẬP ĐƠN HÀNG'!$R$6:$R$505,$L121)))</f>
        <v/>
      </c>
      <c r="J121" s="10" t="str">
        <f aca="false">IF($L121="","",IF(INDEX('NHẬP ĐƠN HÀNG'!$U$6:$U$505,$L121)="","",INDEX('NHẬP ĐƠN HÀNG'!$U$6:$U$505,$L121)))</f>
        <v/>
      </c>
      <c r="K121" s="16" t="str">
        <f aca="false">IF($L121="","",IF(INDEX('NHẬP ĐƠN HÀNG'!$W$6:$W$505,$L121)="","",INDEX('NHẬP ĐƠN HÀNG'!$W$6:$W$505,$L121)))</f>
        <v/>
      </c>
      <c r="L121" s="0" t="str">
        <f aca="false">IFERROR(MATCH(116,'NHẬP ĐƠN HÀNG'!$AA$6:$AA$505,0),"")</f>
        <v/>
      </c>
    </row>
    <row r="122" customFormat="false" ht="15" hidden="false" customHeight="false" outlineLevel="0" collapsed="false">
      <c r="A122" s="16" t="str">
        <f aca="false">IF($L122="","",117)</f>
        <v/>
      </c>
      <c r="B122" s="34" t="str">
        <f aca="false">IF($L122="","",IF(INDEX('NHẬP ĐƠN HÀNG'!$B$6:$B$505,$L122)="","",INDEX('NHẬP ĐƠN HÀNG'!$B$6:$B$505,$L122)))</f>
        <v/>
      </c>
      <c r="C122" s="16" t="str">
        <f aca="false">IF($L122="","",IF(INDEX('NHẬP ĐƠN HÀNG'!$C$6:$C$505,$L122)="","",INDEX('NHẬP ĐƠN HÀNG'!$C$6:$C$505,$L122)))</f>
        <v/>
      </c>
      <c r="D122" s="16" t="str">
        <f aca="false">IF($L122="","",IF(INDEX('NHẬP ĐƠN HÀNG'!$D$6:$D$505,$L122)="","",INDEX('NHẬP ĐƠN HÀNG'!$D$6:$D$505,$L122)))</f>
        <v/>
      </c>
      <c r="E122" s="16" t="str">
        <f aca="false">IF($L122="","",IF(INDEX('NHẬP ĐƠN HÀNG'!$H$6:$H$505,$L122)="","",INDEX('NHẬP ĐƠN HÀNG'!$H$6:$H$505,$L122)))</f>
        <v/>
      </c>
      <c r="F122" s="10" t="str">
        <f aca="false">IF($L122="","",N(INDEX('NHẬP ĐƠN HÀNG'!$I$6:$I$505,$L122)))</f>
        <v/>
      </c>
      <c r="G122" s="10" t="str">
        <f aca="false">IF($L122="","",N(INDEX('NHẬP ĐƠN HÀNG'!$L$6:$L$505,$L122)))</f>
        <v/>
      </c>
      <c r="H122" s="10" t="str">
        <f aca="false">IF($L122="","",N(INDEX('NHẬP ĐƠN HÀNG'!$Q$6:$Q$505,$L122)))</f>
        <v/>
      </c>
      <c r="I122" s="10" t="str">
        <f aca="false">IF($L122="","",N(INDEX('NHẬP ĐƠN HÀNG'!$R$6:$R$505,$L122)))</f>
        <v/>
      </c>
      <c r="J122" s="10" t="str">
        <f aca="false">IF($L122="","",IF(INDEX('NHẬP ĐƠN HÀNG'!$U$6:$U$505,$L122)="","",INDEX('NHẬP ĐƠN HÀNG'!$U$6:$U$505,$L122)))</f>
        <v/>
      </c>
      <c r="K122" s="16" t="str">
        <f aca="false">IF($L122="","",IF(INDEX('NHẬP ĐƠN HÀNG'!$W$6:$W$505,$L122)="","",INDEX('NHẬP ĐƠN HÀNG'!$W$6:$W$505,$L122)))</f>
        <v/>
      </c>
      <c r="L122" s="0" t="str">
        <f aca="false">IFERROR(MATCH(117,'NHẬP ĐƠN HÀNG'!$AA$6:$AA$505,0),"")</f>
        <v/>
      </c>
    </row>
    <row r="123" customFormat="false" ht="15" hidden="false" customHeight="false" outlineLevel="0" collapsed="false">
      <c r="A123" s="16" t="str">
        <f aca="false">IF($L123="","",118)</f>
        <v/>
      </c>
      <c r="B123" s="34" t="str">
        <f aca="false">IF($L123="","",IF(INDEX('NHẬP ĐƠN HÀNG'!$B$6:$B$505,$L123)="","",INDEX('NHẬP ĐƠN HÀNG'!$B$6:$B$505,$L123)))</f>
        <v/>
      </c>
      <c r="C123" s="16" t="str">
        <f aca="false">IF($L123="","",IF(INDEX('NHẬP ĐƠN HÀNG'!$C$6:$C$505,$L123)="","",INDEX('NHẬP ĐƠN HÀNG'!$C$6:$C$505,$L123)))</f>
        <v/>
      </c>
      <c r="D123" s="16" t="str">
        <f aca="false">IF($L123="","",IF(INDEX('NHẬP ĐƠN HÀNG'!$D$6:$D$505,$L123)="","",INDEX('NHẬP ĐƠN HÀNG'!$D$6:$D$505,$L123)))</f>
        <v/>
      </c>
      <c r="E123" s="16" t="str">
        <f aca="false">IF($L123="","",IF(INDEX('NHẬP ĐƠN HÀNG'!$H$6:$H$505,$L123)="","",INDEX('NHẬP ĐƠN HÀNG'!$H$6:$H$505,$L123)))</f>
        <v/>
      </c>
      <c r="F123" s="10" t="str">
        <f aca="false">IF($L123="","",N(INDEX('NHẬP ĐƠN HÀNG'!$I$6:$I$505,$L123)))</f>
        <v/>
      </c>
      <c r="G123" s="10" t="str">
        <f aca="false">IF($L123="","",N(INDEX('NHẬP ĐƠN HÀNG'!$L$6:$L$505,$L123)))</f>
        <v/>
      </c>
      <c r="H123" s="10" t="str">
        <f aca="false">IF($L123="","",N(INDEX('NHẬP ĐƠN HÀNG'!$Q$6:$Q$505,$L123)))</f>
        <v/>
      </c>
      <c r="I123" s="10" t="str">
        <f aca="false">IF($L123="","",N(INDEX('NHẬP ĐƠN HÀNG'!$R$6:$R$505,$L123)))</f>
        <v/>
      </c>
      <c r="J123" s="10" t="str">
        <f aca="false">IF($L123="","",IF(INDEX('NHẬP ĐƠN HÀNG'!$U$6:$U$505,$L123)="","",INDEX('NHẬP ĐƠN HÀNG'!$U$6:$U$505,$L123)))</f>
        <v/>
      </c>
      <c r="K123" s="16" t="str">
        <f aca="false">IF($L123="","",IF(INDEX('NHẬP ĐƠN HÀNG'!$W$6:$W$505,$L123)="","",INDEX('NHẬP ĐƠN HÀNG'!$W$6:$W$505,$L123)))</f>
        <v/>
      </c>
      <c r="L123" s="0" t="str">
        <f aca="false">IFERROR(MATCH(118,'NHẬP ĐƠN HÀNG'!$AA$6:$AA$505,0),"")</f>
        <v/>
      </c>
    </row>
    <row r="124" customFormat="false" ht="15" hidden="false" customHeight="false" outlineLevel="0" collapsed="false">
      <c r="A124" s="16" t="str">
        <f aca="false">IF($L124="","",119)</f>
        <v/>
      </c>
      <c r="B124" s="34" t="str">
        <f aca="false">IF($L124="","",IF(INDEX('NHẬP ĐƠN HÀNG'!$B$6:$B$505,$L124)="","",INDEX('NHẬP ĐƠN HÀNG'!$B$6:$B$505,$L124)))</f>
        <v/>
      </c>
      <c r="C124" s="16" t="str">
        <f aca="false">IF($L124="","",IF(INDEX('NHẬP ĐƠN HÀNG'!$C$6:$C$505,$L124)="","",INDEX('NHẬP ĐƠN HÀNG'!$C$6:$C$505,$L124)))</f>
        <v/>
      </c>
      <c r="D124" s="16" t="str">
        <f aca="false">IF($L124="","",IF(INDEX('NHẬP ĐƠN HÀNG'!$D$6:$D$505,$L124)="","",INDEX('NHẬP ĐƠN HÀNG'!$D$6:$D$505,$L124)))</f>
        <v/>
      </c>
      <c r="E124" s="16" t="str">
        <f aca="false">IF($L124="","",IF(INDEX('NHẬP ĐƠN HÀNG'!$H$6:$H$505,$L124)="","",INDEX('NHẬP ĐƠN HÀNG'!$H$6:$H$505,$L124)))</f>
        <v/>
      </c>
      <c r="F124" s="10" t="str">
        <f aca="false">IF($L124="","",N(INDEX('NHẬP ĐƠN HÀNG'!$I$6:$I$505,$L124)))</f>
        <v/>
      </c>
      <c r="G124" s="10" t="str">
        <f aca="false">IF($L124="","",N(INDEX('NHẬP ĐƠN HÀNG'!$L$6:$L$505,$L124)))</f>
        <v/>
      </c>
      <c r="H124" s="10" t="str">
        <f aca="false">IF($L124="","",N(INDEX('NHẬP ĐƠN HÀNG'!$Q$6:$Q$505,$L124)))</f>
        <v/>
      </c>
      <c r="I124" s="10" t="str">
        <f aca="false">IF($L124="","",N(INDEX('NHẬP ĐƠN HÀNG'!$R$6:$R$505,$L124)))</f>
        <v/>
      </c>
      <c r="J124" s="10" t="str">
        <f aca="false">IF($L124="","",IF(INDEX('NHẬP ĐƠN HÀNG'!$U$6:$U$505,$L124)="","",INDEX('NHẬP ĐƠN HÀNG'!$U$6:$U$505,$L124)))</f>
        <v/>
      </c>
      <c r="K124" s="16" t="str">
        <f aca="false">IF($L124="","",IF(INDEX('NHẬP ĐƠN HÀNG'!$W$6:$W$505,$L124)="","",INDEX('NHẬP ĐƠN HÀNG'!$W$6:$W$505,$L124)))</f>
        <v/>
      </c>
      <c r="L124" s="0" t="str">
        <f aca="false">IFERROR(MATCH(119,'NHẬP ĐƠN HÀNG'!$AA$6:$AA$505,0),"")</f>
        <v/>
      </c>
    </row>
    <row r="125" customFormat="false" ht="15" hidden="false" customHeight="false" outlineLevel="0" collapsed="false">
      <c r="A125" s="16" t="str">
        <f aca="false">IF($L125="","",120)</f>
        <v/>
      </c>
      <c r="B125" s="34" t="str">
        <f aca="false">IF($L125="","",IF(INDEX('NHẬP ĐƠN HÀNG'!$B$6:$B$505,$L125)="","",INDEX('NHẬP ĐƠN HÀNG'!$B$6:$B$505,$L125)))</f>
        <v/>
      </c>
      <c r="C125" s="16" t="str">
        <f aca="false">IF($L125="","",IF(INDEX('NHẬP ĐƠN HÀNG'!$C$6:$C$505,$L125)="","",INDEX('NHẬP ĐƠN HÀNG'!$C$6:$C$505,$L125)))</f>
        <v/>
      </c>
      <c r="D125" s="16" t="str">
        <f aca="false">IF($L125="","",IF(INDEX('NHẬP ĐƠN HÀNG'!$D$6:$D$505,$L125)="","",INDEX('NHẬP ĐƠN HÀNG'!$D$6:$D$505,$L125)))</f>
        <v/>
      </c>
      <c r="E125" s="16" t="str">
        <f aca="false">IF($L125="","",IF(INDEX('NHẬP ĐƠN HÀNG'!$H$6:$H$505,$L125)="","",INDEX('NHẬP ĐƠN HÀNG'!$H$6:$H$505,$L125)))</f>
        <v/>
      </c>
      <c r="F125" s="10" t="str">
        <f aca="false">IF($L125="","",N(INDEX('NHẬP ĐƠN HÀNG'!$I$6:$I$505,$L125)))</f>
        <v/>
      </c>
      <c r="G125" s="10" t="str">
        <f aca="false">IF($L125="","",N(INDEX('NHẬP ĐƠN HÀNG'!$L$6:$L$505,$L125)))</f>
        <v/>
      </c>
      <c r="H125" s="10" t="str">
        <f aca="false">IF($L125="","",N(INDEX('NHẬP ĐƠN HÀNG'!$Q$6:$Q$505,$L125)))</f>
        <v/>
      </c>
      <c r="I125" s="10" t="str">
        <f aca="false">IF($L125="","",N(INDEX('NHẬP ĐƠN HÀNG'!$R$6:$R$505,$L125)))</f>
        <v/>
      </c>
      <c r="J125" s="10" t="str">
        <f aca="false">IF($L125="","",IF(INDEX('NHẬP ĐƠN HÀNG'!$U$6:$U$505,$L125)="","",INDEX('NHẬP ĐƠN HÀNG'!$U$6:$U$505,$L125)))</f>
        <v/>
      </c>
      <c r="K125" s="16" t="str">
        <f aca="false">IF($L125="","",IF(INDEX('NHẬP ĐƠN HÀNG'!$W$6:$W$505,$L125)="","",INDEX('NHẬP ĐƠN HÀNG'!$W$6:$W$505,$L125)))</f>
        <v/>
      </c>
      <c r="L125" s="0" t="str">
        <f aca="false">IFERROR(MATCH(120,'NHẬP ĐƠN HÀNG'!$AA$6:$AA$505,0),"")</f>
        <v/>
      </c>
    </row>
    <row r="126" customFormat="false" ht="15" hidden="false" customHeight="false" outlineLevel="0" collapsed="false">
      <c r="A126" s="16" t="str">
        <f aca="false">IF($L126="","",121)</f>
        <v/>
      </c>
      <c r="B126" s="34" t="str">
        <f aca="false">IF($L126="","",IF(INDEX('NHẬP ĐƠN HÀNG'!$B$6:$B$505,$L126)="","",INDEX('NHẬP ĐƠN HÀNG'!$B$6:$B$505,$L126)))</f>
        <v/>
      </c>
      <c r="C126" s="16" t="str">
        <f aca="false">IF($L126="","",IF(INDEX('NHẬP ĐƠN HÀNG'!$C$6:$C$505,$L126)="","",INDEX('NHẬP ĐƠN HÀNG'!$C$6:$C$505,$L126)))</f>
        <v/>
      </c>
      <c r="D126" s="16" t="str">
        <f aca="false">IF($L126="","",IF(INDEX('NHẬP ĐƠN HÀNG'!$D$6:$D$505,$L126)="","",INDEX('NHẬP ĐƠN HÀNG'!$D$6:$D$505,$L126)))</f>
        <v/>
      </c>
      <c r="E126" s="16" t="str">
        <f aca="false">IF($L126="","",IF(INDEX('NHẬP ĐƠN HÀNG'!$H$6:$H$505,$L126)="","",INDEX('NHẬP ĐƠN HÀNG'!$H$6:$H$505,$L126)))</f>
        <v/>
      </c>
      <c r="F126" s="10" t="str">
        <f aca="false">IF($L126="","",N(INDEX('NHẬP ĐƠN HÀNG'!$I$6:$I$505,$L126)))</f>
        <v/>
      </c>
      <c r="G126" s="10" t="str">
        <f aca="false">IF($L126="","",N(INDEX('NHẬP ĐƠN HÀNG'!$L$6:$L$505,$L126)))</f>
        <v/>
      </c>
      <c r="H126" s="10" t="str">
        <f aca="false">IF($L126="","",N(INDEX('NHẬP ĐƠN HÀNG'!$Q$6:$Q$505,$L126)))</f>
        <v/>
      </c>
      <c r="I126" s="10" t="str">
        <f aca="false">IF($L126="","",N(INDEX('NHẬP ĐƠN HÀNG'!$R$6:$R$505,$L126)))</f>
        <v/>
      </c>
      <c r="J126" s="10" t="str">
        <f aca="false">IF($L126="","",IF(INDEX('NHẬP ĐƠN HÀNG'!$U$6:$U$505,$L126)="","",INDEX('NHẬP ĐƠN HÀNG'!$U$6:$U$505,$L126)))</f>
        <v/>
      </c>
      <c r="K126" s="16" t="str">
        <f aca="false">IF($L126="","",IF(INDEX('NHẬP ĐƠN HÀNG'!$W$6:$W$505,$L126)="","",INDEX('NHẬP ĐƠN HÀNG'!$W$6:$W$505,$L126)))</f>
        <v/>
      </c>
      <c r="L126" s="0" t="str">
        <f aca="false">IFERROR(MATCH(121,'NHẬP ĐƠN HÀNG'!$AA$6:$AA$505,0),"")</f>
        <v/>
      </c>
    </row>
    <row r="127" customFormat="false" ht="15" hidden="false" customHeight="false" outlineLevel="0" collapsed="false">
      <c r="A127" s="16" t="str">
        <f aca="false">IF($L127="","",122)</f>
        <v/>
      </c>
      <c r="B127" s="34" t="str">
        <f aca="false">IF($L127="","",IF(INDEX('NHẬP ĐƠN HÀNG'!$B$6:$B$505,$L127)="","",INDEX('NHẬP ĐƠN HÀNG'!$B$6:$B$505,$L127)))</f>
        <v/>
      </c>
      <c r="C127" s="16" t="str">
        <f aca="false">IF($L127="","",IF(INDEX('NHẬP ĐƠN HÀNG'!$C$6:$C$505,$L127)="","",INDEX('NHẬP ĐƠN HÀNG'!$C$6:$C$505,$L127)))</f>
        <v/>
      </c>
      <c r="D127" s="16" t="str">
        <f aca="false">IF($L127="","",IF(INDEX('NHẬP ĐƠN HÀNG'!$D$6:$D$505,$L127)="","",INDEX('NHẬP ĐƠN HÀNG'!$D$6:$D$505,$L127)))</f>
        <v/>
      </c>
      <c r="E127" s="16" t="str">
        <f aca="false">IF($L127="","",IF(INDEX('NHẬP ĐƠN HÀNG'!$H$6:$H$505,$L127)="","",INDEX('NHẬP ĐƠN HÀNG'!$H$6:$H$505,$L127)))</f>
        <v/>
      </c>
      <c r="F127" s="10" t="str">
        <f aca="false">IF($L127="","",N(INDEX('NHẬP ĐƠN HÀNG'!$I$6:$I$505,$L127)))</f>
        <v/>
      </c>
      <c r="G127" s="10" t="str">
        <f aca="false">IF($L127="","",N(INDEX('NHẬP ĐƠN HÀNG'!$L$6:$L$505,$L127)))</f>
        <v/>
      </c>
      <c r="H127" s="10" t="str">
        <f aca="false">IF($L127="","",N(INDEX('NHẬP ĐƠN HÀNG'!$Q$6:$Q$505,$L127)))</f>
        <v/>
      </c>
      <c r="I127" s="10" t="str">
        <f aca="false">IF($L127="","",N(INDEX('NHẬP ĐƠN HÀNG'!$R$6:$R$505,$L127)))</f>
        <v/>
      </c>
      <c r="J127" s="10" t="str">
        <f aca="false">IF($L127="","",IF(INDEX('NHẬP ĐƠN HÀNG'!$U$6:$U$505,$L127)="","",INDEX('NHẬP ĐƠN HÀNG'!$U$6:$U$505,$L127)))</f>
        <v/>
      </c>
      <c r="K127" s="16" t="str">
        <f aca="false">IF($L127="","",IF(INDEX('NHẬP ĐƠN HÀNG'!$W$6:$W$505,$L127)="","",INDEX('NHẬP ĐƠN HÀNG'!$W$6:$W$505,$L127)))</f>
        <v/>
      </c>
      <c r="L127" s="0" t="str">
        <f aca="false">IFERROR(MATCH(122,'NHẬP ĐƠN HÀNG'!$AA$6:$AA$505,0),"")</f>
        <v/>
      </c>
    </row>
    <row r="128" customFormat="false" ht="15" hidden="false" customHeight="false" outlineLevel="0" collapsed="false">
      <c r="A128" s="16" t="str">
        <f aca="false">IF($L128="","",123)</f>
        <v/>
      </c>
      <c r="B128" s="34" t="str">
        <f aca="false">IF($L128="","",IF(INDEX('NHẬP ĐƠN HÀNG'!$B$6:$B$505,$L128)="","",INDEX('NHẬP ĐƠN HÀNG'!$B$6:$B$505,$L128)))</f>
        <v/>
      </c>
      <c r="C128" s="16" t="str">
        <f aca="false">IF($L128="","",IF(INDEX('NHẬP ĐƠN HÀNG'!$C$6:$C$505,$L128)="","",INDEX('NHẬP ĐƠN HÀNG'!$C$6:$C$505,$L128)))</f>
        <v/>
      </c>
      <c r="D128" s="16" t="str">
        <f aca="false">IF($L128="","",IF(INDEX('NHẬP ĐƠN HÀNG'!$D$6:$D$505,$L128)="","",INDEX('NHẬP ĐƠN HÀNG'!$D$6:$D$505,$L128)))</f>
        <v/>
      </c>
      <c r="E128" s="16" t="str">
        <f aca="false">IF($L128="","",IF(INDEX('NHẬP ĐƠN HÀNG'!$H$6:$H$505,$L128)="","",INDEX('NHẬP ĐƠN HÀNG'!$H$6:$H$505,$L128)))</f>
        <v/>
      </c>
      <c r="F128" s="10" t="str">
        <f aca="false">IF($L128="","",N(INDEX('NHẬP ĐƠN HÀNG'!$I$6:$I$505,$L128)))</f>
        <v/>
      </c>
      <c r="G128" s="10" t="str">
        <f aca="false">IF($L128="","",N(INDEX('NHẬP ĐƠN HÀNG'!$L$6:$L$505,$L128)))</f>
        <v/>
      </c>
      <c r="H128" s="10" t="str">
        <f aca="false">IF($L128="","",N(INDEX('NHẬP ĐƠN HÀNG'!$Q$6:$Q$505,$L128)))</f>
        <v/>
      </c>
      <c r="I128" s="10" t="str">
        <f aca="false">IF($L128="","",N(INDEX('NHẬP ĐƠN HÀNG'!$R$6:$R$505,$L128)))</f>
        <v/>
      </c>
      <c r="J128" s="10" t="str">
        <f aca="false">IF($L128="","",IF(INDEX('NHẬP ĐƠN HÀNG'!$U$6:$U$505,$L128)="","",INDEX('NHẬP ĐƠN HÀNG'!$U$6:$U$505,$L128)))</f>
        <v/>
      </c>
      <c r="K128" s="16" t="str">
        <f aca="false">IF($L128="","",IF(INDEX('NHẬP ĐƠN HÀNG'!$W$6:$W$505,$L128)="","",INDEX('NHẬP ĐƠN HÀNG'!$W$6:$W$505,$L128)))</f>
        <v/>
      </c>
      <c r="L128" s="0" t="str">
        <f aca="false">IFERROR(MATCH(123,'NHẬP ĐƠN HÀNG'!$AA$6:$AA$505,0),"")</f>
        <v/>
      </c>
    </row>
    <row r="129" customFormat="false" ht="15" hidden="false" customHeight="false" outlineLevel="0" collapsed="false">
      <c r="A129" s="16" t="str">
        <f aca="false">IF($L129="","",124)</f>
        <v/>
      </c>
      <c r="B129" s="34" t="str">
        <f aca="false">IF($L129="","",IF(INDEX('NHẬP ĐƠN HÀNG'!$B$6:$B$505,$L129)="","",INDEX('NHẬP ĐƠN HÀNG'!$B$6:$B$505,$L129)))</f>
        <v/>
      </c>
      <c r="C129" s="16" t="str">
        <f aca="false">IF($L129="","",IF(INDEX('NHẬP ĐƠN HÀNG'!$C$6:$C$505,$L129)="","",INDEX('NHẬP ĐƠN HÀNG'!$C$6:$C$505,$L129)))</f>
        <v/>
      </c>
      <c r="D129" s="16" t="str">
        <f aca="false">IF($L129="","",IF(INDEX('NHẬP ĐƠN HÀNG'!$D$6:$D$505,$L129)="","",INDEX('NHẬP ĐƠN HÀNG'!$D$6:$D$505,$L129)))</f>
        <v/>
      </c>
      <c r="E129" s="16" t="str">
        <f aca="false">IF($L129="","",IF(INDEX('NHẬP ĐƠN HÀNG'!$H$6:$H$505,$L129)="","",INDEX('NHẬP ĐƠN HÀNG'!$H$6:$H$505,$L129)))</f>
        <v/>
      </c>
      <c r="F129" s="10" t="str">
        <f aca="false">IF($L129="","",N(INDEX('NHẬP ĐƠN HÀNG'!$I$6:$I$505,$L129)))</f>
        <v/>
      </c>
      <c r="G129" s="10" t="str">
        <f aca="false">IF($L129="","",N(INDEX('NHẬP ĐƠN HÀNG'!$L$6:$L$505,$L129)))</f>
        <v/>
      </c>
      <c r="H129" s="10" t="str">
        <f aca="false">IF($L129="","",N(INDEX('NHẬP ĐƠN HÀNG'!$Q$6:$Q$505,$L129)))</f>
        <v/>
      </c>
      <c r="I129" s="10" t="str">
        <f aca="false">IF($L129="","",N(INDEX('NHẬP ĐƠN HÀNG'!$R$6:$R$505,$L129)))</f>
        <v/>
      </c>
      <c r="J129" s="10" t="str">
        <f aca="false">IF($L129="","",IF(INDEX('NHẬP ĐƠN HÀNG'!$U$6:$U$505,$L129)="","",INDEX('NHẬP ĐƠN HÀNG'!$U$6:$U$505,$L129)))</f>
        <v/>
      </c>
      <c r="K129" s="16" t="str">
        <f aca="false">IF($L129="","",IF(INDEX('NHẬP ĐƠN HÀNG'!$W$6:$W$505,$L129)="","",INDEX('NHẬP ĐƠN HÀNG'!$W$6:$W$505,$L129)))</f>
        <v/>
      </c>
      <c r="L129" s="0" t="str">
        <f aca="false">IFERROR(MATCH(124,'NHẬP ĐƠN HÀNG'!$AA$6:$AA$505,0),"")</f>
        <v/>
      </c>
    </row>
    <row r="130" customFormat="false" ht="15" hidden="false" customHeight="false" outlineLevel="0" collapsed="false">
      <c r="A130" s="16" t="str">
        <f aca="false">IF($L130="","",125)</f>
        <v/>
      </c>
      <c r="B130" s="34" t="str">
        <f aca="false">IF($L130="","",IF(INDEX('NHẬP ĐƠN HÀNG'!$B$6:$B$505,$L130)="","",INDEX('NHẬP ĐƠN HÀNG'!$B$6:$B$505,$L130)))</f>
        <v/>
      </c>
      <c r="C130" s="16" t="str">
        <f aca="false">IF($L130="","",IF(INDEX('NHẬP ĐƠN HÀNG'!$C$6:$C$505,$L130)="","",INDEX('NHẬP ĐƠN HÀNG'!$C$6:$C$505,$L130)))</f>
        <v/>
      </c>
      <c r="D130" s="16" t="str">
        <f aca="false">IF($L130="","",IF(INDEX('NHẬP ĐƠN HÀNG'!$D$6:$D$505,$L130)="","",INDEX('NHẬP ĐƠN HÀNG'!$D$6:$D$505,$L130)))</f>
        <v/>
      </c>
      <c r="E130" s="16" t="str">
        <f aca="false">IF($L130="","",IF(INDEX('NHẬP ĐƠN HÀNG'!$H$6:$H$505,$L130)="","",INDEX('NHẬP ĐƠN HÀNG'!$H$6:$H$505,$L130)))</f>
        <v/>
      </c>
      <c r="F130" s="10" t="str">
        <f aca="false">IF($L130="","",N(INDEX('NHẬP ĐƠN HÀNG'!$I$6:$I$505,$L130)))</f>
        <v/>
      </c>
      <c r="G130" s="10" t="str">
        <f aca="false">IF($L130="","",N(INDEX('NHẬP ĐƠN HÀNG'!$L$6:$L$505,$L130)))</f>
        <v/>
      </c>
      <c r="H130" s="10" t="str">
        <f aca="false">IF($L130="","",N(INDEX('NHẬP ĐƠN HÀNG'!$Q$6:$Q$505,$L130)))</f>
        <v/>
      </c>
      <c r="I130" s="10" t="str">
        <f aca="false">IF($L130="","",N(INDEX('NHẬP ĐƠN HÀNG'!$R$6:$R$505,$L130)))</f>
        <v/>
      </c>
      <c r="J130" s="10" t="str">
        <f aca="false">IF($L130="","",IF(INDEX('NHẬP ĐƠN HÀNG'!$U$6:$U$505,$L130)="","",INDEX('NHẬP ĐƠN HÀNG'!$U$6:$U$505,$L130)))</f>
        <v/>
      </c>
      <c r="K130" s="16" t="str">
        <f aca="false">IF($L130="","",IF(INDEX('NHẬP ĐƠN HÀNG'!$W$6:$W$505,$L130)="","",INDEX('NHẬP ĐƠN HÀNG'!$W$6:$W$505,$L130)))</f>
        <v/>
      </c>
      <c r="L130" s="0" t="str">
        <f aca="false">IFERROR(MATCH(125,'NHẬP ĐƠN HÀNG'!$AA$6:$AA$505,0),"")</f>
        <v/>
      </c>
    </row>
    <row r="131" customFormat="false" ht="15" hidden="false" customHeight="false" outlineLevel="0" collapsed="false">
      <c r="A131" s="16" t="str">
        <f aca="false">IF($L131="","",126)</f>
        <v/>
      </c>
      <c r="B131" s="34" t="str">
        <f aca="false">IF($L131="","",IF(INDEX('NHẬP ĐƠN HÀNG'!$B$6:$B$505,$L131)="","",INDEX('NHẬP ĐƠN HÀNG'!$B$6:$B$505,$L131)))</f>
        <v/>
      </c>
      <c r="C131" s="16" t="str">
        <f aca="false">IF($L131="","",IF(INDEX('NHẬP ĐƠN HÀNG'!$C$6:$C$505,$L131)="","",INDEX('NHẬP ĐƠN HÀNG'!$C$6:$C$505,$L131)))</f>
        <v/>
      </c>
      <c r="D131" s="16" t="str">
        <f aca="false">IF($L131="","",IF(INDEX('NHẬP ĐƠN HÀNG'!$D$6:$D$505,$L131)="","",INDEX('NHẬP ĐƠN HÀNG'!$D$6:$D$505,$L131)))</f>
        <v/>
      </c>
      <c r="E131" s="16" t="str">
        <f aca="false">IF($L131="","",IF(INDEX('NHẬP ĐƠN HÀNG'!$H$6:$H$505,$L131)="","",INDEX('NHẬP ĐƠN HÀNG'!$H$6:$H$505,$L131)))</f>
        <v/>
      </c>
      <c r="F131" s="10" t="str">
        <f aca="false">IF($L131="","",N(INDEX('NHẬP ĐƠN HÀNG'!$I$6:$I$505,$L131)))</f>
        <v/>
      </c>
      <c r="G131" s="10" t="str">
        <f aca="false">IF($L131="","",N(INDEX('NHẬP ĐƠN HÀNG'!$L$6:$L$505,$L131)))</f>
        <v/>
      </c>
      <c r="H131" s="10" t="str">
        <f aca="false">IF($L131="","",N(INDEX('NHẬP ĐƠN HÀNG'!$Q$6:$Q$505,$L131)))</f>
        <v/>
      </c>
      <c r="I131" s="10" t="str">
        <f aca="false">IF($L131="","",N(INDEX('NHẬP ĐƠN HÀNG'!$R$6:$R$505,$L131)))</f>
        <v/>
      </c>
      <c r="J131" s="10" t="str">
        <f aca="false">IF($L131="","",IF(INDEX('NHẬP ĐƠN HÀNG'!$U$6:$U$505,$L131)="","",INDEX('NHẬP ĐƠN HÀNG'!$U$6:$U$505,$L131)))</f>
        <v/>
      </c>
      <c r="K131" s="16" t="str">
        <f aca="false">IF($L131="","",IF(INDEX('NHẬP ĐƠN HÀNG'!$W$6:$W$505,$L131)="","",INDEX('NHẬP ĐƠN HÀNG'!$W$6:$W$505,$L131)))</f>
        <v/>
      </c>
      <c r="L131" s="0" t="str">
        <f aca="false">IFERROR(MATCH(126,'NHẬP ĐƠN HÀNG'!$AA$6:$AA$505,0),"")</f>
        <v/>
      </c>
    </row>
    <row r="132" customFormat="false" ht="15" hidden="false" customHeight="false" outlineLevel="0" collapsed="false">
      <c r="A132" s="16" t="str">
        <f aca="false">IF($L132="","",127)</f>
        <v/>
      </c>
      <c r="B132" s="34" t="str">
        <f aca="false">IF($L132="","",IF(INDEX('NHẬP ĐƠN HÀNG'!$B$6:$B$505,$L132)="","",INDEX('NHẬP ĐƠN HÀNG'!$B$6:$B$505,$L132)))</f>
        <v/>
      </c>
      <c r="C132" s="16" t="str">
        <f aca="false">IF($L132="","",IF(INDEX('NHẬP ĐƠN HÀNG'!$C$6:$C$505,$L132)="","",INDEX('NHẬP ĐƠN HÀNG'!$C$6:$C$505,$L132)))</f>
        <v/>
      </c>
      <c r="D132" s="16" t="str">
        <f aca="false">IF($L132="","",IF(INDEX('NHẬP ĐƠN HÀNG'!$D$6:$D$505,$L132)="","",INDEX('NHẬP ĐƠN HÀNG'!$D$6:$D$505,$L132)))</f>
        <v/>
      </c>
      <c r="E132" s="16" t="str">
        <f aca="false">IF($L132="","",IF(INDEX('NHẬP ĐƠN HÀNG'!$H$6:$H$505,$L132)="","",INDEX('NHẬP ĐƠN HÀNG'!$H$6:$H$505,$L132)))</f>
        <v/>
      </c>
      <c r="F132" s="10" t="str">
        <f aca="false">IF($L132="","",N(INDEX('NHẬP ĐƠN HÀNG'!$I$6:$I$505,$L132)))</f>
        <v/>
      </c>
      <c r="G132" s="10" t="str">
        <f aca="false">IF($L132="","",N(INDEX('NHẬP ĐƠN HÀNG'!$L$6:$L$505,$L132)))</f>
        <v/>
      </c>
      <c r="H132" s="10" t="str">
        <f aca="false">IF($L132="","",N(INDEX('NHẬP ĐƠN HÀNG'!$Q$6:$Q$505,$L132)))</f>
        <v/>
      </c>
      <c r="I132" s="10" t="str">
        <f aca="false">IF($L132="","",N(INDEX('NHẬP ĐƠN HÀNG'!$R$6:$R$505,$L132)))</f>
        <v/>
      </c>
      <c r="J132" s="10" t="str">
        <f aca="false">IF($L132="","",IF(INDEX('NHẬP ĐƠN HÀNG'!$U$6:$U$505,$L132)="","",INDEX('NHẬP ĐƠN HÀNG'!$U$6:$U$505,$L132)))</f>
        <v/>
      </c>
      <c r="K132" s="16" t="str">
        <f aca="false">IF($L132="","",IF(INDEX('NHẬP ĐƠN HÀNG'!$W$6:$W$505,$L132)="","",INDEX('NHẬP ĐƠN HÀNG'!$W$6:$W$505,$L132)))</f>
        <v/>
      </c>
      <c r="L132" s="0" t="str">
        <f aca="false">IFERROR(MATCH(127,'NHẬP ĐƠN HÀNG'!$AA$6:$AA$505,0),"")</f>
        <v/>
      </c>
    </row>
    <row r="133" customFormat="false" ht="15" hidden="false" customHeight="false" outlineLevel="0" collapsed="false">
      <c r="A133" s="16" t="str">
        <f aca="false">IF($L133="","",128)</f>
        <v/>
      </c>
      <c r="B133" s="34" t="str">
        <f aca="false">IF($L133="","",IF(INDEX('NHẬP ĐƠN HÀNG'!$B$6:$B$505,$L133)="","",INDEX('NHẬP ĐƠN HÀNG'!$B$6:$B$505,$L133)))</f>
        <v/>
      </c>
      <c r="C133" s="16" t="str">
        <f aca="false">IF($L133="","",IF(INDEX('NHẬP ĐƠN HÀNG'!$C$6:$C$505,$L133)="","",INDEX('NHẬP ĐƠN HÀNG'!$C$6:$C$505,$L133)))</f>
        <v/>
      </c>
      <c r="D133" s="16" t="str">
        <f aca="false">IF($L133="","",IF(INDEX('NHẬP ĐƠN HÀNG'!$D$6:$D$505,$L133)="","",INDEX('NHẬP ĐƠN HÀNG'!$D$6:$D$505,$L133)))</f>
        <v/>
      </c>
      <c r="E133" s="16" t="str">
        <f aca="false">IF($L133="","",IF(INDEX('NHẬP ĐƠN HÀNG'!$H$6:$H$505,$L133)="","",INDEX('NHẬP ĐƠN HÀNG'!$H$6:$H$505,$L133)))</f>
        <v/>
      </c>
      <c r="F133" s="10" t="str">
        <f aca="false">IF($L133="","",N(INDEX('NHẬP ĐƠN HÀNG'!$I$6:$I$505,$L133)))</f>
        <v/>
      </c>
      <c r="G133" s="10" t="str">
        <f aca="false">IF($L133="","",N(INDEX('NHẬP ĐƠN HÀNG'!$L$6:$L$505,$L133)))</f>
        <v/>
      </c>
      <c r="H133" s="10" t="str">
        <f aca="false">IF($L133="","",N(INDEX('NHẬP ĐƠN HÀNG'!$Q$6:$Q$505,$L133)))</f>
        <v/>
      </c>
      <c r="I133" s="10" t="str">
        <f aca="false">IF($L133="","",N(INDEX('NHẬP ĐƠN HÀNG'!$R$6:$R$505,$L133)))</f>
        <v/>
      </c>
      <c r="J133" s="10" t="str">
        <f aca="false">IF($L133="","",IF(INDEX('NHẬP ĐƠN HÀNG'!$U$6:$U$505,$L133)="","",INDEX('NHẬP ĐƠN HÀNG'!$U$6:$U$505,$L133)))</f>
        <v/>
      </c>
      <c r="K133" s="16" t="str">
        <f aca="false">IF($L133="","",IF(INDEX('NHẬP ĐƠN HÀNG'!$W$6:$W$505,$L133)="","",INDEX('NHẬP ĐƠN HÀNG'!$W$6:$W$505,$L133)))</f>
        <v/>
      </c>
      <c r="L133" s="0" t="str">
        <f aca="false">IFERROR(MATCH(128,'NHẬP ĐƠN HÀNG'!$AA$6:$AA$505,0),"")</f>
        <v/>
      </c>
    </row>
    <row r="134" customFormat="false" ht="15" hidden="false" customHeight="false" outlineLevel="0" collapsed="false">
      <c r="A134" s="16" t="str">
        <f aca="false">IF($L134="","",129)</f>
        <v/>
      </c>
      <c r="B134" s="34" t="str">
        <f aca="false">IF($L134="","",IF(INDEX('NHẬP ĐƠN HÀNG'!$B$6:$B$505,$L134)="","",INDEX('NHẬP ĐƠN HÀNG'!$B$6:$B$505,$L134)))</f>
        <v/>
      </c>
      <c r="C134" s="16" t="str">
        <f aca="false">IF($L134="","",IF(INDEX('NHẬP ĐƠN HÀNG'!$C$6:$C$505,$L134)="","",INDEX('NHẬP ĐƠN HÀNG'!$C$6:$C$505,$L134)))</f>
        <v/>
      </c>
      <c r="D134" s="16" t="str">
        <f aca="false">IF($L134="","",IF(INDEX('NHẬP ĐƠN HÀNG'!$D$6:$D$505,$L134)="","",INDEX('NHẬP ĐƠN HÀNG'!$D$6:$D$505,$L134)))</f>
        <v/>
      </c>
      <c r="E134" s="16" t="str">
        <f aca="false">IF($L134="","",IF(INDEX('NHẬP ĐƠN HÀNG'!$H$6:$H$505,$L134)="","",INDEX('NHẬP ĐƠN HÀNG'!$H$6:$H$505,$L134)))</f>
        <v/>
      </c>
      <c r="F134" s="10" t="str">
        <f aca="false">IF($L134="","",N(INDEX('NHẬP ĐƠN HÀNG'!$I$6:$I$505,$L134)))</f>
        <v/>
      </c>
      <c r="G134" s="10" t="str">
        <f aca="false">IF($L134="","",N(INDEX('NHẬP ĐƠN HÀNG'!$L$6:$L$505,$L134)))</f>
        <v/>
      </c>
      <c r="H134" s="10" t="str">
        <f aca="false">IF($L134="","",N(INDEX('NHẬP ĐƠN HÀNG'!$Q$6:$Q$505,$L134)))</f>
        <v/>
      </c>
      <c r="I134" s="10" t="str">
        <f aca="false">IF($L134="","",N(INDEX('NHẬP ĐƠN HÀNG'!$R$6:$R$505,$L134)))</f>
        <v/>
      </c>
      <c r="J134" s="10" t="str">
        <f aca="false">IF($L134="","",IF(INDEX('NHẬP ĐƠN HÀNG'!$U$6:$U$505,$L134)="","",INDEX('NHẬP ĐƠN HÀNG'!$U$6:$U$505,$L134)))</f>
        <v/>
      </c>
      <c r="K134" s="16" t="str">
        <f aca="false">IF($L134="","",IF(INDEX('NHẬP ĐƠN HÀNG'!$W$6:$W$505,$L134)="","",INDEX('NHẬP ĐƠN HÀNG'!$W$6:$W$505,$L134)))</f>
        <v/>
      </c>
      <c r="L134" s="0" t="str">
        <f aca="false">IFERROR(MATCH(129,'NHẬP ĐƠN HÀNG'!$AA$6:$AA$505,0),"")</f>
        <v/>
      </c>
    </row>
    <row r="135" customFormat="false" ht="15" hidden="false" customHeight="false" outlineLevel="0" collapsed="false">
      <c r="A135" s="16" t="str">
        <f aca="false">IF($L135="","",130)</f>
        <v/>
      </c>
      <c r="B135" s="34" t="str">
        <f aca="false">IF($L135="","",IF(INDEX('NHẬP ĐƠN HÀNG'!$B$6:$B$505,$L135)="","",INDEX('NHẬP ĐƠN HÀNG'!$B$6:$B$505,$L135)))</f>
        <v/>
      </c>
      <c r="C135" s="16" t="str">
        <f aca="false">IF($L135="","",IF(INDEX('NHẬP ĐƠN HÀNG'!$C$6:$C$505,$L135)="","",INDEX('NHẬP ĐƠN HÀNG'!$C$6:$C$505,$L135)))</f>
        <v/>
      </c>
      <c r="D135" s="16" t="str">
        <f aca="false">IF($L135="","",IF(INDEX('NHẬP ĐƠN HÀNG'!$D$6:$D$505,$L135)="","",INDEX('NHẬP ĐƠN HÀNG'!$D$6:$D$505,$L135)))</f>
        <v/>
      </c>
      <c r="E135" s="16" t="str">
        <f aca="false">IF($L135="","",IF(INDEX('NHẬP ĐƠN HÀNG'!$H$6:$H$505,$L135)="","",INDEX('NHẬP ĐƠN HÀNG'!$H$6:$H$505,$L135)))</f>
        <v/>
      </c>
      <c r="F135" s="10" t="str">
        <f aca="false">IF($L135="","",N(INDEX('NHẬP ĐƠN HÀNG'!$I$6:$I$505,$L135)))</f>
        <v/>
      </c>
      <c r="G135" s="10" t="str">
        <f aca="false">IF($L135="","",N(INDEX('NHẬP ĐƠN HÀNG'!$L$6:$L$505,$L135)))</f>
        <v/>
      </c>
      <c r="H135" s="10" t="str">
        <f aca="false">IF($L135="","",N(INDEX('NHẬP ĐƠN HÀNG'!$Q$6:$Q$505,$L135)))</f>
        <v/>
      </c>
      <c r="I135" s="10" t="str">
        <f aca="false">IF($L135="","",N(INDEX('NHẬP ĐƠN HÀNG'!$R$6:$R$505,$L135)))</f>
        <v/>
      </c>
      <c r="J135" s="10" t="str">
        <f aca="false">IF($L135="","",IF(INDEX('NHẬP ĐƠN HÀNG'!$U$6:$U$505,$L135)="","",INDEX('NHẬP ĐƠN HÀNG'!$U$6:$U$505,$L135)))</f>
        <v/>
      </c>
      <c r="K135" s="16" t="str">
        <f aca="false">IF($L135="","",IF(INDEX('NHẬP ĐƠN HÀNG'!$W$6:$W$505,$L135)="","",INDEX('NHẬP ĐƠN HÀNG'!$W$6:$W$505,$L135)))</f>
        <v/>
      </c>
      <c r="L135" s="0" t="str">
        <f aca="false">IFERROR(MATCH(130,'NHẬP ĐƠN HÀNG'!$AA$6:$AA$505,0),"")</f>
        <v/>
      </c>
    </row>
    <row r="136" customFormat="false" ht="15" hidden="false" customHeight="false" outlineLevel="0" collapsed="false">
      <c r="A136" s="16" t="str">
        <f aca="false">IF($L136="","",131)</f>
        <v/>
      </c>
      <c r="B136" s="34" t="str">
        <f aca="false">IF($L136="","",IF(INDEX('NHẬP ĐƠN HÀNG'!$B$6:$B$505,$L136)="","",INDEX('NHẬP ĐƠN HÀNG'!$B$6:$B$505,$L136)))</f>
        <v/>
      </c>
      <c r="C136" s="16" t="str">
        <f aca="false">IF($L136="","",IF(INDEX('NHẬP ĐƠN HÀNG'!$C$6:$C$505,$L136)="","",INDEX('NHẬP ĐƠN HÀNG'!$C$6:$C$505,$L136)))</f>
        <v/>
      </c>
      <c r="D136" s="16" t="str">
        <f aca="false">IF($L136="","",IF(INDEX('NHẬP ĐƠN HÀNG'!$D$6:$D$505,$L136)="","",INDEX('NHẬP ĐƠN HÀNG'!$D$6:$D$505,$L136)))</f>
        <v/>
      </c>
      <c r="E136" s="16" t="str">
        <f aca="false">IF($L136="","",IF(INDEX('NHẬP ĐƠN HÀNG'!$H$6:$H$505,$L136)="","",INDEX('NHẬP ĐƠN HÀNG'!$H$6:$H$505,$L136)))</f>
        <v/>
      </c>
      <c r="F136" s="10" t="str">
        <f aca="false">IF($L136="","",N(INDEX('NHẬP ĐƠN HÀNG'!$I$6:$I$505,$L136)))</f>
        <v/>
      </c>
      <c r="G136" s="10" t="str">
        <f aca="false">IF($L136="","",N(INDEX('NHẬP ĐƠN HÀNG'!$L$6:$L$505,$L136)))</f>
        <v/>
      </c>
      <c r="H136" s="10" t="str">
        <f aca="false">IF($L136="","",N(INDEX('NHẬP ĐƠN HÀNG'!$Q$6:$Q$505,$L136)))</f>
        <v/>
      </c>
      <c r="I136" s="10" t="str">
        <f aca="false">IF($L136="","",N(INDEX('NHẬP ĐƠN HÀNG'!$R$6:$R$505,$L136)))</f>
        <v/>
      </c>
      <c r="J136" s="10" t="str">
        <f aca="false">IF($L136="","",IF(INDEX('NHẬP ĐƠN HÀNG'!$U$6:$U$505,$L136)="","",INDEX('NHẬP ĐƠN HÀNG'!$U$6:$U$505,$L136)))</f>
        <v/>
      </c>
      <c r="K136" s="16" t="str">
        <f aca="false">IF($L136="","",IF(INDEX('NHẬP ĐƠN HÀNG'!$W$6:$W$505,$L136)="","",INDEX('NHẬP ĐƠN HÀNG'!$W$6:$W$505,$L136)))</f>
        <v/>
      </c>
      <c r="L136" s="0" t="str">
        <f aca="false">IFERROR(MATCH(131,'NHẬP ĐƠN HÀNG'!$AA$6:$AA$505,0),"")</f>
        <v/>
      </c>
    </row>
    <row r="137" customFormat="false" ht="15" hidden="false" customHeight="false" outlineLevel="0" collapsed="false">
      <c r="A137" s="16" t="str">
        <f aca="false">IF($L137="","",132)</f>
        <v/>
      </c>
      <c r="B137" s="34" t="str">
        <f aca="false">IF($L137="","",IF(INDEX('NHẬP ĐƠN HÀNG'!$B$6:$B$505,$L137)="","",INDEX('NHẬP ĐƠN HÀNG'!$B$6:$B$505,$L137)))</f>
        <v/>
      </c>
      <c r="C137" s="16" t="str">
        <f aca="false">IF($L137="","",IF(INDEX('NHẬP ĐƠN HÀNG'!$C$6:$C$505,$L137)="","",INDEX('NHẬP ĐƠN HÀNG'!$C$6:$C$505,$L137)))</f>
        <v/>
      </c>
      <c r="D137" s="16" t="str">
        <f aca="false">IF($L137="","",IF(INDEX('NHẬP ĐƠN HÀNG'!$D$6:$D$505,$L137)="","",INDEX('NHẬP ĐƠN HÀNG'!$D$6:$D$505,$L137)))</f>
        <v/>
      </c>
      <c r="E137" s="16" t="str">
        <f aca="false">IF($L137="","",IF(INDEX('NHẬP ĐƠN HÀNG'!$H$6:$H$505,$L137)="","",INDEX('NHẬP ĐƠN HÀNG'!$H$6:$H$505,$L137)))</f>
        <v/>
      </c>
      <c r="F137" s="10" t="str">
        <f aca="false">IF($L137="","",N(INDEX('NHẬP ĐƠN HÀNG'!$I$6:$I$505,$L137)))</f>
        <v/>
      </c>
      <c r="G137" s="10" t="str">
        <f aca="false">IF($L137="","",N(INDEX('NHẬP ĐƠN HÀNG'!$L$6:$L$505,$L137)))</f>
        <v/>
      </c>
      <c r="H137" s="10" t="str">
        <f aca="false">IF($L137="","",N(INDEX('NHẬP ĐƠN HÀNG'!$Q$6:$Q$505,$L137)))</f>
        <v/>
      </c>
      <c r="I137" s="10" t="str">
        <f aca="false">IF($L137="","",N(INDEX('NHẬP ĐƠN HÀNG'!$R$6:$R$505,$L137)))</f>
        <v/>
      </c>
      <c r="J137" s="10" t="str">
        <f aca="false">IF($L137="","",IF(INDEX('NHẬP ĐƠN HÀNG'!$U$6:$U$505,$L137)="","",INDEX('NHẬP ĐƠN HÀNG'!$U$6:$U$505,$L137)))</f>
        <v/>
      </c>
      <c r="K137" s="16" t="str">
        <f aca="false">IF($L137="","",IF(INDEX('NHẬP ĐƠN HÀNG'!$W$6:$W$505,$L137)="","",INDEX('NHẬP ĐƠN HÀNG'!$W$6:$W$505,$L137)))</f>
        <v/>
      </c>
      <c r="L137" s="0" t="str">
        <f aca="false">IFERROR(MATCH(132,'NHẬP ĐƠN HÀNG'!$AA$6:$AA$505,0),"")</f>
        <v/>
      </c>
    </row>
    <row r="138" customFormat="false" ht="15" hidden="false" customHeight="false" outlineLevel="0" collapsed="false">
      <c r="A138" s="16" t="str">
        <f aca="false">IF($L138="","",133)</f>
        <v/>
      </c>
      <c r="B138" s="34" t="str">
        <f aca="false">IF($L138="","",IF(INDEX('NHẬP ĐƠN HÀNG'!$B$6:$B$505,$L138)="","",INDEX('NHẬP ĐƠN HÀNG'!$B$6:$B$505,$L138)))</f>
        <v/>
      </c>
      <c r="C138" s="16" t="str">
        <f aca="false">IF($L138="","",IF(INDEX('NHẬP ĐƠN HÀNG'!$C$6:$C$505,$L138)="","",INDEX('NHẬP ĐƠN HÀNG'!$C$6:$C$505,$L138)))</f>
        <v/>
      </c>
      <c r="D138" s="16" t="str">
        <f aca="false">IF($L138="","",IF(INDEX('NHẬP ĐƠN HÀNG'!$D$6:$D$505,$L138)="","",INDEX('NHẬP ĐƠN HÀNG'!$D$6:$D$505,$L138)))</f>
        <v/>
      </c>
      <c r="E138" s="16" t="str">
        <f aca="false">IF($L138="","",IF(INDEX('NHẬP ĐƠN HÀNG'!$H$6:$H$505,$L138)="","",INDEX('NHẬP ĐƠN HÀNG'!$H$6:$H$505,$L138)))</f>
        <v/>
      </c>
      <c r="F138" s="10" t="str">
        <f aca="false">IF($L138="","",N(INDEX('NHẬP ĐƠN HÀNG'!$I$6:$I$505,$L138)))</f>
        <v/>
      </c>
      <c r="G138" s="10" t="str">
        <f aca="false">IF($L138="","",N(INDEX('NHẬP ĐƠN HÀNG'!$L$6:$L$505,$L138)))</f>
        <v/>
      </c>
      <c r="H138" s="10" t="str">
        <f aca="false">IF($L138="","",N(INDEX('NHẬP ĐƠN HÀNG'!$Q$6:$Q$505,$L138)))</f>
        <v/>
      </c>
      <c r="I138" s="10" t="str">
        <f aca="false">IF($L138="","",N(INDEX('NHẬP ĐƠN HÀNG'!$R$6:$R$505,$L138)))</f>
        <v/>
      </c>
      <c r="J138" s="10" t="str">
        <f aca="false">IF($L138="","",IF(INDEX('NHẬP ĐƠN HÀNG'!$U$6:$U$505,$L138)="","",INDEX('NHẬP ĐƠN HÀNG'!$U$6:$U$505,$L138)))</f>
        <v/>
      </c>
      <c r="K138" s="16" t="str">
        <f aca="false">IF($L138="","",IF(INDEX('NHẬP ĐƠN HÀNG'!$W$6:$W$505,$L138)="","",INDEX('NHẬP ĐƠN HÀNG'!$W$6:$W$505,$L138)))</f>
        <v/>
      </c>
      <c r="L138" s="0" t="str">
        <f aca="false">IFERROR(MATCH(133,'NHẬP ĐƠN HÀNG'!$AA$6:$AA$505,0),"")</f>
        <v/>
      </c>
    </row>
    <row r="139" customFormat="false" ht="15" hidden="false" customHeight="false" outlineLevel="0" collapsed="false">
      <c r="A139" s="16" t="str">
        <f aca="false">IF($L139="","",134)</f>
        <v/>
      </c>
      <c r="B139" s="34" t="str">
        <f aca="false">IF($L139="","",IF(INDEX('NHẬP ĐƠN HÀNG'!$B$6:$B$505,$L139)="","",INDEX('NHẬP ĐƠN HÀNG'!$B$6:$B$505,$L139)))</f>
        <v/>
      </c>
      <c r="C139" s="16" t="str">
        <f aca="false">IF($L139="","",IF(INDEX('NHẬP ĐƠN HÀNG'!$C$6:$C$505,$L139)="","",INDEX('NHẬP ĐƠN HÀNG'!$C$6:$C$505,$L139)))</f>
        <v/>
      </c>
      <c r="D139" s="16" t="str">
        <f aca="false">IF($L139="","",IF(INDEX('NHẬP ĐƠN HÀNG'!$D$6:$D$505,$L139)="","",INDEX('NHẬP ĐƠN HÀNG'!$D$6:$D$505,$L139)))</f>
        <v/>
      </c>
      <c r="E139" s="16" t="str">
        <f aca="false">IF($L139="","",IF(INDEX('NHẬP ĐƠN HÀNG'!$H$6:$H$505,$L139)="","",INDEX('NHẬP ĐƠN HÀNG'!$H$6:$H$505,$L139)))</f>
        <v/>
      </c>
      <c r="F139" s="10" t="str">
        <f aca="false">IF($L139="","",N(INDEX('NHẬP ĐƠN HÀNG'!$I$6:$I$505,$L139)))</f>
        <v/>
      </c>
      <c r="G139" s="10" t="str">
        <f aca="false">IF($L139="","",N(INDEX('NHẬP ĐƠN HÀNG'!$L$6:$L$505,$L139)))</f>
        <v/>
      </c>
      <c r="H139" s="10" t="str">
        <f aca="false">IF($L139="","",N(INDEX('NHẬP ĐƠN HÀNG'!$Q$6:$Q$505,$L139)))</f>
        <v/>
      </c>
      <c r="I139" s="10" t="str">
        <f aca="false">IF($L139="","",N(INDEX('NHẬP ĐƠN HÀNG'!$R$6:$R$505,$L139)))</f>
        <v/>
      </c>
      <c r="J139" s="10" t="str">
        <f aca="false">IF($L139="","",IF(INDEX('NHẬP ĐƠN HÀNG'!$U$6:$U$505,$L139)="","",INDEX('NHẬP ĐƠN HÀNG'!$U$6:$U$505,$L139)))</f>
        <v/>
      </c>
      <c r="K139" s="16" t="str">
        <f aca="false">IF($L139="","",IF(INDEX('NHẬP ĐƠN HÀNG'!$W$6:$W$505,$L139)="","",INDEX('NHẬP ĐƠN HÀNG'!$W$6:$W$505,$L139)))</f>
        <v/>
      </c>
      <c r="L139" s="0" t="str">
        <f aca="false">IFERROR(MATCH(134,'NHẬP ĐƠN HÀNG'!$AA$6:$AA$505,0),"")</f>
        <v/>
      </c>
    </row>
    <row r="140" customFormat="false" ht="15" hidden="false" customHeight="false" outlineLevel="0" collapsed="false">
      <c r="A140" s="16" t="str">
        <f aca="false">IF($L140="","",135)</f>
        <v/>
      </c>
      <c r="B140" s="34" t="str">
        <f aca="false">IF($L140="","",IF(INDEX('NHẬP ĐƠN HÀNG'!$B$6:$B$505,$L140)="","",INDEX('NHẬP ĐƠN HÀNG'!$B$6:$B$505,$L140)))</f>
        <v/>
      </c>
      <c r="C140" s="16" t="str">
        <f aca="false">IF($L140="","",IF(INDEX('NHẬP ĐƠN HÀNG'!$C$6:$C$505,$L140)="","",INDEX('NHẬP ĐƠN HÀNG'!$C$6:$C$505,$L140)))</f>
        <v/>
      </c>
      <c r="D140" s="16" t="str">
        <f aca="false">IF($L140="","",IF(INDEX('NHẬP ĐƠN HÀNG'!$D$6:$D$505,$L140)="","",INDEX('NHẬP ĐƠN HÀNG'!$D$6:$D$505,$L140)))</f>
        <v/>
      </c>
      <c r="E140" s="16" t="str">
        <f aca="false">IF($L140="","",IF(INDEX('NHẬP ĐƠN HÀNG'!$H$6:$H$505,$L140)="","",INDEX('NHẬP ĐƠN HÀNG'!$H$6:$H$505,$L140)))</f>
        <v/>
      </c>
      <c r="F140" s="10" t="str">
        <f aca="false">IF($L140="","",N(INDEX('NHẬP ĐƠN HÀNG'!$I$6:$I$505,$L140)))</f>
        <v/>
      </c>
      <c r="G140" s="10" t="str">
        <f aca="false">IF($L140="","",N(INDEX('NHẬP ĐƠN HÀNG'!$L$6:$L$505,$L140)))</f>
        <v/>
      </c>
      <c r="H140" s="10" t="str">
        <f aca="false">IF($L140="","",N(INDEX('NHẬP ĐƠN HÀNG'!$Q$6:$Q$505,$L140)))</f>
        <v/>
      </c>
      <c r="I140" s="10" t="str">
        <f aca="false">IF($L140="","",N(INDEX('NHẬP ĐƠN HÀNG'!$R$6:$R$505,$L140)))</f>
        <v/>
      </c>
      <c r="J140" s="10" t="str">
        <f aca="false">IF($L140="","",IF(INDEX('NHẬP ĐƠN HÀNG'!$U$6:$U$505,$L140)="","",INDEX('NHẬP ĐƠN HÀNG'!$U$6:$U$505,$L140)))</f>
        <v/>
      </c>
      <c r="K140" s="16" t="str">
        <f aca="false">IF($L140="","",IF(INDEX('NHẬP ĐƠN HÀNG'!$W$6:$W$505,$L140)="","",INDEX('NHẬP ĐƠN HÀNG'!$W$6:$W$505,$L140)))</f>
        <v/>
      </c>
      <c r="L140" s="0" t="str">
        <f aca="false">IFERROR(MATCH(135,'NHẬP ĐƠN HÀNG'!$AA$6:$AA$505,0),"")</f>
        <v/>
      </c>
    </row>
    <row r="141" customFormat="false" ht="15" hidden="false" customHeight="false" outlineLevel="0" collapsed="false">
      <c r="A141" s="16" t="str">
        <f aca="false">IF($L141="","",136)</f>
        <v/>
      </c>
      <c r="B141" s="34" t="str">
        <f aca="false">IF($L141="","",IF(INDEX('NHẬP ĐƠN HÀNG'!$B$6:$B$505,$L141)="","",INDEX('NHẬP ĐƠN HÀNG'!$B$6:$B$505,$L141)))</f>
        <v/>
      </c>
      <c r="C141" s="16" t="str">
        <f aca="false">IF($L141="","",IF(INDEX('NHẬP ĐƠN HÀNG'!$C$6:$C$505,$L141)="","",INDEX('NHẬP ĐƠN HÀNG'!$C$6:$C$505,$L141)))</f>
        <v/>
      </c>
      <c r="D141" s="16" t="str">
        <f aca="false">IF($L141="","",IF(INDEX('NHẬP ĐƠN HÀNG'!$D$6:$D$505,$L141)="","",INDEX('NHẬP ĐƠN HÀNG'!$D$6:$D$505,$L141)))</f>
        <v/>
      </c>
      <c r="E141" s="16" t="str">
        <f aca="false">IF($L141="","",IF(INDEX('NHẬP ĐƠN HÀNG'!$H$6:$H$505,$L141)="","",INDEX('NHẬP ĐƠN HÀNG'!$H$6:$H$505,$L141)))</f>
        <v/>
      </c>
      <c r="F141" s="10" t="str">
        <f aca="false">IF($L141="","",N(INDEX('NHẬP ĐƠN HÀNG'!$I$6:$I$505,$L141)))</f>
        <v/>
      </c>
      <c r="G141" s="10" t="str">
        <f aca="false">IF($L141="","",N(INDEX('NHẬP ĐƠN HÀNG'!$L$6:$L$505,$L141)))</f>
        <v/>
      </c>
      <c r="H141" s="10" t="str">
        <f aca="false">IF($L141="","",N(INDEX('NHẬP ĐƠN HÀNG'!$Q$6:$Q$505,$L141)))</f>
        <v/>
      </c>
      <c r="I141" s="10" t="str">
        <f aca="false">IF($L141="","",N(INDEX('NHẬP ĐƠN HÀNG'!$R$6:$R$505,$L141)))</f>
        <v/>
      </c>
      <c r="J141" s="10" t="str">
        <f aca="false">IF($L141="","",IF(INDEX('NHẬP ĐƠN HÀNG'!$U$6:$U$505,$L141)="","",INDEX('NHẬP ĐƠN HÀNG'!$U$6:$U$505,$L141)))</f>
        <v/>
      </c>
      <c r="K141" s="16" t="str">
        <f aca="false">IF($L141="","",IF(INDEX('NHẬP ĐƠN HÀNG'!$W$6:$W$505,$L141)="","",INDEX('NHẬP ĐƠN HÀNG'!$W$6:$W$505,$L141)))</f>
        <v/>
      </c>
      <c r="L141" s="0" t="str">
        <f aca="false">IFERROR(MATCH(136,'NHẬP ĐƠN HÀNG'!$AA$6:$AA$505,0),"")</f>
        <v/>
      </c>
    </row>
    <row r="142" customFormat="false" ht="15" hidden="false" customHeight="false" outlineLevel="0" collapsed="false">
      <c r="A142" s="16" t="str">
        <f aca="false">IF($L142="","",137)</f>
        <v/>
      </c>
      <c r="B142" s="34" t="str">
        <f aca="false">IF($L142="","",IF(INDEX('NHẬP ĐƠN HÀNG'!$B$6:$B$505,$L142)="","",INDEX('NHẬP ĐƠN HÀNG'!$B$6:$B$505,$L142)))</f>
        <v/>
      </c>
      <c r="C142" s="16" t="str">
        <f aca="false">IF($L142="","",IF(INDEX('NHẬP ĐƠN HÀNG'!$C$6:$C$505,$L142)="","",INDEX('NHẬP ĐƠN HÀNG'!$C$6:$C$505,$L142)))</f>
        <v/>
      </c>
      <c r="D142" s="16" t="str">
        <f aca="false">IF($L142="","",IF(INDEX('NHẬP ĐƠN HÀNG'!$D$6:$D$505,$L142)="","",INDEX('NHẬP ĐƠN HÀNG'!$D$6:$D$505,$L142)))</f>
        <v/>
      </c>
      <c r="E142" s="16" t="str">
        <f aca="false">IF($L142="","",IF(INDEX('NHẬP ĐƠN HÀNG'!$H$6:$H$505,$L142)="","",INDEX('NHẬP ĐƠN HÀNG'!$H$6:$H$505,$L142)))</f>
        <v/>
      </c>
      <c r="F142" s="10" t="str">
        <f aca="false">IF($L142="","",N(INDEX('NHẬP ĐƠN HÀNG'!$I$6:$I$505,$L142)))</f>
        <v/>
      </c>
      <c r="G142" s="10" t="str">
        <f aca="false">IF($L142="","",N(INDEX('NHẬP ĐƠN HÀNG'!$L$6:$L$505,$L142)))</f>
        <v/>
      </c>
      <c r="H142" s="10" t="str">
        <f aca="false">IF($L142="","",N(INDEX('NHẬP ĐƠN HÀNG'!$Q$6:$Q$505,$L142)))</f>
        <v/>
      </c>
      <c r="I142" s="10" t="str">
        <f aca="false">IF($L142="","",N(INDEX('NHẬP ĐƠN HÀNG'!$R$6:$R$505,$L142)))</f>
        <v/>
      </c>
      <c r="J142" s="10" t="str">
        <f aca="false">IF($L142="","",IF(INDEX('NHẬP ĐƠN HÀNG'!$U$6:$U$505,$L142)="","",INDEX('NHẬP ĐƠN HÀNG'!$U$6:$U$505,$L142)))</f>
        <v/>
      </c>
      <c r="K142" s="16" t="str">
        <f aca="false">IF($L142="","",IF(INDEX('NHẬP ĐƠN HÀNG'!$W$6:$W$505,$L142)="","",INDEX('NHẬP ĐƠN HÀNG'!$W$6:$W$505,$L142)))</f>
        <v/>
      </c>
      <c r="L142" s="0" t="str">
        <f aca="false">IFERROR(MATCH(137,'NHẬP ĐƠN HÀNG'!$AA$6:$AA$505,0),"")</f>
        <v/>
      </c>
    </row>
    <row r="143" customFormat="false" ht="15" hidden="false" customHeight="false" outlineLevel="0" collapsed="false">
      <c r="A143" s="16" t="str">
        <f aca="false">IF($L143="","",138)</f>
        <v/>
      </c>
      <c r="B143" s="34" t="str">
        <f aca="false">IF($L143="","",IF(INDEX('NHẬP ĐƠN HÀNG'!$B$6:$B$505,$L143)="","",INDEX('NHẬP ĐƠN HÀNG'!$B$6:$B$505,$L143)))</f>
        <v/>
      </c>
      <c r="C143" s="16" t="str">
        <f aca="false">IF($L143="","",IF(INDEX('NHẬP ĐƠN HÀNG'!$C$6:$C$505,$L143)="","",INDEX('NHẬP ĐƠN HÀNG'!$C$6:$C$505,$L143)))</f>
        <v/>
      </c>
      <c r="D143" s="16" t="str">
        <f aca="false">IF($L143="","",IF(INDEX('NHẬP ĐƠN HÀNG'!$D$6:$D$505,$L143)="","",INDEX('NHẬP ĐƠN HÀNG'!$D$6:$D$505,$L143)))</f>
        <v/>
      </c>
      <c r="E143" s="16" t="str">
        <f aca="false">IF($L143="","",IF(INDEX('NHẬP ĐƠN HÀNG'!$H$6:$H$505,$L143)="","",INDEX('NHẬP ĐƠN HÀNG'!$H$6:$H$505,$L143)))</f>
        <v/>
      </c>
      <c r="F143" s="10" t="str">
        <f aca="false">IF($L143="","",N(INDEX('NHẬP ĐƠN HÀNG'!$I$6:$I$505,$L143)))</f>
        <v/>
      </c>
      <c r="G143" s="10" t="str">
        <f aca="false">IF($L143="","",N(INDEX('NHẬP ĐƠN HÀNG'!$L$6:$L$505,$L143)))</f>
        <v/>
      </c>
      <c r="H143" s="10" t="str">
        <f aca="false">IF($L143="","",N(INDEX('NHẬP ĐƠN HÀNG'!$Q$6:$Q$505,$L143)))</f>
        <v/>
      </c>
      <c r="I143" s="10" t="str">
        <f aca="false">IF($L143="","",N(INDEX('NHẬP ĐƠN HÀNG'!$R$6:$R$505,$L143)))</f>
        <v/>
      </c>
      <c r="J143" s="10" t="str">
        <f aca="false">IF($L143="","",IF(INDEX('NHẬP ĐƠN HÀNG'!$U$6:$U$505,$L143)="","",INDEX('NHẬP ĐƠN HÀNG'!$U$6:$U$505,$L143)))</f>
        <v/>
      </c>
      <c r="K143" s="16" t="str">
        <f aca="false">IF($L143="","",IF(INDEX('NHẬP ĐƠN HÀNG'!$W$6:$W$505,$L143)="","",INDEX('NHẬP ĐƠN HÀNG'!$W$6:$W$505,$L143)))</f>
        <v/>
      </c>
      <c r="L143" s="0" t="str">
        <f aca="false">IFERROR(MATCH(138,'NHẬP ĐƠN HÀNG'!$AA$6:$AA$505,0),"")</f>
        <v/>
      </c>
    </row>
    <row r="144" customFormat="false" ht="15" hidden="false" customHeight="false" outlineLevel="0" collapsed="false">
      <c r="A144" s="16" t="str">
        <f aca="false">IF($L144="","",139)</f>
        <v/>
      </c>
      <c r="B144" s="34" t="str">
        <f aca="false">IF($L144="","",IF(INDEX('NHẬP ĐƠN HÀNG'!$B$6:$B$505,$L144)="","",INDEX('NHẬP ĐƠN HÀNG'!$B$6:$B$505,$L144)))</f>
        <v/>
      </c>
      <c r="C144" s="16" t="str">
        <f aca="false">IF($L144="","",IF(INDEX('NHẬP ĐƠN HÀNG'!$C$6:$C$505,$L144)="","",INDEX('NHẬP ĐƠN HÀNG'!$C$6:$C$505,$L144)))</f>
        <v/>
      </c>
      <c r="D144" s="16" t="str">
        <f aca="false">IF($L144="","",IF(INDEX('NHẬP ĐƠN HÀNG'!$D$6:$D$505,$L144)="","",INDEX('NHẬP ĐƠN HÀNG'!$D$6:$D$505,$L144)))</f>
        <v/>
      </c>
      <c r="E144" s="16" t="str">
        <f aca="false">IF($L144="","",IF(INDEX('NHẬP ĐƠN HÀNG'!$H$6:$H$505,$L144)="","",INDEX('NHẬP ĐƠN HÀNG'!$H$6:$H$505,$L144)))</f>
        <v/>
      </c>
      <c r="F144" s="10" t="str">
        <f aca="false">IF($L144="","",N(INDEX('NHẬP ĐƠN HÀNG'!$I$6:$I$505,$L144)))</f>
        <v/>
      </c>
      <c r="G144" s="10" t="str">
        <f aca="false">IF($L144="","",N(INDEX('NHẬP ĐƠN HÀNG'!$L$6:$L$505,$L144)))</f>
        <v/>
      </c>
      <c r="H144" s="10" t="str">
        <f aca="false">IF($L144="","",N(INDEX('NHẬP ĐƠN HÀNG'!$Q$6:$Q$505,$L144)))</f>
        <v/>
      </c>
      <c r="I144" s="10" t="str">
        <f aca="false">IF($L144="","",N(INDEX('NHẬP ĐƠN HÀNG'!$R$6:$R$505,$L144)))</f>
        <v/>
      </c>
      <c r="J144" s="10" t="str">
        <f aca="false">IF($L144="","",IF(INDEX('NHẬP ĐƠN HÀNG'!$U$6:$U$505,$L144)="","",INDEX('NHẬP ĐƠN HÀNG'!$U$6:$U$505,$L144)))</f>
        <v/>
      </c>
      <c r="K144" s="16" t="str">
        <f aca="false">IF($L144="","",IF(INDEX('NHẬP ĐƠN HÀNG'!$W$6:$W$505,$L144)="","",INDEX('NHẬP ĐƠN HÀNG'!$W$6:$W$505,$L144)))</f>
        <v/>
      </c>
      <c r="L144" s="0" t="str">
        <f aca="false">IFERROR(MATCH(139,'NHẬP ĐƠN HÀNG'!$AA$6:$AA$505,0),"")</f>
        <v/>
      </c>
    </row>
    <row r="145" customFormat="false" ht="15" hidden="false" customHeight="false" outlineLevel="0" collapsed="false">
      <c r="A145" s="16" t="str">
        <f aca="false">IF($L145="","",140)</f>
        <v/>
      </c>
      <c r="B145" s="34" t="str">
        <f aca="false">IF($L145="","",IF(INDEX('NHẬP ĐƠN HÀNG'!$B$6:$B$505,$L145)="","",INDEX('NHẬP ĐƠN HÀNG'!$B$6:$B$505,$L145)))</f>
        <v/>
      </c>
      <c r="C145" s="16" t="str">
        <f aca="false">IF($L145="","",IF(INDEX('NHẬP ĐƠN HÀNG'!$C$6:$C$505,$L145)="","",INDEX('NHẬP ĐƠN HÀNG'!$C$6:$C$505,$L145)))</f>
        <v/>
      </c>
      <c r="D145" s="16" t="str">
        <f aca="false">IF($L145="","",IF(INDEX('NHẬP ĐƠN HÀNG'!$D$6:$D$505,$L145)="","",INDEX('NHẬP ĐƠN HÀNG'!$D$6:$D$505,$L145)))</f>
        <v/>
      </c>
      <c r="E145" s="16" t="str">
        <f aca="false">IF($L145="","",IF(INDEX('NHẬP ĐƠN HÀNG'!$H$6:$H$505,$L145)="","",INDEX('NHẬP ĐƠN HÀNG'!$H$6:$H$505,$L145)))</f>
        <v/>
      </c>
      <c r="F145" s="10" t="str">
        <f aca="false">IF($L145="","",N(INDEX('NHẬP ĐƠN HÀNG'!$I$6:$I$505,$L145)))</f>
        <v/>
      </c>
      <c r="G145" s="10" t="str">
        <f aca="false">IF($L145="","",N(INDEX('NHẬP ĐƠN HÀNG'!$L$6:$L$505,$L145)))</f>
        <v/>
      </c>
      <c r="H145" s="10" t="str">
        <f aca="false">IF($L145="","",N(INDEX('NHẬP ĐƠN HÀNG'!$Q$6:$Q$505,$L145)))</f>
        <v/>
      </c>
      <c r="I145" s="10" t="str">
        <f aca="false">IF($L145="","",N(INDEX('NHẬP ĐƠN HÀNG'!$R$6:$R$505,$L145)))</f>
        <v/>
      </c>
      <c r="J145" s="10" t="str">
        <f aca="false">IF($L145="","",IF(INDEX('NHẬP ĐƠN HÀNG'!$U$6:$U$505,$L145)="","",INDEX('NHẬP ĐƠN HÀNG'!$U$6:$U$505,$L145)))</f>
        <v/>
      </c>
      <c r="K145" s="16" t="str">
        <f aca="false">IF($L145="","",IF(INDEX('NHẬP ĐƠN HÀNG'!$W$6:$W$505,$L145)="","",INDEX('NHẬP ĐƠN HÀNG'!$W$6:$W$505,$L145)))</f>
        <v/>
      </c>
      <c r="L145" s="0" t="str">
        <f aca="false">IFERROR(MATCH(140,'NHẬP ĐƠN HÀNG'!$AA$6:$AA$505,0),"")</f>
        <v/>
      </c>
    </row>
    <row r="146" customFormat="false" ht="15" hidden="false" customHeight="false" outlineLevel="0" collapsed="false">
      <c r="A146" s="16" t="str">
        <f aca="false">IF($L146="","",141)</f>
        <v/>
      </c>
      <c r="B146" s="34" t="str">
        <f aca="false">IF($L146="","",IF(INDEX('NHẬP ĐƠN HÀNG'!$B$6:$B$505,$L146)="","",INDEX('NHẬP ĐƠN HÀNG'!$B$6:$B$505,$L146)))</f>
        <v/>
      </c>
      <c r="C146" s="16" t="str">
        <f aca="false">IF($L146="","",IF(INDEX('NHẬP ĐƠN HÀNG'!$C$6:$C$505,$L146)="","",INDEX('NHẬP ĐƠN HÀNG'!$C$6:$C$505,$L146)))</f>
        <v/>
      </c>
      <c r="D146" s="16" t="str">
        <f aca="false">IF($L146="","",IF(INDEX('NHẬP ĐƠN HÀNG'!$D$6:$D$505,$L146)="","",INDEX('NHẬP ĐƠN HÀNG'!$D$6:$D$505,$L146)))</f>
        <v/>
      </c>
      <c r="E146" s="16" t="str">
        <f aca="false">IF($L146="","",IF(INDEX('NHẬP ĐƠN HÀNG'!$H$6:$H$505,$L146)="","",INDEX('NHẬP ĐƠN HÀNG'!$H$6:$H$505,$L146)))</f>
        <v/>
      </c>
      <c r="F146" s="10" t="str">
        <f aca="false">IF($L146="","",N(INDEX('NHẬP ĐƠN HÀNG'!$I$6:$I$505,$L146)))</f>
        <v/>
      </c>
      <c r="G146" s="10" t="str">
        <f aca="false">IF($L146="","",N(INDEX('NHẬP ĐƠN HÀNG'!$L$6:$L$505,$L146)))</f>
        <v/>
      </c>
      <c r="H146" s="10" t="str">
        <f aca="false">IF($L146="","",N(INDEX('NHẬP ĐƠN HÀNG'!$Q$6:$Q$505,$L146)))</f>
        <v/>
      </c>
      <c r="I146" s="10" t="str">
        <f aca="false">IF($L146="","",N(INDEX('NHẬP ĐƠN HÀNG'!$R$6:$R$505,$L146)))</f>
        <v/>
      </c>
      <c r="J146" s="10" t="str">
        <f aca="false">IF($L146="","",IF(INDEX('NHẬP ĐƠN HÀNG'!$U$6:$U$505,$L146)="","",INDEX('NHẬP ĐƠN HÀNG'!$U$6:$U$505,$L146)))</f>
        <v/>
      </c>
      <c r="K146" s="16" t="str">
        <f aca="false">IF($L146="","",IF(INDEX('NHẬP ĐƠN HÀNG'!$W$6:$W$505,$L146)="","",INDEX('NHẬP ĐƠN HÀNG'!$W$6:$W$505,$L146)))</f>
        <v/>
      </c>
      <c r="L146" s="0" t="str">
        <f aca="false">IFERROR(MATCH(141,'NHẬP ĐƠN HÀNG'!$AA$6:$AA$505,0),"")</f>
        <v/>
      </c>
    </row>
    <row r="147" customFormat="false" ht="15" hidden="false" customHeight="false" outlineLevel="0" collapsed="false">
      <c r="A147" s="16" t="str">
        <f aca="false">IF($L147="","",142)</f>
        <v/>
      </c>
      <c r="B147" s="34" t="str">
        <f aca="false">IF($L147="","",IF(INDEX('NHẬP ĐƠN HÀNG'!$B$6:$B$505,$L147)="","",INDEX('NHẬP ĐƠN HÀNG'!$B$6:$B$505,$L147)))</f>
        <v/>
      </c>
      <c r="C147" s="16" t="str">
        <f aca="false">IF($L147="","",IF(INDEX('NHẬP ĐƠN HÀNG'!$C$6:$C$505,$L147)="","",INDEX('NHẬP ĐƠN HÀNG'!$C$6:$C$505,$L147)))</f>
        <v/>
      </c>
      <c r="D147" s="16" t="str">
        <f aca="false">IF($L147="","",IF(INDEX('NHẬP ĐƠN HÀNG'!$D$6:$D$505,$L147)="","",INDEX('NHẬP ĐƠN HÀNG'!$D$6:$D$505,$L147)))</f>
        <v/>
      </c>
      <c r="E147" s="16" t="str">
        <f aca="false">IF($L147="","",IF(INDEX('NHẬP ĐƠN HÀNG'!$H$6:$H$505,$L147)="","",INDEX('NHẬP ĐƠN HÀNG'!$H$6:$H$505,$L147)))</f>
        <v/>
      </c>
      <c r="F147" s="10" t="str">
        <f aca="false">IF($L147="","",N(INDEX('NHẬP ĐƠN HÀNG'!$I$6:$I$505,$L147)))</f>
        <v/>
      </c>
      <c r="G147" s="10" t="str">
        <f aca="false">IF($L147="","",N(INDEX('NHẬP ĐƠN HÀNG'!$L$6:$L$505,$L147)))</f>
        <v/>
      </c>
      <c r="H147" s="10" t="str">
        <f aca="false">IF($L147="","",N(INDEX('NHẬP ĐƠN HÀNG'!$Q$6:$Q$505,$L147)))</f>
        <v/>
      </c>
      <c r="I147" s="10" t="str">
        <f aca="false">IF($L147="","",N(INDEX('NHẬP ĐƠN HÀNG'!$R$6:$R$505,$L147)))</f>
        <v/>
      </c>
      <c r="J147" s="10" t="str">
        <f aca="false">IF($L147="","",IF(INDEX('NHẬP ĐƠN HÀNG'!$U$6:$U$505,$L147)="","",INDEX('NHẬP ĐƠN HÀNG'!$U$6:$U$505,$L147)))</f>
        <v/>
      </c>
      <c r="K147" s="16" t="str">
        <f aca="false">IF($L147="","",IF(INDEX('NHẬP ĐƠN HÀNG'!$W$6:$W$505,$L147)="","",INDEX('NHẬP ĐƠN HÀNG'!$W$6:$W$505,$L147)))</f>
        <v/>
      </c>
      <c r="L147" s="0" t="str">
        <f aca="false">IFERROR(MATCH(142,'NHẬP ĐƠN HÀNG'!$AA$6:$AA$505,0),"")</f>
        <v/>
      </c>
    </row>
    <row r="148" customFormat="false" ht="15" hidden="false" customHeight="false" outlineLevel="0" collapsed="false">
      <c r="A148" s="16" t="str">
        <f aca="false">IF($L148="","",143)</f>
        <v/>
      </c>
      <c r="B148" s="34" t="str">
        <f aca="false">IF($L148="","",IF(INDEX('NHẬP ĐƠN HÀNG'!$B$6:$B$505,$L148)="","",INDEX('NHẬP ĐƠN HÀNG'!$B$6:$B$505,$L148)))</f>
        <v/>
      </c>
      <c r="C148" s="16" t="str">
        <f aca="false">IF($L148="","",IF(INDEX('NHẬP ĐƠN HÀNG'!$C$6:$C$505,$L148)="","",INDEX('NHẬP ĐƠN HÀNG'!$C$6:$C$505,$L148)))</f>
        <v/>
      </c>
      <c r="D148" s="16" t="str">
        <f aca="false">IF($L148="","",IF(INDEX('NHẬP ĐƠN HÀNG'!$D$6:$D$505,$L148)="","",INDEX('NHẬP ĐƠN HÀNG'!$D$6:$D$505,$L148)))</f>
        <v/>
      </c>
      <c r="E148" s="16" t="str">
        <f aca="false">IF($L148="","",IF(INDEX('NHẬP ĐƠN HÀNG'!$H$6:$H$505,$L148)="","",INDEX('NHẬP ĐƠN HÀNG'!$H$6:$H$505,$L148)))</f>
        <v/>
      </c>
      <c r="F148" s="10" t="str">
        <f aca="false">IF($L148="","",N(INDEX('NHẬP ĐƠN HÀNG'!$I$6:$I$505,$L148)))</f>
        <v/>
      </c>
      <c r="G148" s="10" t="str">
        <f aca="false">IF($L148="","",N(INDEX('NHẬP ĐƠN HÀNG'!$L$6:$L$505,$L148)))</f>
        <v/>
      </c>
      <c r="H148" s="10" t="str">
        <f aca="false">IF($L148="","",N(INDEX('NHẬP ĐƠN HÀNG'!$Q$6:$Q$505,$L148)))</f>
        <v/>
      </c>
      <c r="I148" s="10" t="str">
        <f aca="false">IF($L148="","",N(INDEX('NHẬP ĐƠN HÀNG'!$R$6:$R$505,$L148)))</f>
        <v/>
      </c>
      <c r="J148" s="10" t="str">
        <f aca="false">IF($L148="","",IF(INDEX('NHẬP ĐƠN HÀNG'!$U$6:$U$505,$L148)="","",INDEX('NHẬP ĐƠN HÀNG'!$U$6:$U$505,$L148)))</f>
        <v/>
      </c>
      <c r="K148" s="16" t="str">
        <f aca="false">IF($L148="","",IF(INDEX('NHẬP ĐƠN HÀNG'!$W$6:$W$505,$L148)="","",INDEX('NHẬP ĐƠN HÀNG'!$W$6:$W$505,$L148)))</f>
        <v/>
      </c>
      <c r="L148" s="0" t="str">
        <f aca="false">IFERROR(MATCH(143,'NHẬP ĐƠN HÀNG'!$AA$6:$AA$505,0),"")</f>
        <v/>
      </c>
    </row>
    <row r="149" customFormat="false" ht="15" hidden="false" customHeight="false" outlineLevel="0" collapsed="false">
      <c r="A149" s="16" t="str">
        <f aca="false">IF($L149="","",144)</f>
        <v/>
      </c>
      <c r="B149" s="34" t="str">
        <f aca="false">IF($L149="","",IF(INDEX('NHẬP ĐƠN HÀNG'!$B$6:$B$505,$L149)="","",INDEX('NHẬP ĐƠN HÀNG'!$B$6:$B$505,$L149)))</f>
        <v/>
      </c>
      <c r="C149" s="16" t="str">
        <f aca="false">IF($L149="","",IF(INDEX('NHẬP ĐƠN HÀNG'!$C$6:$C$505,$L149)="","",INDEX('NHẬP ĐƠN HÀNG'!$C$6:$C$505,$L149)))</f>
        <v/>
      </c>
      <c r="D149" s="16" t="str">
        <f aca="false">IF($L149="","",IF(INDEX('NHẬP ĐƠN HÀNG'!$D$6:$D$505,$L149)="","",INDEX('NHẬP ĐƠN HÀNG'!$D$6:$D$505,$L149)))</f>
        <v/>
      </c>
      <c r="E149" s="16" t="str">
        <f aca="false">IF($L149="","",IF(INDEX('NHẬP ĐƠN HÀNG'!$H$6:$H$505,$L149)="","",INDEX('NHẬP ĐƠN HÀNG'!$H$6:$H$505,$L149)))</f>
        <v/>
      </c>
      <c r="F149" s="10" t="str">
        <f aca="false">IF($L149="","",N(INDEX('NHẬP ĐƠN HÀNG'!$I$6:$I$505,$L149)))</f>
        <v/>
      </c>
      <c r="G149" s="10" t="str">
        <f aca="false">IF($L149="","",N(INDEX('NHẬP ĐƠN HÀNG'!$L$6:$L$505,$L149)))</f>
        <v/>
      </c>
      <c r="H149" s="10" t="str">
        <f aca="false">IF($L149="","",N(INDEX('NHẬP ĐƠN HÀNG'!$Q$6:$Q$505,$L149)))</f>
        <v/>
      </c>
      <c r="I149" s="10" t="str">
        <f aca="false">IF($L149="","",N(INDEX('NHẬP ĐƠN HÀNG'!$R$6:$R$505,$L149)))</f>
        <v/>
      </c>
      <c r="J149" s="10" t="str">
        <f aca="false">IF($L149="","",IF(INDEX('NHẬP ĐƠN HÀNG'!$U$6:$U$505,$L149)="","",INDEX('NHẬP ĐƠN HÀNG'!$U$6:$U$505,$L149)))</f>
        <v/>
      </c>
      <c r="K149" s="16" t="str">
        <f aca="false">IF($L149="","",IF(INDEX('NHẬP ĐƠN HÀNG'!$W$6:$W$505,$L149)="","",INDEX('NHẬP ĐƠN HÀNG'!$W$6:$W$505,$L149)))</f>
        <v/>
      </c>
      <c r="L149" s="0" t="str">
        <f aca="false">IFERROR(MATCH(144,'NHẬP ĐƠN HÀNG'!$AA$6:$AA$505,0),"")</f>
        <v/>
      </c>
    </row>
    <row r="150" customFormat="false" ht="15" hidden="false" customHeight="false" outlineLevel="0" collapsed="false">
      <c r="A150" s="16" t="str">
        <f aca="false">IF($L150="","",145)</f>
        <v/>
      </c>
      <c r="B150" s="34" t="str">
        <f aca="false">IF($L150="","",IF(INDEX('NHẬP ĐƠN HÀNG'!$B$6:$B$505,$L150)="","",INDEX('NHẬP ĐƠN HÀNG'!$B$6:$B$505,$L150)))</f>
        <v/>
      </c>
      <c r="C150" s="16" t="str">
        <f aca="false">IF($L150="","",IF(INDEX('NHẬP ĐƠN HÀNG'!$C$6:$C$505,$L150)="","",INDEX('NHẬP ĐƠN HÀNG'!$C$6:$C$505,$L150)))</f>
        <v/>
      </c>
      <c r="D150" s="16" t="str">
        <f aca="false">IF($L150="","",IF(INDEX('NHẬP ĐƠN HÀNG'!$D$6:$D$505,$L150)="","",INDEX('NHẬP ĐƠN HÀNG'!$D$6:$D$505,$L150)))</f>
        <v/>
      </c>
      <c r="E150" s="16" t="str">
        <f aca="false">IF($L150="","",IF(INDEX('NHẬP ĐƠN HÀNG'!$H$6:$H$505,$L150)="","",INDEX('NHẬP ĐƠN HÀNG'!$H$6:$H$505,$L150)))</f>
        <v/>
      </c>
      <c r="F150" s="10" t="str">
        <f aca="false">IF($L150="","",N(INDEX('NHẬP ĐƠN HÀNG'!$I$6:$I$505,$L150)))</f>
        <v/>
      </c>
      <c r="G150" s="10" t="str">
        <f aca="false">IF($L150="","",N(INDEX('NHẬP ĐƠN HÀNG'!$L$6:$L$505,$L150)))</f>
        <v/>
      </c>
      <c r="H150" s="10" t="str">
        <f aca="false">IF($L150="","",N(INDEX('NHẬP ĐƠN HÀNG'!$Q$6:$Q$505,$L150)))</f>
        <v/>
      </c>
      <c r="I150" s="10" t="str">
        <f aca="false">IF($L150="","",N(INDEX('NHẬP ĐƠN HÀNG'!$R$6:$R$505,$L150)))</f>
        <v/>
      </c>
      <c r="J150" s="10" t="str">
        <f aca="false">IF($L150="","",IF(INDEX('NHẬP ĐƠN HÀNG'!$U$6:$U$505,$L150)="","",INDEX('NHẬP ĐƠN HÀNG'!$U$6:$U$505,$L150)))</f>
        <v/>
      </c>
      <c r="K150" s="16" t="str">
        <f aca="false">IF($L150="","",IF(INDEX('NHẬP ĐƠN HÀNG'!$W$6:$W$505,$L150)="","",INDEX('NHẬP ĐƠN HÀNG'!$W$6:$W$505,$L150)))</f>
        <v/>
      </c>
      <c r="L150" s="0" t="str">
        <f aca="false">IFERROR(MATCH(145,'NHẬP ĐƠN HÀNG'!$AA$6:$AA$505,0),"")</f>
        <v/>
      </c>
    </row>
    <row r="151" customFormat="false" ht="15" hidden="false" customHeight="false" outlineLevel="0" collapsed="false">
      <c r="A151" s="16" t="str">
        <f aca="false">IF($L151="","",146)</f>
        <v/>
      </c>
      <c r="B151" s="34" t="str">
        <f aca="false">IF($L151="","",IF(INDEX('NHẬP ĐƠN HÀNG'!$B$6:$B$505,$L151)="","",INDEX('NHẬP ĐƠN HÀNG'!$B$6:$B$505,$L151)))</f>
        <v/>
      </c>
      <c r="C151" s="16" t="str">
        <f aca="false">IF($L151="","",IF(INDEX('NHẬP ĐƠN HÀNG'!$C$6:$C$505,$L151)="","",INDEX('NHẬP ĐƠN HÀNG'!$C$6:$C$505,$L151)))</f>
        <v/>
      </c>
      <c r="D151" s="16" t="str">
        <f aca="false">IF($L151="","",IF(INDEX('NHẬP ĐƠN HÀNG'!$D$6:$D$505,$L151)="","",INDEX('NHẬP ĐƠN HÀNG'!$D$6:$D$505,$L151)))</f>
        <v/>
      </c>
      <c r="E151" s="16" t="str">
        <f aca="false">IF($L151="","",IF(INDEX('NHẬP ĐƠN HÀNG'!$H$6:$H$505,$L151)="","",INDEX('NHẬP ĐƠN HÀNG'!$H$6:$H$505,$L151)))</f>
        <v/>
      </c>
      <c r="F151" s="10" t="str">
        <f aca="false">IF($L151="","",N(INDEX('NHẬP ĐƠN HÀNG'!$I$6:$I$505,$L151)))</f>
        <v/>
      </c>
      <c r="G151" s="10" t="str">
        <f aca="false">IF($L151="","",N(INDEX('NHẬP ĐƠN HÀNG'!$L$6:$L$505,$L151)))</f>
        <v/>
      </c>
      <c r="H151" s="10" t="str">
        <f aca="false">IF($L151="","",N(INDEX('NHẬP ĐƠN HÀNG'!$Q$6:$Q$505,$L151)))</f>
        <v/>
      </c>
      <c r="I151" s="10" t="str">
        <f aca="false">IF($L151="","",N(INDEX('NHẬP ĐƠN HÀNG'!$R$6:$R$505,$L151)))</f>
        <v/>
      </c>
      <c r="J151" s="10" t="str">
        <f aca="false">IF($L151="","",IF(INDEX('NHẬP ĐƠN HÀNG'!$U$6:$U$505,$L151)="","",INDEX('NHẬP ĐƠN HÀNG'!$U$6:$U$505,$L151)))</f>
        <v/>
      </c>
      <c r="K151" s="16" t="str">
        <f aca="false">IF($L151="","",IF(INDEX('NHẬP ĐƠN HÀNG'!$W$6:$W$505,$L151)="","",INDEX('NHẬP ĐƠN HÀNG'!$W$6:$W$505,$L151)))</f>
        <v/>
      </c>
      <c r="L151" s="0" t="str">
        <f aca="false">IFERROR(MATCH(146,'NHẬP ĐƠN HÀNG'!$AA$6:$AA$505,0),"")</f>
        <v/>
      </c>
    </row>
    <row r="152" customFormat="false" ht="15" hidden="false" customHeight="false" outlineLevel="0" collapsed="false">
      <c r="A152" s="16" t="str">
        <f aca="false">IF($L152="","",147)</f>
        <v/>
      </c>
      <c r="B152" s="34" t="str">
        <f aca="false">IF($L152="","",IF(INDEX('NHẬP ĐƠN HÀNG'!$B$6:$B$505,$L152)="","",INDEX('NHẬP ĐƠN HÀNG'!$B$6:$B$505,$L152)))</f>
        <v/>
      </c>
      <c r="C152" s="16" t="str">
        <f aca="false">IF($L152="","",IF(INDEX('NHẬP ĐƠN HÀNG'!$C$6:$C$505,$L152)="","",INDEX('NHẬP ĐƠN HÀNG'!$C$6:$C$505,$L152)))</f>
        <v/>
      </c>
      <c r="D152" s="16" t="str">
        <f aca="false">IF($L152="","",IF(INDEX('NHẬP ĐƠN HÀNG'!$D$6:$D$505,$L152)="","",INDEX('NHẬP ĐƠN HÀNG'!$D$6:$D$505,$L152)))</f>
        <v/>
      </c>
      <c r="E152" s="16" t="str">
        <f aca="false">IF($L152="","",IF(INDEX('NHẬP ĐƠN HÀNG'!$H$6:$H$505,$L152)="","",INDEX('NHẬP ĐƠN HÀNG'!$H$6:$H$505,$L152)))</f>
        <v/>
      </c>
      <c r="F152" s="10" t="str">
        <f aca="false">IF($L152="","",N(INDEX('NHẬP ĐƠN HÀNG'!$I$6:$I$505,$L152)))</f>
        <v/>
      </c>
      <c r="G152" s="10" t="str">
        <f aca="false">IF($L152="","",N(INDEX('NHẬP ĐƠN HÀNG'!$L$6:$L$505,$L152)))</f>
        <v/>
      </c>
      <c r="H152" s="10" t="str">
        <f aca="false">IF($L152="","",N(INDEX('NHẬP ĐƠN HÀNG'!$Q$6:$Q$505,$L152)))</f>
        <v/>
      </c>
      <c r="I152" s="10" t="str">
        <f aca="false">IF($L152="","",N(INDEX('NHẬP ĐƠN HÀNG'!$R$6:$R$505,$L152)))</f>
        <v/>
      </c>
      <c r="J152" s="10" t="str">
        <f aca="false">IF($L152="","",IF(INDEX('NHẬP ĐƠN HÀNG'!$U$6:$U$505,$L152)="","",INDEX('NHẬP ĐƠN HÀNG'!$U$6:$U$505,$L152)))</f>
        <v/>
      </c>
      <c r="K152" s="16" t="str">
        <f aca="false">IF($L152="","",IF(INDEX('NHẬP ĐƠN HÀNG'!$W$6:$W$505,$L152)="","",INDEX('NHẬP ĐƠN HÀNG'!$W$6:$W$505,$L152)))</f>
        <v/>
      </c>
      <c r="L152" s="0" t="str">
        <f aca="false">IFERROR(MATCH(147,'NHẬP ĐƠN HÀNG'!$AA$6:$AA$505,0),"")</f>
        <v/>
      </c>
    </row>
    <row r="153" customFormat="false" ht="15" hidden="false" customHeight="false" outlineLevel="0" collapsed="false">
      <c r="A153" s="16" t="str">
        <f aca="false">IF($L153="","",148)</f>
        <v/>
      </c>
      <c r="B153" s="34" t="str">
        <f aca="false">IF($L153="","",IF(INDEX('NHẬP ĐƠN HÀNG'!$B$6:$B$505,$L153)="","",INDEX('NHẬP ĐƠN HÀNG'!$B$6:$B$505,$L153)))</f>
        <v/>
      </c>
      <c r="C153" s="16" t="str">
        <f aca="false">IF($L153="","",IF(INDEX('NHẬP ĐƠN HÀNG'!$C$6:$C$505,$L153)="","",INDEX('NHẬP ĐƠN HÀNG'!$C$6:$C$505,$L153)))</f>
        <v/>
      </c>
      <c r="D153" s="16" t="str">
        <f aca="false">IF($L153="","",IF(INDEX('NHẬP ĐƠN HÀNG'!$D$6:$D$505,$L153)="","",INDEX('NHẬP ĐƠN HÀNG'!$D$6:$D$505,$L153)))</f>
        <v/>
      </c>
      <c r="E153" s="16" t="str">
        <f aca="false">IF($L153="","",IF(INDEX('NHẬP ĐƠN HÀNG'!$H$6:$H$505,$L153)="","",INDEX('NHẬP ĐƠN HÀNG'!$H$6:$H$505,$L153)))</f>
        <v/>
      </c>
      <c r="F153" s="10" t="str">
        <f aca="false">IF($L153="","",N(INDEX('NHẬP ĐƠN HÀNG'!$I$6:$I$505,$L153)))</f>
        <v/>
      </c>
      <c r="G153" s="10" t="str">
        <f aca="false">IF($L153="","",N(INDEX('NHẬP ĐƠN HÀNG'!$L$6:$L$505,$L153)))</f>
        <v/>
      </c>
      <c r="H153" s="10" t="str">
        <f aca="false">IF($L153="","",N(INDEX('NHẬP ĐƠN HÀNG'!$Q$6:$Q$505,$L153)))</f>
        <v/>
      </c>
      <c r="I153" s="10" t="str">
        <f aca="false">IF($L153="","",N(INDEX('NHẬP ĐƠN HÀNG'!$R$6:$R$505,$L153)))</f>
        <v/>
      </c>
      <c r="J153" s="10" t="str">
        <f aca="false">IF($L153="","",IF(INDEX('NHẬP ĐƠN HÀNG'!$U$6:$U$505,$L153)="","",INDEX('NHẬP ĐƠN HÀNG'!$U$6:$U$505,$L153)))</f>
        <v/>
      </c>
      <c r="K153" s="16" t="str">
        <f aca="false">IF($L153="","",IF(INDEX('NHẬP ĐƠN HÀNG'!$W$6:$W$505,$L153)="","",INDEX('NHẬP ĐƠN HÀNG'!$W$6:$W$505,$L153)))</f>
        <v/>
      </c>
      <c r="L153" s="0" t="str">
        <f aca="false">IFERROR(MATCH(148,'NHẬP ĐƠN HÀNG'!$AA$6:$AA$505,0),"")</f>
        <v/>
      </c>
    </row>
    <row r="154" customFormat="false" ht="15" hidden="false" customHeight="false" outlineLevel="0" collapsed="false">
      <c r="A154" s="16" t="str">
        <f aca="false">IF($L154="","",149)</f>
        <v/>
      </c>
      <c r="B154" s="34" t="str">
        <f aca="false">IF($L154="","",IF(INDEX('NHẬP ĐƠN HÀNG'!$B$6:$B$505,$L154)="","",INDEX('NHẬP ĐƠN HÀNG'!$B$6:$B$505,$L154)))</f>
        <v/>
      </c>
      <c r="C154" s="16" t="str">
        <f aca="false">IF($L154="","",IF(INDEX('NHẬP ĐƠN HÀNG'!$C$6:$C$505,$L154)="","",INDEX('NHẬP ĐƠN HÀNG'!$C$6:$C$505,$L154)))</f>
        <v/>
      </c>
      <c r="D154" s="16" t="str">
        <f aca="false">IF($L154="","",IF(INDEX('NHẬP ĐƠN HÀNG'!$D$6:$D$505,$L154)="","",INDEX('NHẬP ĐƠN HÀNG'!$D$6:$D$505,$L154)))</f>
        <v/>
      </c>
      <c r="E154" s="16" t="str">
        <f aca="false">IF($L154="","",IF(INDEX('NHẬP ĐƠN HÀNG'!$H$6:$H$505,$L154)="","",INDEX('NHẬP ĐƠN HÀNG'!$H$6:$H$505,$L154)))</f>
        <v/>
      </c>
      <c r="F154" s="10" t="str">
        <f aca="false">IF($L154="","",N(INDEX('NHẬP ĐƠN HÀNG'!$I$6:$I$505,$L154)))</f>
        <v/>
      </c>
      <c r="G154" s="10" t="str">
        <f aca="false">IF($L154="","",N(INDEX('NHẬP ĐƠN HÀNG'!$L$6:$L$505,$L154)))</f>
        <v/>
      </c>
      <c r="H154" s="10" t="str">
        <f aca="false">IF($L154="","",N(INDEX('NHẬP ĐƠN HÀNG'!$Q$6:$Q$505,$L154)))</f>
        <v/>
      </c>
      <c r="I154" s="10" t="str">
        <f aca="false">IF($L154="","",N(INDEX('NHẬP ĐƠN HÀNG'!$R$6:$R$505,$L154)))</f>
        <v/>
      </c>
      <c r="J154" s="10" t="str">
        <f aca="false">IF($L154="","",IF(INDEX('NHẬP ĐƠN HÀNG'!$U$6:$U$505,$L154)="","",INDEX('NHẬP ĐƠN HÀNG'!$U$6:$U$505,$L154)))</f>
        <v/>
      </c>
      <c r="K154" s="16" t="str">
        <f aca="false">IF($L154="","",IF(INDEX('NHẬP ĐƠN HÀNG'!$W$6:$W$505,$L154)="","",INDEX('NHẬP ĐƠN HÀNG'!$W$6:$W$505,$L154)))</f>
        <v/>
      </c>
      <c r="L154" s="0" t="str">
        <f aca="false">IFERROR(MATCH(149,'NHẬP ĐƠN HÀNG'!$AA$6:$AA$505,0),"")</f>
        <v/>
      </c>
    </row>
    <row r="155" customFormat="false" ht="15" hidden="false" customHeight="false" outlineLevel="0" collapsed="false">
      <c r="A155" s="16" t="str">
        <f aca="false">IF($L155="","",150)</f>
        <v/>
      </c>
      <c r="B155" s="34" t="str">
        <f aca="false">IF($L155="","",IF(INDEX('NHẬP ĐƠN HÀNG'!$B$6:$B$505,$L155)="","",INDEX('NHẬP ĐƠN HÀNG'!$B$6:$B$505,$L155)))</f>
        <v/>
      </c>
      <c r="C155" s="16" t="str">
        <f aca="false">IF($L155="","",IF(INDEX('NHẬP ĐƠN HÀNG'!$C$6:$C$505,$L155)="","",INDEX('NHẬP ĐƠN HÀNG'!$C$6:$C$505,$L155)))</f>
        <v/>
      </c>
      <c r="D155" s="16" t="str">
        <f aca="false">IF($L155="","",IF(INDEX('NHẬP ĐƠN HÀNG'!$D$6:$D$505,$L155)="","",INDEX('NHẬP ĐƠN HÀNG'!$D$6:$D$505,$L155)))</f>
        <v/>
      </c>
      <c r="E155" s="16" t="str">
        <f aca="false">IF($L155="","",IF(INDEX('NHẬP ĐƠN HÀNG'!$H$6:$H$505,$L155)="","",INDEX('NHẬP ĐƠN HÀNG'!$H$6:$H$505,$L155)))</f>
        <v/>
      </c>
      <c r="F155" s="10" t="str">
        <f aca="false">IF($L155="","",N(INDEX('NHẬP ĐƠN HÀNG'!$I$6:$I$505,$L155)))</f>
        <v/>
      </c>
      <c r="G155" s="10" t="str">
        <f aca="false">IF($L155="","",N(INDEX('NHẬP ĐƠN HÀNG'!$L$6:$L$505,$L155)))</f>
        <v/>
      </c>
      <c r="H155" s="10" t="str">
        <f aca="false">IF($L155="","",N(INDEX('NHẬP ĐƠN HÀNG'!$Q$6:$Q$505,$L155)))</f>
        <v/>
      </c>
      <c r="I155" s="10" t="str">
        <f aca="false">IF($L155="","",N(INDEX('NHẬP ĐƠN HÀNG'!$R$6:$R$505,$L155)))</f>
        <v/>
      </c>
      <c r="J155" s="10" t="str">
        <f aca="false">IF($L155="","",IF(INDEX('NHẬP ĐƠN HÀNG'!$U$6:$U$505,$L155)="","",INDEX('NHẬP ĐƠN HÀNG'!$U$6:$U$505,$L155)))</f>
        <v/>
      </c>
      <c r="K155" s="16" t="str">
        <f aca="false">IF($L155="","",IF(INDEX('NHẬP ĐƠN HÀNG'!$W$6:$W$505,$L155)="","",INDEX('NHẬP ĐƠN HÀNG'!$W$6:$W$505,$L155)))</f>
        <v/>
      </c>
      <c r="L155" s="0" t="str">
        <f aca="false">IFERROR(MATCH(150,'NHẬP ĐƠN HÀNG'!$AA$6:$AA$505,0),"")</f>
        <v/>
      </c>
    </row>
    <row r="156" customFormat="false" ht="15" hidden="false" customHeight="false" outlineLevel="0" collapsed="false">
      <c r="A156" s="16" t="str">
        <f aca="false">IF($L156="","",151)</f>
        <v/>
      </c>
      <c r="B156" s="34" t="str">
        <f aca="false">IF($L156="","",IF(INDEX('NHẬP ĐƠN HÀNG'!$B$6:$B$505,$L156)="","",INDEX('NHẬP ĐƠN HÀNG'!$B$6:$B$505,$L156)))</f>
        <v/>
      </c>
      <c r="C156" s="16" t="str">
        <f aca="false">IF($L156="","",IF(INDEX('NHẬP ĐƠN HÀNG'!$C$6:$C$505,$L156)="","",INDEX('NHẬP ĐƠN HÀNG'!$C$6:$C$505,$L156)))</f>
        <v/>
      </c>
      <c r="D156" s="16" t="str">
        <f aca="false">IF($L156="","",IF(INDEX('NHẬP ĐƠN HÀNG'!$D$6:$D$505,$L156)="","",INDEX('NHẬP ĐƠN HÀNG'!$D$6:$D$505,$L156)))</f>
        <v/>
      </c>
      <c r="E156" s="16" t="str">
        <f aca="false">IF($L156="","",IF(INDEX('NHẬP ĐƠN HÀNG'!$H$6:$H$505,$L156)="","",INDEX('NHẬP ĐƠN HÀNG'!$H$6:$H$505,$L156)))</f>
        <v/>
      </c>
      <c r="F156" s="10" t="str">
        <f aca="false">IF($L156="","",N(INDEX('NHẬP ĐƠN HÀNG'!$I$6:$I$505,$L156)))</f>
        <v/>
      </c>
      <c r="G156" s="10" t="str">
        <f aca="false">IF($L156="","",N(INDEX('NHẬP ĐƠN HÀNG'!$L$6:$L$505,$L156)))</f>
        <v/>
      </c>
      <c r="H156" s="10" t="str">
        <f aca="false">IF($L156="","",N(INDEX('NHẬP ĐƠN HÀNG'!$Q$6:$Q$505,$L156)))</f>
        <v/>
      </c>
      <c r="I156" s="10" t="str">
        <f aca="false">IF($L156="","",N(INDEX('NHẬP ĐƠN HÀNG'!$R$6:$R$505,$L156)))</f>
        <v/>
      </c>
      <c r="J156" s="10" t="str">
        <f aca="false">IF($L156="","",IF(INDEX('NHẬP ĐƠN HÀNG'!$U$6:$U$505,$L156)="","",INDEX('NHẬP ĐƠN HÀNG'!$U$6:$U$505,$L156)))</f>
        <v/>
      </c>
      <c r="K156" s="16" t="str">
        <f aca="false">IF($L156="","",IF(INDEX('NHẬP ĐƠN HÀNG'!$W$6:$W$505,$L156)="","",INDEX('NHẬP ĐƠN HÀNG'!$W$6:$W$505,$L156)))</f>
        <v/>
      </c>
      <c r="L156" s="0" t="str">
        <f aca="false">IFERROR(MATCH(151,'NHẬP ĐƠN HÀNG'!$AA$6:$AA$505,0),"")</f>
        <v/>
      </c>
    </row>
    <row r="157" customFormat="false" ht="15" hidden="false" customHeight="false" outlineLevel="0" collapsed="false">
      <c r="A157" s="16" t="str">
        <f aca="false">IF($L157="","",152)</f>
        <v/>
      </c>
      <c r="B157" s="34" t="str">
        <f aca="false">IF($L157="","",IF(INDEX('NHẬP ĐƠN HÀNG'!$B$6:$B$505,$L157)="","",INDEX('NHẬP ĐƠN HÀNG'!$B$6:$B$505,$L157)))</f>
        <v/>
      </c>
      <c r="C157" s="16" t="str">
        <f aca="false">IF($L157="","",IF(INDEX('NHẬP ĐƠN HÀNG'!$C$6:$C$505,$L157)="","",INDEX('NHẬP ĐƠN HÀNG'!$C$6:$C$505,$L157)))</f>
        <v/>
      </c>
      <c r="D157" s="16" t="str">
        <f aca="false">IF($L157="","",IF(INDEX('NHẬP ĐƠN HÀNG'!$D$6:$D$505,$L157)="","",INDEX('NHẬP ĐƠN HÀNG'!$D$6:$D$505,$L157)))</f>
        <v/>
      </c>
      <c r="E157" s="16" t="str">
        <f aca="false">IF($L157="","",IF(INDEX('NHẬP ĐƠN HÀNG'!$H$6:$H$505,$L157)="","",INDEX('NHẬP ĐƠN HÀNG'!$H$6:$H$505,$L157)))</f>
        <v/>
      </c>
      <c r="F157" s="10" t="str">
        <f aca="false">IF($L157="","",N(INDEX('NHẬP ĐƠN HÀNG'!$I$6:$I$505,$L157)))</f>
        <v/>
      </c>
      <c r="G157" s="10" t="str">
        <f aca="false">IF($L157="","",N(INDEX('NHẬP ĐƠN HÀNG'!$L$6:$L$505,$L157)))</f>
        <v/>
      </c>
      <c r="H157" s="10" t="str">
        <f aca="false">IF($L157="","",N(INDEX('NHẬP ĐƠN HÀNG'!$Q$6:$Q$505,$L157)))</f>
        <v/>
      </c>
      <c r="I157" s="10" t="str">
        <f aca="false">IF($L157="","",N(INDEX('NHẬP ĐƠN HÀNG'!$R$6:$R$505,$L157)))</f>
        <v/>
      </c>
      <c r="J157" s="10" t="str">
        <f aca="false">IF($L157="","",IF(INDEX('NHẬP ĐƠN HÀNG'!$U$6:$U$505,$L157)="","",INDEX('NHẬP ĐƠN HÀNG'!$U$6:$U$505,$L157)))</f>
        <v/>
      </c>
      <c r="K157" s="16" t="str">
        <f aca="false">IF($L157="","",IF(INDEX('NHẬP ĐƠN HÀNG'!$W$6:$W$505,$L157)="","",INDEX('NHẬP ĐƠN HÀNG'!$W$6:$W$505,$L157)))</f>
        <v/>
      </c>
      <c r="L157" s="0" t="str">
        <f aca="false">IFERROR(MATCH(152,'NHẬP ĐƠN HÀNG'!$AA$6:$AA$505,0),"")</f>
        <v/>
      </c>
    </row>
    <row r="158" customFormat="false" ht="15" hidden="false" customHeight="false" outlineLevel="0" collapsed="false">
      <c r="A158" s="16" t="str">
        <f aca="false">IF($L158="","",153)</f>
        <v/>
      </c>
      <c r="B158" s="34" t="str">
        <f aca="false">IF($L158="","",IF(INDEX('NHẬP ĐƠN HÀNG'!$B$6:$B$505,$L158)="","",INDEX('NHẬP ĐƠN HÀNG'!$B$6:$B$505,$L158)))</f>
        <v/>
      </c>
      <c r="C158" s="16" t="str">
        <f aca="false">IF($L158="","",IF(INDEX('NHẬP ĐƠN HÀNG'!$C$6:$C$505,$L158)="","",INDEX('NHẬP ĐƠN HÀNG'!$C$6:$C$505,$L158)))</f>
        <v/>
      </c>
      <c r="D158" s="16" t="str">
        <f aca="false">IF($L158="","",IF(INDEX('NHẬP ĐƠN HÀNG'!$D$6:$D$505,$L158)="","",INDEX('NHẬP ĐƠN HÀNG'!$D$6:$D$505,$L158)))</f>
        <v/>
      </c>
      <c r="E158" s="16" t="str">
        <f aca="false">IF($L158="","",IF(INDEX('NHẬP ĐƠN HÀNG'!$H$6:$H$505,$L158)="","",INDEX('NHẬP ĐƠN HÀNG'!$H$6:$H$505,$L158)))</f>
        <v/>
      </c>
      <c r="F158" s="10" t="str">
        <f aca="false">IF($L158="","",N(INDEX('NHẬP ĐƠN HÀNG'!$I$6:$I$505,$L158)))</f>
        <v/>
      </c>
      <c r="G158" s="10" t="str">
        <f aca="false">IF($L158="","",N(INDEX('NHẬP ĐƠN HÀNG'!$L$6:$L$505,$L158)))</f>
        <v/>
      </c>
      <c r="H158" s="10" t="str">
        <f aca="false">IF($L158="","",N(INDEX('NHẬP ĐƠN HÀNG'!$Q$6:$Q$505,$L158)))</f>
        <v/>
      </c>
      <c r="I158" s="10" t="str">
        <f aca="false">IF($L158="","",N(INDEX('NHẬP ĐƠN HÀNG'!$R$6:$R$505,$L158)))</f>
        <v/>
      </c>
      <c r="J158" s="10" t="str">
        <f aca="false">IF($L158="","",IF(INDEX('NHẬP ĐƠN HÀNG'!$U$6:$U$505,$L158)="","",INDEX('NHẬP ĐƠN HÀNG'!$U$6:$U$505,$L158)))</f>
        <v/>
      </c>
      <c r="K158" s="16" t="str">
        <f aca="false">IF($L158="","",IF(INDEX('NHẬP ĐƠN HÀNG'!$W$6:$W$505,$L158)="","",INDEX('NHẬP ĐƠN HÀNG'!$W$6:$W$505,$L158)))</f>
        <v/>
      </c>
      <c r="L158" s="0" t="str">
        <f aca="false">IFERROR(MATCH(153,'NHẬP ĐƠN HÀNG'!$AA$6:$AA$505,0),"")</f>
        <v/>
      </c>
    </row>
    <row r="159" customFormat="false" ht="15" hidden="false" customHeight="false" outlineLevel="0" collapsed="false">
      <c r="A159" s="16" t="str">
        <f aca="false">IF($L159="","",154)</f>
        <v/>
      </c>
      <c r="B159" s="34" t="str">
        <f aca="false">IF($L159="","",IF(INDEX('NHẬP ĐƠN HÀNG'!$B$6:$B$505,$L159)="","",INDEX('NHẬP ĐƠN HÀNG'!$B$6:$B$505,$L159)))</f>
        <v/>
      </c>
      <c r="C159" s="16" t="str">
        <f aca="false">IF($L159="","",IF(INDEX('NHẬP ĐƠN HÀNG'!$C$6:$C$505,$L159)="","",INDEX('NHẬP ĐƠN HÀNG'!$C$6:$C$505,$L159)))</f>
        <v/>
      </c>
      <c r="D159" s="16" t="str">
        <f aca="false">IF($L159="","",IF(INDEX('NHẬP ĐƠN HÀNG'!$D$6:$D$505,$L159)="","",INDEX('NHẬP ĐƠN HÀNG'!$D$6:$D$505,$L159)))</f>
        <v/>
      </c>
      <c r="E159" s="16" t="str">
        <f aca="false">IF($L159="","",IF(INDEX('NHẬP ĐƠN HÀNG'!$H$6:$H$505,$L159)="","",INDEX('NHẬP ĐƠN HÀNG'!$H$6:$H$505,$L159)))</f>
        <v/>
      </c>
      <c r="F159" s="10" t="str">
        <f aca="false">IF($L159="","",N(INDEX('NHẬP ĐƠN HÀNG'!$I$6:$I$505,$L159)))</f>
        <v/>
      </c>
      <c r="G159" s="10" t="str">
        <f aca="false">IF($L159="","",N(INDEX('NHẬP ĐƠN HÀNG'!$L$6:$L$505,$L159)))</f>
        <v/>
      </c>
      <c r="H159" s="10" t="str">
        <f aca="false">IF($L159="","",N(INDEX('NHẬP ĐƠN HÀNG'!$Q$6:$Q$505,$L159)))</f>
        <v/>
      </c>
      <c r="I159" s="10" t="str">
        <f aca="false">IF($L159="","",N(INDEX('NHẬP ĐƠN HÀNG'!$R$6:$R$505,$L159)))</f>
        <v/>
      </c>
      <c r="J159" s="10" t="str">
        <f aca="false">IF($L159="","",IF(INDEX('NHẬP ĐƠN HÀNG'!$U$6:$U$505,$L159)="","",INDEX('NHẬP ĐƠN HÀNG'!$U$6:$U$505,$L159)))</f>
        <v/>
      </c>
      <c r="K159" s="16" t="str">
        <f aca="false">IF($L159="","",IF(INDEX('NHẬP ĐƠN HÀNG'!$W$6:$W$505,$L159)="","",INDEX('NHẬP ĐƠN HÀNG'!$W$6:$W$505,$L159)))</f>
        <v/>
      </c>
      <c r="L159" s="0" t="str">
        <f aca="false">IFERROR(MATCH(154,'NHẬP ĐƠN HÀNG'!$AA$6:$AA$505,0),"")</f>
        <v/>
      </c>
    </row>
    <row r="160" customFormat="false" ht="15" hidden="false" customHeight="false" outlineLevel="0" collapsed="false">
      <c r="A160" s="16" t="str">
        <f aca="false">IF($L160="","",155)</f>
        <v/>
      </c>
      <c r="B160" s="34" t="str">
        <f aca="false">IF($L160="","",IF(INDEX('NHẬP ĐƠN HÀNG'!$B$6:$B$505,$L160)="","",INDEX('NHẬP ĐƠN HÀNG'!$B$6:$B$505,$L160)))</f>
        <v/>
      </c>
      <c r="C160" s="16" t="str">
        <f aca="false">IF($L160="","",IF(INDEX('NHẬP ĐƠN HÀNG'!$C$6:$C$505,$L160)="","",INDEX('NHẬP ĐƠN HÀNG'!$C$6:$C$505,$L160)))</f>
        <v/>
      </c>
      <c r="D160" s="16" t="str">
        <f aca="false">IF($L160="","",IF(INDEX('NHẬP ĐƠN HÀNG'!$D$6:$D$505,$L160)="","",INDEX('NHẬP ĐƠN HÀNG'!$D$6:$D$505,$L160)))</f>
        <v/>
      </c>
      <c r="E160" s="16" t="str">
        <f aca="false">IF($L160="","",IF(INDEX('NHẬP ĐƠN HÀNG'!$H$6:$H$505,$L160)="","",INDEX('NHẬP ĐƠN HÀNG'!$H$6:$H$505,$L160)))</f>
        <v/>
      </c>
      <c r="F160" s="10" t="str">
        <f aca="false">IF($L160="","",N(INDEX('NHẬP ĐƠN HÀNG'!$I$6:$I$505,$L160)))</f>
        <v/>
      </c>
      <c r="G160" s="10" t="str">
        <f aca="false">IF($L160="","",N(INDEX('NHẬP ĐƠN HÀNG'!$L$6:$L$505,$L160)))</f>
        <v/>
      </c>
      <c r="H160" s="10" t="str">
        <f aca="false">IF($L160="","",N(INDEX('NHẬP ĐƠN HÀNG'!$Q$6:$Q$505,$L160)))</f>
        <v/>
      </c>
      <c r="I160" s="10" t="str">
        <f aca="false">IF($L160="","",N(INDEX('NHẬP ĐƠN HÀNG'!$R$6:$R$505,$L160)))</f>
        <v/>
      </c>
      <c r="J160" s="10" t="str">
        <f aca="false">IF($L160="","",IF(INDEX('NHẬP ĐƠN HÀNG'!$U$6:$U$505,$L160)="","",INDEX('NHẬP ĐƠN HÀNG'!$U$6:$U$505,$L160)))</f>
        <v/>
      </c>
      <c r="K160" s="16" t="str">
        <f aca="false">IF($L160="","",IF(INDEX('NHẬP ĐƠN HÀNG'!$W$6:$W$505,$L160)="","",INDEX('NHẬP ĐƠN HÀNG'!$W$6:$W$505,$L160)))</f>
        <v/>
      </c>
      <c r="L160" s="0" t="str">
        <f aca="false">IFERROR(MATCH(155,'NHẬP ĐƠN HÀNG'!$AA$6:$AA$505,0),"")</f>
        <v/>
      </c>
    </row>
    <row r="161" customFormat="false" ht="15" hidden="false" customHeight="false" outlineLevel="0" collapsed="false">
      <c r="A161" s="16" t="str">
        <f aca="false">IF($L161="","",156)</f>
        <v/>
      </c>
      <c r="B161" s="34" t="str">
        <f aca="false">IF($L161="","",IF(INDEX('NHẬP ĐƠN HÀNG'!$B$6:$B$505,$L161)="","",INDEX('NHẬP ĐƠN HÀNG'!$B$6:$B$505,$L161)))</f>
        <v/>
      </c>
      <c r="C161" s="16" t="str">
        <f aca="false">IF($L161="","",IF(INDEX('NHẬP ĐƠN HÀNG'!$C$6:$C$505,$L161)="","",INDEX('NHẬP ĐƠN HÀNG'!$C$6:$C$505,$L161)))</f>
        <v/>
      </c>
      <c r="D161" s="16" t="str">
        <f aca="false">IF($L161="","",IF(INDEX('NHẬP ĐƠN HÀNG'!$D$6:$D$505,$L161)="","",INDEX('NHẬP ĐƠN HÀNG'!$D$6:$D$505,$L161)))</f>
        <v/>
      </c>
      <c r="E161" s="16" t="str">
        <f aca="false">IF($L161="","",IF(INDEX('NHẬP ĐƠN HÀNG'!$H$6:$H$505,$L161)="","",INDEX('NHẬP ĐƠN HÀNG'!$H$6:$H$505,$L161)))</f>
        <v/>
      </c>
      <c r="F161" s="10" t="str">
        <f aca="false">IF($L161="","",N(INDEX('NHẬP ĐƠN HÀNG'!$I$6:$I$505,$L161)))</f>
        <v/>
      </c>
      <c r="G161" s="10" t="str">
        <f aca="false">IF($L161="","",N(INDEX('NHẬP ĐƠN HÀNG'!$L$6:$L$505,$L161)))</f>
        <v/>
      </c>
      <c r="H161" s="10" t="str">
        <f aca="false">IF($L161="","",N(INDEX('NHẬP ĐƠN HÀNG'!$Q$6:$Q$505,$L161)))</f>
        <v/>
      </c>
      <c r="I161" s="10" t="str">
        <f aca="false">IF($L161="","",N(INDEX('NHẬP ĐƠN HÀNG'!$R$6:$R$505,$L161)))</f>
        <v/>
      </c>
      <c r="J161" s="10" t="str">
        <f aca="false">IF($L161="","",IF(INDEX('NHẬP ĐƠN HÀNG'!$U$6:$U$505,$L161)="","",INDEX('NHẬP ĐƠN HÀNG'!$U$6:$U$505,$L161)))</f>
        <v/>
      </c>
      <c r="K161" s="16" t="str">
        <f aca="false">IF($L161="","",IF(INDEX('NHẬP ĐƠN HÀNG'!$W$6:$W$505,$L161)="","",INDEX('NHẬP ĐƠN HÀNG'!$W$6:$W$505,$L161)))</f>
        <v/>
      </c>
      <c r="L161" s="0" t="str">
        <f aca="false">IFERROR(MATCH(156,'NHẬP ĐƠN HÀNG'!$AA$6:$AA$505,0),"")</f>
        <v/>
      </c>
    </row>
    <row r="162" customFormat="false" ht="15" hidden="false" customHeight="false" outlineLevel="0" collapsed="false">
      <c r="A162" s="16" t="str">
        <f aca="false">IF($L162="","",157)</f>
        <v/>
      </c>
      <c r="B162" s="34" t="str">
        <f aca="false">IF($L162="","",IF(INDEX('NHẬP ĐƠN HÀNG'!$B$6:$B$505,$L162)="","",INDEX('NHẬP ĐƠN HÀNG'!$B$6:$B$505,$L162)))</f>
        <v/>
      </c>
      <c r="C162" s="16" t="str">
        <f aca="false">IF($L162="","",IF(INDEX('NHẬP ĐƠN HÀNG'!$C$6:$C$505,$L162)="","",INDEX('NHẬP ĐƠN HÀNG'!$C$6:$C$505,$L162)))</f>
        <v/>
      </c>
      <c r="D162" s="16" t="str">
        <f aca="false">IF($L162="","",IF(INDEX('NHẬP ĐƠN HÀNG'!$D$6:$D$505,$L162)="","",INDEX('NHẬP ĐƠN HÀNG'!$D$6:$D$505,$L162)))</f>
        <v/>
      </c>
      <c r="E162" s="16" t="str">
        <f aca="false">IF($L162="","",IF(INDEX('NHẬP ĐƠN HÀNG'!$H$6:$H$505,$L162)="","",INDEX('NHẬP ĐƠN HÀNG'!$H$6:$H$505,$L162)))</f>
        <v/>
      </c>
      <c r="F162" s="10" t="str">
        <f aca="false">IF($L162="","",N(INDEX('NHẬP ĐƠN HÀNG'!$I$6:$I$505,$L162)))</f>
        <v/>
      </c>
      <c r="G162" s="10" t="str">
        <f aca="false">IF($L162="","",N(INDEX('NHẬP ĐƠN HÀNG'!$L$6:$L$505,$L162)))</f>
        <v/>
      </c>
      <c r="H162" s="10" t="str">
        <f aca="false">IF($L162="","",N(INDEX('NHẬP ĐƠN HÀNG'!$Q$6:$Q$505,$L162)))</f>
        <v/>
      </c>
      <c r="I162" s="10" t="str">
        <f aca="false">IF($L162="","",N(INDEX('NHẬP ĐƠN HÀNG'!$R$6:$R$505,$L162)))</f>
        <v/>
      </c>
      <c r="J162" s="10" t="str">
        <f aca="false">IF($L162="","",IF(INDEX('NHẬP ĐƠN HÀNG'!$U$6:$U$505,$L162)="","",INDEX('NHẬP ĐƠN HÀNG'!$U$6:$U$505,$L162)))</f>
        <v/>
      </c>
      <c r="K162" s="16" t="str">
        <f aca="false">IF($L162="","",IF(INDEX('NHẬP ĐƠN HÀNG'!$W$6:$W$505,$L162)="","",INDEX('NHẬP ĐƠN HÀNG'!$W$6:$W$505,$L162)))</f>
        <v/>
      </c>
      <c r="L162" s="0" t="str">
        <f aca="false">IFERROR(MATCH(157,'NHẬP ĐƠN HÀNG'!$AA$6:$AA$505,0),"")</f>
        <v/>
      </c>
    </row>
    <row r="163" customFormat="false" ht="15" hidden="false" customHeight="false" outlineLevel="0" collapsed="false">
      <c r="A163" s="16" t="str">
        <f aca="false">IF($L163="","",158)</f>
        <v/>
      </c>
      <c r="B163" s="34" t="str">
        <f aca="false">IF($L163="","",IF(INDEX('NHẬP ĐƠN HÀNG'!$B$6:$B$505,$L163)="","",INDEX('NHẬP ĐƠN HÀNG'!$B$6:$B$505,$L163)))</f>
        <v/>
      </c>
      <c r="C163" s="16" t="str">
        <f aca="false">IF($L163="","",IF(INDEX('NHẬP ĐƠN HÀNG'!$C$6:$C$505,$L163)="","",INDEX('NHẬP ĐƠN HÀNG'!$C$6:$C$505,$L163)))</f>
        <v/>
      </c>
      <c r="D163" s="16" t="str">
        <f aca="false">IF($L163="","",IF(INDEX('NHẬP ĐƠN HÀNG'!$D$6:$D$505,$L163)="","",INDEX('NHẬP ĐƠN HÀNG'!$D$6:$D$505,$L163)))</f>
        <v/>
      </c>
      <c r="E163" s="16" t="str">
        <f aca="false">IF($L163="","",IF(INDEX('NHẬP ĐƠN HÀNG'!$H$6:$H$505,$L163)="","",INDEX('NHẬP ĐƠN HÀNG'!$H$6:$H$505,$L163)))</f>
        <v/>
      </c>
      <c r="F163" s="10" t="str">
        <f aca="false">IF($L163="","",N(INDEX('NHẬP ĐƠN HÀNG'!$I$6:$I$505,$L163)))</f>
        <v/>
      </c>
      <c r="G163" s="10" t="str">
        <f aca="false">IF($L163="","",N(INDEX('NHẬP ĐƠN HÀNG'!$L$6:$L$505,$L163)))</f>
        <v/>
      </c>
      <c r="H163" s="10" t="str">
        <f aca="false">IF($L163="","",N(INDEX('NHẬP ĐƠN HÀNG'!$Q$6:$Q$505,$L163)))</f>
        <v/>
      </c>
      <c r="I163" s="10" t="str">
        <f aca="false">IF($L163="","",N(INDEX('NHẬP ĐƠN HÀNG'!$R$6:$R$505,$L163)))</f>
        <v/>
      </c>
      <c r="J163" s="10" t="str">
        <f aca="false">IF($L163="","",IF(INDEX('NHẬP ĐƠN HÀNG'!$U$6:$U$505,$L163)="","",INDEX('NHẬP ĐƠN HÀNG'!$U$6:$U$505,$L163)))</f>
        <v/>
      </c>
      <c r="K163" s="16" t="str">
        <f aca="false">IF($L163="","",IF(INDEX('NHẬP ĐƠN HÀNG'!$W$6:$W$505,$L163)="","",INDEX('NHẬP ĐƠN HÀNG'!$W$6:$W$505,$L163)))</f>
        <v/>
      </c>
      <c r="L163" s="0" t="str">
        <f aca="false">IFERROR(MATCH(158,'NHẬP ĐƠN HÀNG'!$AA$6:$AA$505,0),"")</f>
        <v/>
      </c>
    </row>
    <row r="164" customFormat="false" ht="15" hidden="false" customHeight="false" outlineLevel="0" collapsed="false">
      <c r="A164" s="16" t="str">
        <f aca="false">IF($L164="","",159)</f>
        <v/>
      </c>
      <c r="B164" s="34" t="str">
        <f aca="false">IF($L164="","",IF(INDEX('NHẬP ĐƠN HÀNG'!$B$6:$B$505,$L164)="","",INDEX('NHẬP ĐƠN HÀNG'!$B$6:$B$505,$L164)))</f>
        <v/>
      </c>
      <c r="C164" s="16" t="str">
        <f aca="false">IF($L164="","",IF(INDEX('NHẬP ĐƠN HÀNG'!$C$6:$C$505,$L164)="","",INDEX('NHẬP ĐƠN HÀNG'!$C$6:$C$505,$L164)))</f>
        <v/>
      </c>
      <c r="D164" s="16" t="str">
        <f aca="false">IF($L164="","",IF(INDEX('NHẬP ĐƠN HÀNG'!$D$6:$D$505,$L164)="","",INDEX('NHẬP ĐƠN HÀNG'!$D$6:$D$505,$L164)))</f>
        <v/>
      </c>
      <c r="E164" s="16" t="str">
        <f aca="false">IF($L164="","",IF(INDEX('NHẬP ĐƠN HÀNG'!$H$6:$H$505,$L164)="","",INDEX('NHẬP ĐƠN HÀNG'!$H$6:$H$505,$L164)))</f>
        <v/>
      </c>
      <c r="F164" s="10" t="str">
        <f aca="false">IF($L164="","",N(INDEX('NHẬP ĐƠN HÀNG'!$I$6:$I$505,$L164)))</f>
        <v/>
      </c>
      <c r="G164" s="10" t="str">
        <f aca="false">IF($L164="","",N(INDEX('NHẬP ĐƠN HÀNG'!$L$6:$L$505,$L164)))</f>
        <v/>
      </c>
      <c r="H164" s="10" t="str">
        <f aca="false">IF($L164="","",N(INDEX('NHẬP ĐƠN HÀNG'!$Q$6:$Q$505,$L164)))</f>
        <v/>
      </c>
      <c r="I164" s="10" t="str">
        <f aca="false">IF($L164="","",N(INDEX('NHẬP ĐƠN HÀNG'!$R$6:$R$505,$L164)))</f>
        <v/>
      </c>
      <c r="J164" s="10" t="str">
        <f aca="false">IF($L164="","",IF(INDEX('NHẬP ĐƠN HÀNG'!$U$6:$U$505,$L164)="","",INDEX('NHẬP ĐƠN HÀNG'!$U$6:$U$505,$L164)))</f>
        <v/>
      </c>
      <c r="K164" s="16" t="str">
        <f aca="false">IF($L164="","",IF(INDEX('NHẬP ĐƠN HÀNG'!$W$6:$W$505,$L164)="","",INDEX('NHẬP ĐƠN HÀNG'!$W$6:$W$505,$L164)))</f>
        <v/>
      </c>
      <c r="L164" s="0" t="str">
        <f aca="false">IFERROR(MATCH(159,'NHẬP ĐƠN HÀNG'!$AA$6:$AA$505,0),"")</f>
        <v/>
      </c>
    </row>
    <row r="165" customFormat="false" ht="15" hidden="false" customHeight="false" outlineLevel="0" collapsed="false">
      <c r="A165" s="16" t="str">
        <f aca="false">IF($L165="","",160)</f>
        <v/>
      </c>
      <c r="B165" s="34" t="str">
        <f aca="false">IF($L165="","",IF(INDEX('NHẬP ĐƠN HÀNG'!$B$6:$B$505,$L165)="","",INDEX('NHẬP ĐƠN HÀNG'!$B$6:$B$505,$L165)))</f>
        <v/>
      </c>
      <c r="C165" s="16" t="str">
        <f aca="false">IF($L165="","",IF(INDEX('NHẬP ĐƠN HÀNG'!$C$6:$C$505,$L165)="","",INDEX('NHẬP ĐƠN HÀNG'!$C$6:$C$505,$L165)))</f>
        <v/>
      </c>
      <c r="D165" s="16" t="str">
        <f aca="false">IF($L165="","",IF(INDEX('NHẬP ĐƠN HÀNG'!$D$6:$D$505,$L165)="","",INDEX('NHẬP ĐƠN HÀNG'!$D$6:$D$505,$L165)))</f>
        <v/>
      </c>
      <c r="E165" s="16" t="str">
        <f aca="false">IF($L165="","",IF(INDEX('NHẬP ĐƠN HÀNG'!$H$6:$H$505,$L165)="","",INDEX('NHẬP ĐƠN HÀNG'!$H$6:$H$505,$L165)))</f>
        <v/>
      </c>
      <c r="F165" s="10" t="str">
        <f aca="false">IF($L165="","",N(INDEX('NHẬP ĐƠN HÀNG'!$I$6:$I$505,$L165)))</f>
        <v/>
      </c>
      <c r="G165" s="10" t="str">
        <f aca="false">IF($L165="","",N(INDEX('NHẬP ĐƠN HÀNG'!$L$6:$L$505,$L165)))</f>
        <v/>
      </c>
      <c r="H165" s="10" t="str">
        <f aca="false">IF($L165="","",N(INDEX('NHẬP ĐƠN HÀNG'!$Q$6:$Q$505,$L165)))</f>
        <v/>
      </c>
      <c r="I165" s="10" t="str">
        <f aca="false">IF($L165="","",N(INDEX('NHẬP ĐƠN HÀNG'!$R$6:$R$505,$L165)))</f>
        <v/>
      </c>
      <c r="J165" s="10" t="str">
        <f aca="false">IF($L165="","",IF(INDEX('NHẬP ĐƠN HÀNG'!$U$6:$U$505,$L165)="","",INDEX('NHẬP ĐƠN HÀNG'!$U$6:$U$505,$L165)))</f>
        <v/>
      </c>
      <c r="K165" s="16" t="str">
        <f aca="false">IF($L165="","",IF(INDEX('NHẬP ĐƠN HÀNG'!$W$6:$W$505,$L165)="","",INDEX('NHẬP ĐƠN HÀNG'!$W$6:$W$505,$L165)))</f>
        <v/>
      </c>
      <c r="L165" s="0" t="str">
        <f aca="false">IFERROR(MATCH(160,'NHẬP ĐƠN HÀNG'!$AA$6:$AA$505,0),"")</f>
        <v/>
      </c>
    </row>
    <row r="166" customFormat="false" ht="15" hidden="false" customHeight="false" outlineLevel="0" collapsed="false">
      <c r="A166" s="16" t="str">
        <f aca="false">IF($L166="","",161)</f>
        <v/>
      </c>
      <c r="B166" s="34" t="str">
        <f aca="false">IF($L166="","",IF(INDEX('NHẬP ĐƠN HÀNG'!$B$6:$B$505,$L166)="","",INDEX('NHẬP ĐƠN HÀNG'!$B$6:$B$505,$L166)))</f>
        <v/>
      </c>
      <c r="C166" s="16" t="str">
        <f aca="false">IF($L166="","",IF(INDEX('NHẬP ĐƠN HÀNG'!$C$6:$C$505,$L166)="","",INDEX('NHẬP ĐƠN HÀNG'!$C$6:$C$505,$L166)))</f>
        <v/>
      </c>
      <c r="D166" s="16" t="str">
        <f aca="false">IF($L166="","",IF(INDEX('NHẬP ĐƠN HÀNG'!$D$6:$D$505,$L166)="","",INDEX('NHẬP ĐƠN HÀNG'!$D$6:$D$505,$L166)))</f>
        <v/>
      </c>
      <c r="E166" s="16" t="str">
        <f aca="false">IF($L166="","",IF(INDEX('NHẬP ĐƠN HÀNG'!$H$6:$H$505,$L166)="","",INDEX('NHẬP ĐƠN HÀNG'!$H$6:$H$505,$L166)))</f>
        <v/>
      </c>
      <c r="F166" s="10" t="str">
        <f aca="false">IF($L166="","",N(INDEX('NHẬP ĐƠN HÀNG'!$I$6:$I$505,$L166)))</f>
        <v/>
      </c>
      <c r="G166" s="10" t="str">
        <f aca="false">IF($L166="","",N(INDEX('NHẬP ĐƠN HÀNG'!$L$6:$L$505,$L166)))</f>
        <v/>
      </c>
      <c r="H166" s="10" t="str">
        <f aca="false">IF($L166="","",N(INDEX('NHẬP ĐƠN HÀNG'!$Q$6:$Q$505,$L166)))</f>
        <v/>
      </c>
      <c r="I166" s="10" t="str">
        <f aca="false">IF($L166="","",N(INDEX('NHẬP ĐƠN HÀNG'!$R$6:$R$505,$L166)))</f>
        <v/>
      </c>
      <c r="J166" s="10" t="str">
        <f aca="false">IF($L166="","",IF(INDEX('NHẬP ĐƠN HÀNG'!$U$6:$U$505,$L166)="","",INDEX('NHẬP ĐƠN HÀNG'!$U$6:$U$505,$L166)))</f>
        <v/>
      </c>
      <c r="K166" s="16" t="str">
        <f aca="false">IF($L166="","",IF(INDEX('NHẬP ĐƠN HÀNG'!$W$6:$W$505,$L166)="","",INDEX('NHẬP ĐƠN HÀNG'!$W$6:$W$505,$L166)))</f>
        <v/>
      </c>
      <c r="L166" s="0" t="str">
        <f aca="false">IFERROR(MATCH(161,'NHẬP ĐƠN HÀNG'!$AA$6:$AA$505,0),"")</f>
        <v/>
      </c>
    </row>
    <row r="167" customFormat="false" ht="15" hidden="false" customHeight="false" outlineLevel="0" collapsed="false">
      <c r="A167" s="16" t="str">
        <f aca="false">IF($L167="","",162)</f>
        <v/>
      </c>
      <c r="B167" s="34" t="str">
        <f aca="false">IF($L167="","",IF(INDEX('NHẬP ĐƠN HÀNG'!$B$6:$B$505,$L167)="","",INDEX('NHẬP ĐƠN HÀNG'!$B$6:$B$505,$L167)))</f>
        <v/>
      </c>
      <c r="C167" s="16" t="str">
        <f aca="false">IF($L167="","",IF(INDEX('NHẬP ĐƠN HÀNG'!$C$6:$C$505,$L167)="","",INDEX('NHẬP ĐƠN HÀNG'!$C$6:$C$505,$L167)))</f>
        <v/>
      </c>
      <c r="D167" s="16" t="str">
        <f aca="false">IF($L167="","",IF(INDEX('NHẬP ĐƠN HÀNG'!$D$6:$D$505,$L167)="","",INDEX('NHẬP ĐƠN HÀNG'!$D$6:$D$505,$L167)))</f>
        <v/>
      </c>
      <c r="E167" s="16" t="str">
        <f aca="false">IF($L167="","",IF(INDEX('NHẬP ĐƠN HÀNG'!$H$6:$H$505,$L167)="","",INDEX('NHẬP ĐƠN HÀNG'!$H$6:$H$505,$L167)))</f>
        <v/>
      </c>
      <c r="F167" s="10" t="str">
        <f aca="false">IF($L167="","",N(INDEX('NHẬP ĐƠN HÀNG'!$I$6:$I$505,$L167)))</f>
        <v/>
      </c>
      <c r="G167" s="10" t="str">
        <f aca="false">IF($L167="","",N(INDEX('NHẬP ĐƠN HÀNG'!$L$6:$L$505,$L167)))</f>
        <v/>
      </c>
      <c r="H167" s="10" t="str">
        <f aca="false">IF($L167="","",N(INDEX('NHẬP ĐƠN HÀNG'!$Q$6:$Q$505,$L167)))</f>
        <v/>
      </c>
      <c r="I167" s="10" t="str">
        <f aca="false">IF($L167="","",N(INDEX('NHẬP ĐƠN HÀNG'!$R$6:$R$505,$L167)))</f>
        <v/>
      </c>
      <c r="J167" s="10" t="str">
        <f aca="false">IF($L167="","",IF(INDEX('NHẬP ĐƠN HÀNG'!$U$6:$U$505,$L167)="","",INDEX('NHẬP ĐƠN HÀNG'!$U$6:$U$505,$L167)))</f>
        <v/>
      </c>
      <c r="K167" s="16" t="str">
        <f aca="false">IF($L167="","",IF(INDEX('NHẬP ĐƠN HÀNG'!$W$6:$W$505,$L167)="","",INDEX('NHẬP ĐƠN HÀNG'!$W$6:$W$505,$L167)))</f>
        <v/>
      </c>
      <c r="L167" s="0" t="str">
        <f aca="false">IFERROR(MATCH(162,'NHẬP ĐƠN HÀNG'!$AA$6:$AA$505,0),"")</f>
        <v/>
      </c>
    </row>
    <row r="168" customFormat="false" ht="15" hidden="false" customHeight="false" outlineLevel="0" collapsed="false">
      <c r="A168" s="16" t="str">
        <f aca="false">IF($L168="","",163)</f>
        <v/>
      </c>
      <c r="B168" s="34" t="str">
        <f aca="false">IF($L168="","",IF(INDEX('NHẬP ĐƠN HÀNG'!$B$6:$B$505,$L168)="","",INDEX('NHẬP ĐƠN HÀNG'!$B$6:$B$505,$L168)))</f>
        <v/>
      </c>
      <c r="C168" s="16" t="str">
        <f aca="false">IF($L168="","",IF(INDEX('NHẬP ĐƠN HÀNG'!$C$6:$C$505,$L168)="","",INDEX('NHẬP ĐƠN HÀNG'!$C$6:$C$505,$L168)))</f>
        <v/>
      </c>
      <c r="D168" s="16" t="str">
        <f aca="false">IF($L168="","",IF(INDEX('NHẬP ĐƠN HÀNG'!$D$6:$D$505,$L168)="","",INDEX('NHẬP ĐƠN HÀNG'!$D$6:$D$505,$L168)))</f>
        <v/>
      </c>
      <c r="E168" s="16" t="str">
        <f aca="false">IF($L168="","",IF(INDEX('NHẬP ĐƠN HÀNG'!$H$6:$H$505,$L168)="","",INDEX('NHẬP ĐƠN HÀNG'!$H$6:$H$505,$L168)))</f>
        <v/>
      </c>
      <c r="F168" s="10" t="str">
        <f aca="false">IF($L168="","",N(INDEX('NHẬP ĐƠN HÀNG'!$I$6:$I$505,$L168)))</f>
        <v/>
      </c>
      <c r="G168" s="10" t="str">
        <f aca="false">IF($L168="","",N(INDEX('NHẬP ĐƠN HÀNG'!$L$6:$L$505,$L168)))</f>
        <v/>
      </c>
      <c r="H168" s="10" t="str">
        <f aca="false">IF($L168="","",N(INDEX('NHẬP ĐƠN HÀNG'!$Q$6:$Q$505,$L168)))</f>
        <v/>
      </c>
      <c r="I168" s="10" t="str">
        <f aca="false">IF($L168="","",N(INDEX('NHẬP ĐƠN HÀNG'!$R$6:$R$505,$L168)))</f>
        <v/>
      </c>
      <c r="J168" s="10" t="str">
        <f aca="false">IF($L168="","",IF(INDEX('NHẬP ĐƠN HÀNG'!$U$6:$U$505,$L168)="","",INDEX('NHẬP ĐƠN HÀNG'!$U$6:$U$505,$L168)))</f>
        <v/>
      </c>
      <c r="K168" s="16" t="str">
        <f aca="false">IF($L168="","",IF(INDEX('NHẬP ĐƠN HÀNG'!$W$6:$W$505,$L168)="","",INDEX('NHẬP ĐƠN HÀNG'!$W$6:$W$505,$L168)))</f>
        <v/>
      </c>
      <c r="L168" s="0" t="str">
        <f aca="false">IFERROR(MATCH(163,'NHẬP ĐƠN HÀNG'!$AA$6:$AA$505,0),"")</f>
        <v/>
      </c>
    </row>
    <row r="169" customFormat="false" ht="15" hidden="false" customHeight="false" outlineLevel="0" collapsed="false">
      <c r="A169" s="16" t="str">
        <f aca="false">IF($L169="","",164)</f>
        <v/>
      </c>
      <c r="B169" s="34" t="str">
        <f aca="false">IF($L169="","",IF(INDEX('NHẬP ĐƠN HÀNG'!$B$6:$B$505,$L169)="","",INDEX('NHẬP ĐƠN HÀNG'!$B$6:$B$505,$L169)))</f>
        <v/>
      </c>
      <c r="C169" s="16" t="str">
        <f aca="false">IF($L169="","",IF(INDEX('NHẬP ĐƠN HÀNG'!$C$6:$C$505,$L169)="","",INDEX('NHẬP ĐƠN HÀNG'!$C$6:$C$505,$L169)))</f>
        <v/>
      </c>
      <c r="D169" s="16" t="str">
        <f aca="false">IF($L169="","",IF(INDEX('NHẬP ĐƠN HÀNG'!$D$6:$D$505,$L169)="","",INDEX('NHẬP ĐƠN HÀNG'!$D$6:$D$505,$L169)))</f>
        <v/>
      </c>
      <c r="E169" s="16" t="str">
        <f aca="false">IF($L169="","",IF(INDEX('NHẬP ĐƠN HÀNG'!$H$6:$H$505,$L169)="","",INDEX('NHẬP ĐƠN HÀNG'!$H$6:$H$505,$L169)))</f>
        <v/>
      </c>
      <c r="F169" s="10" t="str">
        <f aca="false">IF($L169="","",N(INDEX('NHẬP ĐƠN HÀNG'!$I$6:$I$505,$L169)))</f>
        <v/>
      </c>
      <c r="G169" s="10" t="str">
        <f aca="false">IF($L169="","",N(INDEX('NHẬP ĐƠN HÀNG'!$L$6:$L$505,$L169)))</f>
        <v/>
      </c>
      <c r="H169" s="10" t="str">
        <f aca="false">IF($L169="","",N(INDEX('NHẬP ĐƠN HÀNG'!$Q$6:$Q$505,$L169)))</f>
        <v/>
      </c>
      <c r="I169" s="10" t="str">
        <f aca="false">IF($L169="","",N(INDEX('NHẬP ĐƠN HÀNG'!$R$6:$R$505,$L169)))</f>
        <v/>
      </c>
      <c r="J169" s="10" t="str">
        <f aca="false">IF($L169="","",IF(INDEX('NHẬP ĐƠN HÀNG'!$U$6:$U$505,$L169)="","",INDEX('NHẬP ĐƠN HÀNG'!$U$6:$U$505,$L169)))</f>
        <v/>
      </c>
      <c r="K169" s="16" t="str">
        <f aca="false">IF($L169="","",IF(INDEX('NHẬP ĐƠN HÀNG'!$W$6:$W$505,$L169)="","",INDEX('NHẬP ĐƠN HÀNG'!$W$6:$W$505,$L169)))</f>
        <v/>
      </c>
      <c r="L169" s="0" t="str">
        <f aca="false">IFERROR(MATCH(164,'NHẬP ĐƠN HÀNG'!$AA$6:$AA$505,0),"")</f>
        <v/>
      </c>
    </row>
    <row r="170" customFormat="false" ht="15" hidden="false" customHeight="false" outlineLevel="0" collapsed="false">
      <c r="A170" s="16" t="str">
        <f aca="false">IF($L170="","",165)</f>
        <v/>
      </c>
      <c r="B170" s="34" t="str">
        <f aca="false">IF($L170="","",IF(INDEX('NHẬP ĐƠN HÀNG'!$B$6:$B$505,$L170)="","",INDEX('NHẬP ĐƠN HÀNG'!$B$6:$B$505,$L170)))</f>
        <v/>
      </c>
      <c r="C170" s="16" t="str">
        <f aca="false">IF($L170="","",IF(INDEX('NHẬP ĐƠN HÀNG'!$C$6:$C$505,$L170)="","",INDEX('NHẬP ĐƠN HÀNG'!$C$6:$C$505,$L170)))</f>
        <v/>
      </c>
      <c r="D170" s="16" t="str">
        <f aca="false">IF($L170="","",IF(INDEX('NHẬP ĐƠN HÀNG'!$D$6:$D$505,$L170)="","",INDEX('NHẬP ĐƠN HÀNG'!$D$6:$D$505,$L170)))</f>
        <v/>
      </c>
      <c r="E170" s="16" t="str">
        <f aca="false">IF($L170="","",IF(INDEX('NHẬP ĐƠN HÀNG'!$H$6:$H$505,$L170)="","",INDEX('NHẬP ĐƠN HÀNG'!$H$6:$H$505,$L170)))</f>
        <v/>
      </c>
      <c r="F170" s="10" t="str">
        <f aca="false">IF($L170="","",N(INDEX('NHẬP ĐƠN HÀNG'!$I$6:$I$505,$L170)))</f>
        <v/>
      </c>
      <c r="G170" s="10" t="str">
        <f aca="false">IF($L170="","",N(INDEX('NHẬP ĐƠN HÀNG'!$L$6:$L$505,$L170)))</f>
        <v/>
      </c>
      <c r="H170" s="10" t="str">
        <f aca="false">IF($L170="","",N(INDEX('NHẬP ĐƠN HÀNG'!$Q$6:$Q$505,$L170)))</f>
        <v/>
      </c>
      <c r="I170" s="10" t="str">
        <f aca="false">IF($L170="","",N(INDEX('NHẬP ĐƠN HÀNG'!$R$6:$R$505,$L170)))</f>
        <v/>
      </c>
      <c r="J170" s="10" t="str">
        <f aca="false">IF($L170="","",IF(INDEX('NHẬP ĐƠN HÀNG'!$U$6:$U$505,$L170)="","",INDEX('NHẬP ĐƠN HÀNG'!$U$6:$U$505,$L170)))</f>
        <v/>
      </c>
      <c r="K170" s="16" t="str">
        <f aca="false">IF($L170="","",IF(INDEX('NHẬP ĐƠN HÀNG'!$W$6:$W$505,$L170)="","",INDEX('NHẬP ĐƠN HÀNG'!$W$6:$W$505,$L170)))</f>
        <v/>
      </c>
      <c r="L170" s="0" t="str">
        <f aca="false">IFERROR(MATCH(165,'NHẬP ĐƠN HÀNG'!$AA$6:$AA$505,0),"")</f>
        <v/>
      </c>
    </row>
    <row r="171" customFormat="false" ht="15" hidden="false" customHeight="false" outlineLevel="0" collapsed="false">
      <c r="A171" s="16" t="str">
        <f aca="false">IF($L171="","",166)</f>
        <v/>
      </c>
      <c r="B171" s="34" t="str">
        <f aca="false">IF($L171="","",IF(INDEX('NHẬP ĐƠN HÀNG'!$B$6:$B$505,$L171)="","",INDEX('NHẬP ĐƠN HÀNG'!$B$6:$B$505,$L171)))</f>
        <v/>
      </c>
      <c r="C171" s="16" t="str">
        <f aca="false">IF($L171="","",IF(INDEX('NHẬP ĐƠN HÀNG'!$C$6:$C$505,$L171)="","",INDEX('NHẬP ĐƠN HÀNG'!$C$6:$C$505,$L171)))</f>
        <v/>
      </c>
      <c r="D171" s="16" t="str">
        <f aca="false">IF($L171="","",IF(INDEX('NHẬP ĐƠN HÀNG'!$D$6:$D$505,$L171)="","",INDEX('NHẬP ĐƠN HÀNG'!$D$6:$D$505,$L171)))</f>
        <v/>
      </c>
      <c r="E171" s="16" t="str">
        <f aca="false">IF($L171="","",IF(INDEX('NHẬP ĐƠN HÀNG'!$H$6:$H$505,$L171)="","",INDEX('NHẬP ĐƠN HÀNG'!$H$6:$H$505,$L171)))</f>
        <v/>
      </c>
      <c r="F171" s="10" t="str">
        <f aca="false">IF($L171="","",N(INDEX('NHẬP ĐƠN HÀNG'!$I$6:$I$505,$L171)))</f>
        <v/>
      </c>
      <c r="G171" s="10" t="str">
        <f aca="false">IF($L171="","",N(INDEX('NHẬP ĐƠN HÀNG'!$L$6:$L$505,$L171)))</f>
        <v/>
      </c>
      <c r="H171" s="10" t="str">
        <f aca="false">IF($L171="","",N(INDEX('NHẬP ĐƠN HÀNG'!$Q$6:$Q$505,$L171)))</f>
        <v/>
      </c>
      <c r="I171" s="10" t="str">
        <f aca="false">IF($L171="","",N(INDEX('NHẬP ĐƠN HÀNG'!$R$6:$R$505,$L171)))</f>
        <v/>
      </c>
      <c r="J171" s="10" t="str">
        <f aca="false">IF($L171="","",IF(INDEX('NHẬP ĐƠN HÀNG'!$U$6:$U$505,$L171)="","",INDEX('NHẬP ĐƠN HÀNG'!$U$6:$U$505,$L171)))</f>
        <v/>
      </c>
      <c r="K171" s="16" t="str">
        <f aca="false">IF($L171="","",IF(INDEX('NHẬP ĐƠN HÀNG'!$W$6:$W$505,$L171)="","",INDEX('NHẬP ĐƠN HÀNG'!$W$6:$W$505,$L171)))</f>
        <v/>
      </c>
      <c r="L171" s="0" t="str">
        <f aca="false">IFERROR(MATCH(166,'NHẬP ĐƠN HÀNG'!$AA$6:$AA$505,0),"")</f>
        <v/>
      </c>
    </row>
    <row r="172" customFormat="false" ht="15" hidden="false" customHeight="false" outlineLevel="0" collapsed="false">
      <c r="A172" s="16" t="str">
        <f aca="false">IF($L172="","",167)</f>
        <v/>
      </c>
      <c r="B172" s="34" t="str">
        <f aca="false">IF($L172="","",IF(INDEX('NHẬP ĐƠN HÀNG'!$B$6:$B$505,$L172)="","",INDEX('NHẬP ĐƠN HÀNG'!$B$6:$B$505,$L172)))</f>
        <v/>
      </c>
      <c r="C172" s="16" t="str">
        <f aca="false">IF($L172="","",IF(INDEX('NHẬP ĐƠN HÀNG'!$C$6:$C$505,$L172)="","",INDEX('NHẬP ĐƠN HÀNG'!$C$6:$C$505,$L172)))</f>
        <v/>
      </c>
      <c r="D172" s="16" t="str">
        <f aca="false">IF($L172="","",IF(INDEX('NHẬP ĐƠN HÀNG'!$D$6:$D$505,$L172)="","",INDEX('NHẬP ĐƠN HÀNG'!$D$6:$D$505,$L172)))</f>
        <v/>
      </c>
      <c r="E172" s="16" t="str">
        <f aca="false">IF($L172="","",IF(INDEX('NHẬP ĐƠN HÀNG'!$H$6:$H$505,$L172)="","",INDEX('NHẬP ĐƠN HÀNG'!$H$6:$H$505,$L172)))</f>
        <v/>
      </c>
      <c r="F172" s="10" t="str">
        <f aca="false">IF($L172="","",N(INDEX('NHẬP ĐƠN HÀNG'!$I$6:$I$505,$L172)))</f>
        <v/>
      </c>
      <c r="G172" s="10" t="str">
        <f aca="false">IF($L172="","",N(INDEX('NHẬP ĐƠN HÀNG'!$L$6:$L$505,$L172)))</f>
        <v/>
      </c>
      <c r="H172" s="10" t="str">
        <f aca="false">IF($L172="","",N(INDEX('NHẬP ĐƠN HÀNG'!$Q$6:$Q$505,$L172)))</f>
        <v/>
      </c>
      <c r="I172" s="10" t="str">
        <f aca="false">IF($L172="","",N(INDEX('NHẬP ĐƠN HÀNG'!$R$6:$R$505,$L172)))</f>
        <v/>
      </c>
      <c r="J172" s="10" t="str">
        <f aca="false">IF($L172="","",IF(INDEX('NHẬP ĐƠN HÀNG'!$U$6:$U$505,$L172)="","",INDEX('NHẬP ĐƠN HÀNG'!$U$6:$U$505,$L172)))</f>
        <v/>
      </c>
      <c r="K172" s="16" t="str">
        <f aca="false">IF($L172="","",IF(INDEX('NHẬP ĐƠN HÀNG'!$W$6:$W$505,$L172)="","",INDEX('NHẬP ĐƠN HÀNG'!$W$6:$W$505,$L172)))</f>
        <v/>
      </c>
      <c r="L172" s="0" t="str">
        <f aca="false">IFERROR(MATCH(167,'NHẬP ĐƠN HÀNG'!$AA$6:$AA$505,0),"")</f>
        <v/>
      </c>
    </row>
    <row r="173" customFormat="false" ht="15" hidden="false" customHeight="false" outlineLevel="0" collapsed="false">
      <c r="A173" s="16" t="str">
        <f aca="false">IF($L173="","",168)</f>
        <v/>
      </c>
      <c r="B173" s="34" t="str">
        <f aca="false">IF($L173="","",IF(INDEX('NHẬP ĐƠN HÀNG'!$B$6:$B$505,$L173)="","",INDEX('NHẬP ĐƠN HÀNG'!$B$6:$B$505,$L173)))</f>
        <v/>
      </c>
      <c r="C173" s="16" t="str">
        <f aca="false">IF($L173="","",IF(INDEX('NHẬP ĐƠN HÀNG'!$C$6:$C$505,$L173)="","",INDEX('NHẬP ĐƠN HÀNG'!$C$6:$C$505,$L173)))</f>
        <v/>
      </c>
      <c r="D173" s="16" t="str">
        <f aca="false">IF($L173="","",IF(INDEX('NHẬP ĐƠN HÀNG'!$D$6:$D$505,$L173)="","",INDEX('NHẬP ĐƠN HÀNG'!$D$6:$D$505,$L173)))</f>
        <v/>
      </c>
      <c r="E173" s="16" t="str">
        <f aca="false">IF($L173="","",IF(INDEX('NHẬP ĐƠN HÀNG'!$H$6:$H$505,$L173)="","",INDEX('NHẬP ĐƠN HÀNG'!$H$6:$H$505,$L173)))</f>
        <v/>
      </c>
      <c r="F173" s="10" t="str">
        <f aca="false">IF($L173="","",N(INDEX('NHẬP ĐƠN HÀNG'!$I$6:$I$505,$L173)))</f>
        <v/>
      </c>
      <c r="G173" s="10" t="str">
        <f aca="false">IF($L173="","",N(INDEX('NHẬP ĐƠN HÀNG'!$L$6:$L$505,$L173)))</f>
        <v/>
      </c>
      <c r="H173" s="10" t="str">
        <f aca="false">IF($L173="","",N(INDEX('NHẬP ĐƠN HÀNG'!$Q$6:$Q$505,$L173)))</f>
        <v/>
      </c>
      <c r="I173" s="10" t="str">
        <f aca="false">IF($L173="","",N(INDEX('NHẬP ĐƠN HÀNG'!$R$6:$R$505,$L173)))</f>
        <v/>
      </c>
      <c r="J173" s="10" t="str">
        <f aca="false">IF($L173="","",IF(INDEX('NHẬP ĐƠN HÀNG'!$U$6:$U$505,$L173)="","",INDEX('NHẬP ĐƠN HÀNG'!$U$6:$U$505,$L173)))</f>
        <v/>
      </c>
      <c r="K173" s="16" t="str">
        <f aca="false">IF($L173="","",IF(INDEX('NHẬP ĐƠN HÀNG'!$W$6:$W$505,$L173)="","",INDEX('NHẬP ĐƠN HÀNG'!$W$6:$W$505,$L173)))</f>
        <v/>
      </c>
      <c r="L173" s="0" t="str">
        <f aca="false">IFERROR(MATCH(168,'NHẬP ĐƠN HÀNG'!$AA$6:$AA$505,0),"")</f>
        <v/>
      </c>
    </row>
    <row r="174" customFormat="false" ht="15" hidden="false" customHeight="false" outlineLevel="0" collapsed="false">
      <c r="A174" s="16" t="str">
        <f aca="false">IF($L174="","",169)</f>
        <v/>
      </c>
      <c r="B174" s="34" t="str">
        <f aca="false">IF($L174="","",IF(INDEX('NHẬP ĐƠN HÀNG'!$B$6:$B$505,$L174)="","",INDEX('NHẬP ĐƠN HÀNG'!$B$6:$B$505,$L174)))</f>
        <v/>
      </c>
      <c r="C174" s="16" t="str">
        <f aca="false">IF($L174="","",IF(INDEX('NHẬP ĐƠN HÀNG'!$C$6:$C$505,$L174)="","",INDEX('NHẬP ĐƠN HÀNG'!$C$6:$C$505,$L174)))</f>
        <v/>
      </c>
      <c r="D174" s="16" t="str">
        <f aca="false">IF($L174="","",IF(INDEX('NHẬP ĐƠN HÀNG'!$D$6:$D$505,$L174)="","",INDEX('NHẬP ĐƠN HÀNG'!$D$6:$D$505,$L174)))</f>
        <v/>
      </c>
      <c r="E174" s="16" t="str">
        <f aca="false">IF($L174="","",IF(INDEX('NHẬP ĐƠN HÀNG'!$H$6:$H$505,$L174)="","",INDEX('NHẬP ĐƠN HÀNG'!$H$6:$H$505,$L174)))</f>
        <v/>
      </c>
      <c r="F174" s="10" t="str">
        <f aca="false">IF($L174="","",N(INDEX('NHẬP ĐƠN HÀNG'!$I$6:$I$505,$L174)))</f>
        <v/>
      </c>
      <c r="G174" s="10" t="str">
        <f aca="false">IF($L174="","",N(INDEX('NHẬP ĐƠN HÀNG'!$L$6:$L$505,$L174)))</f>
        <v/>
      </c>
      <c r="H174" s="10" t="str">
        <f aca="false">IF($L174="","",N(INDEX('NHẬP ĐƠN HÀNG'!$Q$6:$Q$505,$L174)))</f>
        <v/>
      </c>
      <c r="I174" s="10" t="str">
        <f aca="false">IF($L174="","",N(INDEX('NHẬP ĐƠN HÀNG'!$R$6:$R$505,$L174)))</f>
        <v/>
      </c>
      <c r="J174" s="10" t="str">
        <f aca="false">IF($L174="","",IF(INDEX('NHẬP ĐƠN HÀNG'!$U$6:$U$505,$L174)="","",INDEX('NHẬP ĐƠN HÀNG'!$U$6:$U$505,$L174)))</f>
        <v/>
      </c>
      <c r="K174" s="16" t="str">
        <f aca="false">IF($L174="","",IF(INDEX('NHẬP ĐƠN HÀNG'!$W$6:$W$505,$L174)="","",INDEX('NHẬP ĐƠN HÀNG'!$W$6:$W$505,$L174)))</f>
        <v/>
      </c>
      <c r="L174" s="0" t="str">
        <f aca="false">IFERROR(MATCH(169,'NHẬP ĐƠN HÀNG'!$AA$6:$AA$505,0),"")</f>
        <v/>
      </c>
    </row>
    <row r="175" customFormat="false" ht="15" hidden="false" customHeight="false" outlineLevel="0" collapsed="false">
      <c r="A175" s="16" t="str">
        <f aca="false">IF($L175="","",170)</f>
        <v/>
      </c>
      <c r="B175" s="34" t="str">
        <f aca="false">IF($L175="","",IF(INDEX('NHẬP ĐƠN HÀNG'!$B$6:$B$505,$L175)="","",INDEX('NHẬP ĐƠN HÀNG'!$B$6:$B$505,$L175)))</f>
        <v/>
      </c>
      <c r="C175" s="16" t="str">
        <f aca="false">IF($L175="","",IF(INDEX('NHẬP ĐƠN HÀNG'!$C$6:$C$505,$L175)="","",INDEX('NHẬP ĐƠN HÀNG'!$C$6:$C$505,$L175)))</f>
        <v/>
      </c>
      <c r="D175" s="16" t="str">
        <f aca="false">IF($L175="","",IF(INDEX('NHẬP ĐƠN HÀNG'!$D$6:$D$505,$L175)="","",INDEX('NHẬP ĐƠN HÀNG'!$D$6:$D$505,$L175)))</f>
        <v/>
      </c>
      <c r="E175" s="16" t="str">
        <f aca="false">IF($L175="","",IF(INDEX('NHẬP ĐƠN HÀNG'!$H$6:$H$505,$L175)="","",INDEX('NHẬP ĐƠN HÀNG'!$H$6:$H$505,$L175)))</f>
        <v/>
      </c>
      <c r="F175" s="10" t="str">
        <f aca="false">IF($L175="","",N(INDEX('NHẬP ĐƠN HÀNG'!$I$6:$I$505,$L175)))</f>
        <v/>
      </c>
      <c r="G175" s="10" t="str">
        <f aca="false">IF($L175="","",N(INDEX('NHẬP ĐƠN HÀNG'!$L$6:$L$505,$L175)))</f>
        <v/>
      </c>
      <c r="H175" s="10" t="str">
        <f aca="false">IF($L175="","",N(INDEX('NHẬP ĐƠN HÀNG'!$Q$6:$Q$505,$L175)))</f>
        <v/>
      </c>
      <c r="I175" s="10" t="str">
        <f aca="false">IF($L175="","",N(INDEX('NHẬP ĐƠN HÀNG'!$R$6:$R$505,$L175)))</f>
        <v/>
      </c>
      <c r="J175" s="10" t="str">
        <f aca="false">IF($L175="","",IF(INDEX('NHẬP ĐƠN HÀNG'!$U$6:$U$505,$L175)="","",INDEX('NHẬP ĐƠN HÀNG'!$U$6:$U$505,$L175)))</f>
        <v/>
      </c>
      <c r="K175" s="16" t="str">
        <f aca="false">IF($L175="","",IF(INDEX('NHẬP ĐƠN HÀNG'!$W$6:$W$505,$L175)="","",INDEX('NHẬP ĐƠN HÀNG'!$W$6:$W$505,$L175)))</f>
        <v/>
      </c>
      <c r="L175" s="0" t="str">
        <f aca="false">IFERROR(MATCH(170,'NHẬP ĐƠN HÀNG'!$AA$6:$AA$505,0),"")</f>
        <v/>
      </c>
    </row>
    <row r="176" customFormat="false" ht="15" hidden="false" customHeight="false" outlineLevel="0" collapsed="false">
      <c r="A176" s="16" t="str">
        <f aca="false">IF($L176="","",171)</f>
        <v/>
      </c>
      <c r="B176" s="34" t="str">
        <f aca="false">IF($L176="","",IF(INDEX('NHẬP ĐƠN HÀNG'!$B$6:$B$505,$L176)="","",INDEX('NHẬP ĐƠN HÀNG'!$B$6:$B$505,$L176)))</f>
        <v/>
      </c>
      <c r="C176" s="16" t="str">
        <f aca="false">IF($L176="","",IF(INDEX('NHẬP ĐƠN HÀNG'!$C$6:$C$505,$L176)="","",INDEX('NHẬP ĐƠN HÀNG'!$C$6:$C$505,$L176)))</f>
        <v/>
      </c>
      <c r="D176" s="16" t="str">
        <f aca="false">IF($L176="","",IF(INDEX('NHẬP ĐƠN HÀNG'!$D$6:$D$505,$L176)="","",INDEX('NHẬP ĐƠN HÀNG'!$D$6:$D$505,$L176)))</f>
        <v/>
      </c>
      <c r="E176" s="16" t="str">
        <f aca="false">IF($L176="","",IF(INDEX('NHẬP ĐƠN HÀNG'!$H$6:$H$505,$L176)="","",INDEX('NHẬP ĐƠN HÀNG'!$H$6:$H$505,$L176)))</f>
        <v/>
      </c>
      <c r="F176" s="10" t="str">
        <f aca="false">IF($L176="","",N(INDEX('NHẬP ĐƠN HÀNG'!$I$6:$I$505,$L176)))</f>
        <v/>
      </c>
      <c r="G176" s="10" t="str">
        <f aca="false">IF($L176="","",N(INDEX('NHẬP ĐƠN HÀNG'!$L$6:$L$505,$L176)))</f>
        <v/>
      </c>
      <c r="H176" s="10" t="str">
        <f aca="false">IF($L176="","",N(INDEX('NHẬP ĐƠN HÀNG'!$Q$6:$Q$505,$L176)))</f>
        <v/>
      </c>
      <c r="I176" s="10" t="str">
        <f aca="false">IF($L176="","",N(INDEX('NHẬP ĐƠN HÀNG'!$R$6:$R$505,$L176)))</f>
        <v/>
      </c>
      <c r="J176" s="10" t="str">
        <f aca="false">IF($L176="","",IF(INDEX('NHẬP ĐƠN HÀNG'!$U$6:$U$505,$L176)="","",INDEX('NHẬP ĐƠN HÀNG'!$U$6:$U$505,$L176)))</f>
        <v/>
      </c>
      <c r="K176" s="16" t="str">
        <f aca="false">IF($L176="","",IF(INDEX('NHẬP ĐƠN HÀNG'!$W$6:$W$505,$L176)="","",INDEX('NHẬP ĐƠN HÀNG'!$W$6:$W$505,$L176)))</f>
        <v/>
      </c>
      <c r="L176" s="0" t="str">
        <f aca="false">IFERROR(MATCH(171,'NHẬP ĐƠN HÀNG'!$AA$6:$AA$505,0),"")</f>
        <v/>
      </c>
    </row>
    <row r="177" customFormat="false" ht="15" hidden="false" customHeight="false" outlineLevel="0" collapsed="false">
      <c r="A177" s="16" t="str">
        <f aca="false">IF($L177="","",172)</f>
        <v/>
      </c>
      <c r="B177" s="34" t="str">
        <f aca="false">IF($L177="","",IF(INDEX('NHẬP ĐƠN HÀNG'!$B$6:$B$505,$L177)="","",INDEX('NHẬP ĐƠN HÀNG'!$B$6:$B$505,$L177)))</f>
        <v/>
      </c>
      <c r="C177" s="16" t="str">
        <f aca="false">IF($L177="","",IF(INDEX('NHẬP ĐƠN HÀNG'!$C$6:$C$505,$L177)="","",INDEX('NHẬP ĐƠN HÀNG'!$C$6:$C$505,$L177)))</f>
        <v/>
      </c>
      <c r="D177" s="16" t="str">
        <f aca="false">IF($L177="","",IF(INDEX('NHẬP ĐƠN HÀNG'!$D$6:$D$505,$L177)="","",INDEX('NHẬP ĐƠN HÀNG'!$D$6:$D$505,$L177)))</f>
        <v/>
      </c>
      <c r="E177" s="16" t="str">
        <f aca="false">IF($L177="","",IF(INDEX('NHẬP ĐƠN HÀNG'!$H$6:$H$505,$L177)="","",INDEX('NHẬP ĐƠN HÀNG'!$H$6:$H$505,$L177)))</f>
        <v/>
      </c>
      <c r="F177" s="10" t="str">
        <f aca="false">IF($L177="","",N(INDEX('NHẬP ĐƠN HÀNG'!$I$6:$I$505,$L177)))</f>
        <v/>
      </c>
      <c r="G177" s="10" t="str">
        <f aca="false">IF($L177="","",N(INDEX('NHẬP ĐƠN HÀNG'!$L$6:$L$505,$L177)))</f>
        <v/>
      </c>
      <c r="H177" s="10" t="str">
        <f aca="false">IF($L177="","",N(INDEX('NHẬP ĐƠN HÀNG'!$Q$6:$Q$505,$L177)))</f>
        <v/>
      </c>
      <c r="I177" s="10" t="str">
        <f aca="false">IF($L177="","",N(INDEX('NHẬP ĐƠN HÀNG'!$R$6:$R$505,$L177)))</f>
        <v/>
      </c>
      <c r="J177" s="10" t="str">
        <f aca="false">IF($L177="","",IF(INDEX('NHẬP ĐƠN HÀNG'!$U$6:$U$505,$L177)="","",INDEX('NHẬP ĐƠN HÀNG'!$U$6:$U$505,$L177)))</f>
        <v/>
      </c>
      <c r="K177" s="16" t="str">
        <f aca="false">IF($L177="","",IF(INDEX('NHẬP ĐƠN HÀNG'!$W$6:$W$505,$L177)="","",INDEX('NHẬP ĐƠN HÀNG'!$W$6:$W$505,$L177)))</f>
        <v/>
      </c>
      <c r="L177" s="0" t="str">
        <f aca="false">IFERROR(MATCH(172,'NHẬP ĐƠN HÀNG'!$AA$6:$AA$505,0),"")</f>
        <v/>
      </c>
    </row>
    <row r="178" customFormat="false" ht="15" hidden="false" customHeight="false" outlineLevel="0" collapsed="false">
      <c r="A178" s="16" t="str">
        <f aca="false">IF($L178="","",173)</f>
        <v/>
      </c>
      <c r="B178" s="34" t="str">
        <f aca="false">IF($L178="","",IF(INDEX('NHẬP ĐƠN HÀNG'!$B$6:$B$505,$L178)="","",INDEX('NHẬP ĐƠN HÀNG'!$B$6:$B$505,$L178)))</f>
        <v/>
      </c>
      <c r="C178" s="16" t="str">
        <f aca="false">IF($L178="","",IF(INDEX('NHẬP ĐƠN HÀNG'!$C$6:$C$505,$L178)="","",INDEX('NHẬP ĐƠN HÀNG'!$C$6:$C$505,$L178)))</f>
        <v/>
      </c>
      <c r="D178" s="16" t="str">
        <f aca="false">IF($L178="","",IF(INDEX('NHẬP ĐƠN HÀNG'!$D$6:$D$505,$L178)="","",INDEX('NHẬP ĐƠN HÀNG'!$D$6:$D$505,$L178)))</f>
        <v/>
      </c>
      <c r="E178" s="16" t="str">
        <f aca="false">IF($L178="","",IF(INDEX('NHẬP ĐƠN HÀNG'!$H$6:$H$505,$L178)="","",INDEX('NHẬP ĐƠN HÀNG'!$H$6:$H$505,$L178)))</f>
        <v/>
      </c>
      <c r="F178" s="10" t="str">
        <f aca="false">IF($L178="","",N(INDEX('NHẬP ĐƠN HÀNG'!$I$6:$I$505,$L178)))</f>
        <v/>
      </c>
      <c r="G178" s="10" t="str">
        <f aca="false">IF($L178="","",N(INDEX('NHẬP ĐƠN HÀNG'!$L$6:$L$505,$L178)))</f>
        <v/>
      </c>
      <c r="H178" s="10" t="str">
        <f aca="false">IF($L178="","",N(INDEX('NHẬP ĐƠN HÀNG'!$Q$6:$Q$505,$L178)))</f>
        <v/>
      </c>
      <c r="I178" s="10" t="str">
        <f aca="false">IF($L178="","",N(INDEX('NHẬP ĐƠN HÀNG'!$R$6:$R$505,$L178)))</f>
        <v/>
      </c>
      <c r="J178" s="10" t="str">
        <f aca="false">IF($L178="","",IF(INDEX('NHẬP ĐƠN HÀNG'!$U$6:$U$505,$L178)="","",INDEX('NHẬP ĐƠN HÀNG'!$U$6:$U$505,$L178)))</f>
        <v/>
      </c>
      <c r="K178" s="16" t="str">
        <f aca="false">IF($L178="","",IF(INDEX('NHẬP ĐƠN HÀNG'!$W$6:$W$505,$L178)="","",INDEX('NHẬP ĐƠN HÀNG'!$W$6:$W$505,$L178)))</f>
        <v/>
      </c>
      <c r="L178" s="0" t="str">
        <f aca="false">IFERROR(MATCH(173,'NHẬP ĐƠN HÀNG'!$AA$6:$AA$505,0),"")</f>
        <v/>
      </c>
    </row>
    <row r="179" customFormat="false" ht="15" hidden="false" customHeight="false" outlineLevel="0" collapsed="false">
      <c r="A179" s="16" t="str">
        <f aca="false">IF($L179="","",174)</f>
        <v/>
      </c>
      <c r="B179" s="34" t="str">
        <f aca="false">IF($L179="","",IF(INDEX('NHẬP ĐƠN HÀNG'!$B$6:$B$505,$L179)="","",INDEX('NHẬP ĐƠN HÀNG'!$B$6:$B$505,$L179)))</f>
        <v/>
      </c>
      <c r="C179" s="16" t="str">
        <f aca="false">IF($L179="","",IF(INDEX('NHẬP ĐƠN HÀNG'!$C$6:$C$505,$L179)="","",INDEX('NHẬP ĐƠN HÀNG'!$C$6:$C$505,$L179)))</f>
        <v/>
      </c>
      <c r="D179" s="16" t="str">
        <f aca="false">IF($L179="","",IF(INDEX('NHẬP ĐƠN HÀNG'!$D$6:$D$505,$L179)="","",INDEX('NHẬP ĐƠN HÀNG'!$D$6:$D$505,$L179)))</f>
        <v/>
      </c>
      <c r="E179" s="16" t="str">
        <f aca="false">IF($L179="","",IF(INDEX('NHẬP ĐƠN HÀNG'!$H$6:$H$505,$L179)="","",INDEX('NHẬP ĐƠN HÀNG'!$H$6:$H$505,$L179)))</f>
        <v/>
      </c>
      <c r="F179" s="10" t="str">
        <f aca="false">IF($L179="","",N(INDEX('NHẬP ĐƠN HÀNG'!$I$6:$I$505,$L179)))</f>
        <v/>
      </c>
      <c r="G179" s="10" t="str">
        <f aca="false">IF($L179="","",N(INDEX('NHẬP ĐƠN HÀNG'!$L$6:$L$505,$L179)))</f>
        <v/>
      </c>
      <c r="H179" s="10" t="str">
        <f aca="false">IF($L179="","",N(INDEX('NHẬP ĐƠN HÀNG'!$Q$6:$Q$505,$L179)))</f>
        <v/>
      </c>
      <c r="I179" s="10" t="str">
        <f aca="false">IF($L179="","",N(INDEX('NHẬP ĐƠN HÀNG'!$R$6:$R$505,$L179)))</f>
        <v/>
      </c>
      <c r="J179" s="10" t="str">
        <f aca="false">IF($L179="","",IF(INDEX('NHẬP ĐƠN HÀNG'!$U$6:$U$505,$L179)="","",INDEX('NHẬP ĐƠN HÀNG'!$U$6:$U$505,$L179)))</f>
        <v/>
      </c>
      <c r="K179" s="16" t="str">
        <f aca="false">IF($L179="","",IF(INDEX('NHẬP ĐƠN HÀNG'!$W$6:$W$505,$L179)="","",INDEX('NHẬP ĐƠN HÀNG'!$W$6:$W$505,$L179)))</f>
        <v/>
      </c>
      <c r="L179" s="0" t="str">
        <f aca="false">IFERROR(MATCH(174,'NHẬP ĐƠN HÀNG'!$AA$6:$AA$505,0),"")</f>
        <v/>
      </c>
    </row>
    <row r="180" customFormat="false" ht="15" hidden="false" customHeight="false" outlineLevel="0" collapsed="false">
      <c r="A180" s="16" t="str">
        <f aca="false">IF($L180="","",175)</f>
        <v/>
      </c>
      <c r="B180" s="34" t="str">
        <f aca="false">IF($L180="","",IF(INDEX('NHẬP ĐƠN HÀNG'!$B$6:$B$505,$L180)="","",INDEX('NHẬP ĐƠN HÀNG'!$B$6:$B$505,$L180)))</f>
        <v/>
      </c>
      <c r="C180" s="16" t="str">
        <f aca="false">IF($L180="","",IF(INDEX('NHẬP ĐƠN HÀNG'!$C$6:$C$505,$L180)="","",INDEX('NHẬP ĐƠN HÀNG'!$C$6:$C$505,$L180)))</f>
        <v/>
      </c>
      <c r="D180" s="16" t="str">
        <f aca="false">IF($L180="","",IF(INDEX('NHẬP ĐƠN HÀNG'!$D$6:$D$505,$L180)="","",INDEX('NHẬP ĐƠN HÀNG'!$D$6:$D$505,$L180)))</f>
        <v/>
      </c>
      <c r="E180" s="16" t="str">
        <f aca="false">IF($L180="","",IF(INDEX('NHẬP ĐƠN HÀNG'!$H$6:$H$505,$L180)="","",INDEX('NHẬP ĐƠN HÀNG'!$H$6:$H$505,$L180)))</f>
        <v/>
      </c>
      <c r="F180" s="10" t="str">
        <f aca="false">IF($L180="","",N(INDEX('NHẬP ĐƠN HÀNG'!$I$6:$I$505,$L180)))</f>
        <v/>
      </c>
      <c r="G180" s="10" t="str">
        <f aca="false">IF($L180="","",N(INDEX('NHẬP ĐƠN HÀNG'!$L$6:$L$505,$L180)))</f>
        <v/>
      </c>
      <c r="H180" s="10" t="str">
        <f aca="false">IF($L180="","",N(INDEX('NHẬP ĐƠN HÀNG'!$Q$6:$Q$505,$L180)))</f>
        <v/>
      </c>
      <c r="I180" s="10" t="str">
        <f aca="false">IF($L180="","",N(INDEX('NHẬP ĐƠN HÀNG'!$R$6:$R$505,$L180)))</f>
        <v/>
      </c>
      <c r="J180" s="10" t="str">
        <f aca="false">IF($L180="","",IF(INDEX('NHẬP ĐƠN HÀNG'!$U$6:$U$505,$L180)="","",INDEX('NHẬP ĐƠN HÀNG'!$U$6:$U$505,$L180)))</f>
        <v/>
      </c>
      <c r="K180" s="16" t="str">
        <f aca="false">IF($L180="","",IF(INDEX('NHẬP ĐƠN HÀNG'!$W$6:$W$505,$L180)="","",INDEX('NHẬP ĐƠN HÀNG'!$W$6:$W$505,$L180)))</f>
        <v/>
      </c>
      <c r="L180" s="0" t="str">
        <f aca="false">IFERROR(MATCH(175,'NHẬP ĐƠN HÀNG'!$AA$6:$AA$505,0),"")</f>
        <v/>
      </c>
    </row>
    <row r="181" customFormat="false" ht="15" hidden="false" customHeight="false" outlineLevel="0" collapsed="false">
      <c r="A181" s="16" t="str">
        <f aca="false">IF($L181="","",176)</f>
        <v/>
      </c>
      <c r="B181" s="34" t="str">
        <f aca="false">IF($L181="","",IF(INDEX('NHẬP ĐƠN HÀNG'!$B$6:$B$505,$L181)="","",INDEX('NHẬP ĐƠN HÀNG'!$B$6:$B$505,$L181)))</f>
        <v/>
      </c>
      <c r="C181" s="16" t="str">
        <f aca="false">IF($L181="","",IF(INDEX('NHẬP ĐƠN HÀNG'!$C$6:$C$505,$L181)="","",INDEX('NHẬP ĐƠN HÀNG'!$C$6:$C$505,$L181)))</f>
        <v/>
      </c>
      <c r="D181" s="16" t="str">
        <f aca="false">IF($L181="","",IF(INDEX('NHẬP ĐƠN HÀNG'!$D$6:$D$505,$L181)="","",INDEX('NHẬP ĐƠN HÀNG'!$D$6:$D$505,$L181)))</f>
        <v/>
      </c>
      <c r="E181" s="16" t="str">
        <f aca="false">IF($L181="","",IF(INDEX('NHẬP ĐƠN HÀNG'!$H$6:$H$505,$L181)="","",INDEX('NHẬP ĐƠN HÀNG'!$H$6:$H$505,$L181)))</f>
        <v/>
      </c>
      <c r="F181" s="10" t="str">
        <f aca="false">IF($L181="","",N(INDEX('NHẬP ĐƠN HÀNG'!$I$6:$I$505,$L181)))</f>
        <v/>
      </c>
      <c r="G181" s="10" t="str">
        <f aca="false">IF($L181="","",N(INDEX('NHẬP ĐƠN HÀNG'!$L$6:$L$505,$L181)))</f>
        <v/>
      </c>
      <c r="H181" s="10" t="str">
        <f aca="false">IF($L181="","",N(INDEX('NHẬP ĐƠN HÀNG'!$Q$6:$Q$505,$L181)))</f>
        <v/>
      </c>
      <c r="I181" s="10" t="str">
        <f aca="false">IF($L181="","",N(INDEX('NHẬP ĐƠN HÀNG'!$R$6:$R$505,$L181)))</f>
        <v/>
      </c>
      <c r="J181" s="10" t="str">
        <f aca="false">IF($L181="","",IF(INDEX('NHẬP ĐƠN HÀNG'!$U$6:$U$505,$L181)="","",INDEX('NHẬP ĐƠN HÀNG'!$U$6:$U$505,$L181)))</f>
        <v/>
      </c>
      <c r="K181" s="16" t="str">
        <f aca="false">IF($L181="","",IF(INDEX('NHẬP ĐƠN HÀNG'!$W$6:$W$505,$L181)="","",INDEX('NHẬP ĐƠN HÀNG'!$W$6:$W$505,$L181)))</f>
        <v/>
      </c>
      <c r="L181" s="0" t="str">
        <f aca="false">IFERROR(MATCH(176,'NHẬP ĐƠN HÀNG'!$AA$6:$AA$505,0),"")</f>
        <v/>
      </c>
    </row>
    <row r="182" customFormat="false" ht="15" hidden="false" customHeight="false" outlineLevel="0" collapsed="false">
      <c r="A182" s="16" t="str">
        <f aca="false">IF($L182="","",177)</f>
        <v/>
      </c>
      <c r="B182" s="34" t="str">
        <f aca="false">IF($L182="","",IF(INDEX('NHẬP ĐƠN HÀNG'!$B$6:$B$505,$L182)="","",INDEX('NHẬP ĐƠN HÀNG'!$B$6:$B$505,$L182)))</f>
        <v/>
      </c>
      <c r="C182" s="16" t="str">
        <f aca="false">IF($L182="","",IF(INDEX('NHẬP ĐƠN HÀNG'!$C$6:$C$505,$L182)="","",INDEX('NHẬP ĐƠN HÀNG'!$C$6:$C$505,$L182)))</f>
        <v/>
      </c>
      <c r="D182" s="16" t="str">
        <f aca="false">IF($L182="","",IF(INDEX('NHẬP ĐƠN HÀNG'!$D$6:$D$505,$L182)="","",INDEX('NHẬP ĐƠN HÀNG'!$D$6:$D$505,$L182)))</f>
        <v/>
      </c>
      <c r="E182" s="16" t="str">
        <f aca="false">IF($L182="","",IF(INDEX('NHẬP ĐƠN HÀNG'!$H$6:$H$505,$L182)="","",INDEX('NHẬP ĐƠN HÀNG'!$H$6:$H$505,$L182)))</f>
        <v/>
      </c>
      <c r="F182" s="10" t="str">
        <f aca="false">IF($L182="","",N(INDEX('NHẬP ĐƠN HÀNG'!$I$6:$I$505,$L182)))</f>
        <v/>
      </c>
      <c r="G182" s="10" t="str">
        <f aca="false">IF($L182="","",N(INDEX('NHẬP ĐƠN HÀNG'!$L$6:$L$505,$L182)))</f>
        <v/>
      </c>
      <c r="H182" s="10" t="str">
        <f aca="false">IF($L182="","",N(INDEX('NHẬP ĐƠN HÀNG'!$Q$6:$Q$505,$L182)))</f>
        <v/>
      </c>
      <c r="I182" s="10" t="str">
        <f aca="false">IF($L182="","",N(INDEX('NHẬP ĐƠN HÀNG'!$R$6:$R$505,$L182)))</f>
        <v/>
      </c>
      <c r="J182" s="10" t="str">
        <f aca="false">IF($L182="","",IF(INDEX('NHẬP ĐƠN HÀNG'!$U$6:$U$505,$L182)="","",INDEX('NHẬP ĐƠN HÀNG'!$U$6:$U$505,$L182)))</f>
        <v/>
      </c>
      <c r="K182" s="16" t="str">
        <f aca="false">IF($L182="","",IF(INDEX('NHẬP ĐƠN HÀNG'!$W$6:$W$505,$L182)="","",INDEX('NHẬP ĐƠN HÀNG'!$W$6:$W$505,$L182)))</f>
        <v/>
      </c>
      <c r="L182" s="0" t="str">
        <f aca="false">IFERROR(MATCH(177,'NHẬP ĐƠN HÀNG'!$AA$6:$AA$505,0),"")</f>
        <v/>
      </c>
    </row>
    <row r="183" customFormat="false" ht="15" hidden="false" customHeight="false" outlineLevel="0" collapsed="false">
      <c r="A183" s="16" t="str">
        <f aca="false">IF($L183="","",178)</f>
        <v/>
      </c>
      <c r="B183" s="34" t="str">
        <f aca="false">IF($L183="","",IF(INDEX('NHẬP ĐƠN HÀNG'!$B$6:$B$505,$L183)="","",INDEX('NHẬP ĐƠN HÀNG'!$B$6:$B$505,$L183)))</f>
        <v/>
      </c>
      <c r="C183" s="16" t="str">
        <f aca="false">IF($L183="","",IF(INDEX('NHẬP ĐƠN HÀNG'!$C$6:$C$505,$L183)="","",INDEX('NHẬP ĐƠN HÀNG'!$C$6:$C$505,$L183)))</f>
        <v/>
      </c>
      <c r="D183" s="16" t="str">
        <f aca="false">IF($L183="","",IF(INDEX('NHẬP ĐƠN HÀNG'!$D$6:$D$505,$L183)="","",INDEX('NHẬP ĐƠN HÀNG'!$D$6:$D$505,$L183)))</f>
        <v/>
      </c>
      <c r="E183" s="16" t="str">
        <f aca="false">IF($L183="","",IF(INDEX('NHẬP ĐƠN HÀNG'!$H$6:$H$505,$L183)="","",INDEX('NHẬP ĐƠN HÀNG'!$H$6:$H$505,$L183)))</f>
        <v/>
      </c>
      <c r="F183" s="10" t="str">
        <f aca="false">IF($L183="","",N(INDEX('NHẬP ĐƠN HÀNG'!$I$6:$I$505,$L183)))</f>
        <v/>
      </c>
      <c r="G183" s="10" t="str">
        <f aca="false">IF($L183="","",N(INDEX('NHẬP ĐƠN HÀNG'!$L$6:$L$505,$L183)))</f>
        <v/>
      </c>
      <c r="H183" s="10" t="str">
        <f aca="false">IF($L183="","",N(INDEX('NHẬP ĐƠN HÀNG'!$Q$6:$Q$505,$L183)))</f>
        <v/>
      </c>
      <c r="I183" s="10" t="str">
        <f aca="false">IF($L183="","",N(INDEX('NHẬP ĐƠN HÀNG'!$R$6:$R$505,$L183)))</f>
        <v/>
      </c>
      <c r="J183" s="10" t="str">
        <f aca="false">IF($L183="","",IF(INDEX('NHẬP ĐƠN HÀNG'!$U$6:$U$505,$L183)="","",INDEX('NHẬP ĐƠN HÀNG'!$U$6:$U$505,$L183)))</f>
        <v/>
      </c>
      <c r="K183" s="16" t="str">
        <f aca="false">IF($L183="","",IF(INDEX('NHẬP ĐƠN HÀNG'!$W$6:$W$505,$L183)="","",INDEX('NHẬP ĐƠN HÀNG'!$W$6:$W$505,$L183)))</f>
        <v/>
      </c>
      <c r="L183" s="0" t="str">
        <f aca="false">IFERROR(MATCH(178,'NHẬP ĐƠN HÀNG'!$AA$6:$AA$505,0),"")</f>
        <v/>
      </c>
    </row>
    <row r="184" customFormat="false" ht="15" hidden="false" customHeight="false" outlineLevel="0" collapsed="false">
      <c r="A184" s="16" t="str">
        <f aca="false">IF($L184="","",179)</f>
        <v/>
      </c>
      <c r="B184" s="34" t="str">
        <f aca="false">IF($L184="","",IF(INDEX('NHẬP ĐƠN HÀNG'!$B$6:$B$505,$L184)="","",INDEX('NHẬP ĐƠN HÀNG'!$B$6:$B$505,$L184)))</f>
        <v/>
      </c>
      <c r="C184" s="16" t="str">
        <f aca="false">IF($L184="","",IF(INDEX('NHẬP ĐƠN HÀNG'!$C$6:$C$505,$L184)="","",INDEX('NHẬP ĐƠN HÀNG'!$C$6:$C$505,$L184)))</f>
        <v/>
      </c>
      <c r="D184" s="16" t="str">
        <f aca="false">IF($L184="","",IF(INDEX('NHẬP ĐƠN HÀNG'!$D$6:$D$505,$L184)="","",INDEX('NHẬP ĐƠN HÀNG'!$D$6:$D$505,$L184)))</f>
        <v/>
      </c>
      <c r="E184" s="16" t="str">
        <f aca="false">IF($L184="","",IF(INDEX('NHẬP ĐƠN HÀNG'!$H$6:$H$505,$L184)="","",INDEX('NHẬP ĐƠN HÀNG'!$H$6:$H$505,$L184)))</f>
        <v/>
      </c>
      <c r="F184" s="10" t="str">
        <f aca="false">IF($L184="","",N(INDEX('NHẬP ĐƠN HÀNG'!$I$6:$I$505,$L184)))</f>
        <v/>
      </c>
      <c r="G184" s="10" t="str">
        <f aca="false">IF($L184="","",N(INDEX('NHẬP ĐƠN HÀNG'!$L$6:$L$505,$L184)))</f>
        <v/>
      </c>
      <c r="H184" s="10" t="str">
        <f aca="false">IF($L184="","",N(INDEX('NHẬP ĐƠN HÀNG'!$Q$6:$Q$505,$L184)))</f>
        <v/>
      </c>
      <c r="I184" s="10" t="str">
        <f aca="false">IF($L184="","",N(INDEX('NHẬP ĐƠN HÀNG'!$R$6:$R$505,$L184)))</f>
        <v/>
      </c>
      <c r="J184" s="10" t="str">
        <f aca="false">IF($L184="","",IF(INDEX('NHẬP ĐƠN HÀNG'!$U$6:$U$505,$L184)="","",INDEX('NHẬP ĐƠN HÀNG'!$U$6:$U$505,$L184)))</f>
        <v/>
      </c>
      <c r="K184" s="16" t="str">
        <f aca="false">IF($L184="","",IF(INDEX('NHẬP ĐƠN HÀNG'!$W$6:$W$505,$L184)="","",INDEX('NHẬP ĐƠN HÀNG'!$W$6:$W$505,$L184)))</f>
        <v/>
      </c>
      <c r="L184" s="0" t="str">
        <f aca="false">IFERROR(MATCH(179,'NHẬP ĐƠN HÀNG'!$AA$6:$AA$505,0),"")</f>
        <v/>
      </c>
    </row>
    <row r="185" customFormat="false" ht="15" hidden="false" customHeight="false" outlineLevel="0" collapsed="false">
      <c r="A185" s="16" t="str">
        <f aca="false">IF($L185="","",180)</f>
        <v/>
      </c>
      <c r="B185" s="34" t="str">
        <f aca="false">IF($L185="","",IF(INDEX('NHẬP ĐƠN HÀNG'!$B$6:$B$505,$L185)="","",INDEX('NHẬP ĐƠN HÀNG'!$B$6:$B$505,$L185)))</f>
        <v/>
      </c>
      <c r="C185" s="16" t="str">
        <f aca="false">IF($L185="","",IF(INDEX('NHẬP ĐƠN HÀNG'!$C$6:$C$505,$L185)="","",INDEX('NHẬP ĐƠN HÀNG'!$C$6:$C$505,$L185)))</f>
        <v/>
      </c>
      <c r="D185" s="16" t="str">
        <f aca="false">IF($L185="","",IF(INDEX('NHẬP ĐƠN HÀNG'!$D$6:$D$505,$L185)="","",INDEX('NHẬP ĐƠN HÀNG'!$D$6:$D$505,$L185)))</f>
        <v/>
      </c>
      <c r="E185" s="16" t="str">
        <f aca="false">IF($L185="","",IF(INDEX('NHẬP ĐƠN HÀNG'!$H$6:$H$505,$L185)="","",INDEX('NHẬP ĐƠN HÀNG'!$H$6:$H$505,$L185)))</f>
        <v/>
      </c>
      <c r="F185" s="10" t="str">
        <f aca="false">IF($L185="","",N(INDEX('NHẬP ĐƠN HÀNG'!$I$6:$I$505,$L185)))</f>
        <v/>
      </c>
      <c r="G185" s="10" t="str">
        <f aca="false">IF($L185="","",N(INDEX('NHẬP ĐƠN HÀNG'!$L$6:$L$505,$L185)))</f>
        <v/>
      </c>
      <c r="H185" s="10" t="str">
        <f aca="false">IF($L185="","",N(INDEX('NHẬP ĐƠN HÀNG'!$Q$6:$Q$505,$L185)))</f>
        <v/>
      </c>
      <c r="I185" s="10" t="str">
        <f aca="false">IF($L185="","",N(INDEX('NHẬP ĐƠN HÀNG'!$R$6:$R$505,$L185)))</f>
        <v/>
      </c>
      <c r="J185" s="10" t="str">
        <f aca="false">IF($L185="","",IF(INDEX('NHẬP ĐƠN HÀNG'!$U$6:$U$505,$L185)="","",INDEX('NHẬP ĐƠN HÀNG'!$U$6:$U$505,$L185)))</f>
        <v/>
      </c>
      <c r="K185" s="16" t="str">
        <f aca="false">IF($L185="","",IF(INDEX('NHẬP ĐƠN HÀNG'!$W$6:$W$505,$L185)="","",INDEX('NHẬP ĐƠN HÀNG'!$W$6:$W$505,$L185)))</f>
        <v/>
      </c>
      <c r="L185" s="0" t="str">
        <f aca="false">IFERROR(MATCH(180,'NHẬP ĐƠN HÀNG'!$AA$6:$AA$505,0),"")</f>
        <v/>
      </c>
    </row>
    <row r="186" customFormat="false" ht="15" hidden="false" customHeight="false" outlineLevel="0" collapsed="false">
      <c r="A186" s="16" t="str">
        <f aca="false">IF($L186="","",181)</f>
        <v/>
      </c>
      <c r="B186" s="34" t="str">
        <f aca="false">IF($L186="","",IF(INDEX('NHẬP ĐƠN HÀNG'!$B$6:$B$505,$L186)="","",INDEX('NHẬP ĐƠN HÀNG'!$B$6:$B$505,$L186)))</f>
        <v/>
      </c>
      <c r="C186" s="16" t="str">
        <f aca="false">IF($L186="","",IF(INDEX('NHẬP ĐƠN HÀNG'!$C$6:$C$505,$L186)="","",INDEX('NHẬP ĐƠN HÀNG'!$C$6:$C$505,$L186)))</f>
        <v/>
      </c>
      <c r="D186" s="16" t="str">
        <f aca="false">IF($L186="","",IF(INDEX('NHẬP ĐƠN HÀNG'!$D$6:$D$505,$L186)="","",INDEX('NHẬP ĐƠN HÀNG'!$D$6:$D$505,$L186)))</f>
        <v/>
      </c>
      <c r="E186" s="16" t="str">
        <f aca="false">IF($L186="","",IF(INDEX('NHẬP ĐƠN HÀNG'!$H$6:$H$505,$L186)="","",INDEX('NHẬP ĐƠN HÀNG'!$H$6:$H$505,$L186)))</f>
        <v/>
      </c>
      <c r="F186" s="10" t="str">
        <f aca="false">IF($L186="","",N(INDEX('NHẬP ĐƠN HÀNG'!$I$6:$I$505,$L186)))</f>
        <v/>
      </c>
      <c r="G186" s="10" t="str">
        <f aca="false">IF($L186="","",N(INDEX('NHẬP ĐƠN HÀNG'!$L$6:$L$505,$L186)))</f>
        <v/>
      </c>
      <c r="H186" s="10" t="str">
        <f aca="false">IF($L186="","",N(INDEX('NHẬP ĐƠN HÀNG'!$Q$6:$Q$505,$L186)))</f>
        <v/>
      </c>
      <c r="I186" s="10" t="str">
        <f aca="false">IF($L186="","",N(INDEX('NHẬP ĐƠN HÀNG'!$R$6:$R$505,$L186)))</f>
        <v/>
      </c>
      <c r="J186" s="10" t="str">
        <f aca="false">IF($L186="","",IF(INDEX('NHẬP ĐƠN HÀNG'!$U$6:$U$505,$L186)="","",INDEX('NHẬP ĐƠN HÀNG'!$U$6:$U$505,$L186)))</f>
        <v/>
      </c>
      <c r="K186" s="16" t="str">
        <f aca="false">IF($L186="","",IF(INDEX('NHẬP ĐƠN HÀNG'!$W$6:$W$505,$L186)="","",INDEX('NHẬP ĐƠN HÀNG'!$W$6:$W$505,$L186)))</f>
        <v/>
      </c>
      <c r="L186" s="0" t="str">
        <f aca="false">IFERROR(MATCH(181,'NHẬP ĐƠN HÀNG'!$AA$6:$AA$505,0),"")</f>
        <v/>
      </c>
    </row>
    <row r="187" customFormat="false" ht="15" hidden="false" customHeight="false" outlineLevel="0" collapsed="false">
      <c r="A187" s="16" t="str">
        <f aca="false">IF($L187="","",182)</f>
        <v/>
      </c>
      <c r="B187" s="34" t="str">
        <f aca="false">IF($L187="","",IF(INDEX('NHẬP ĐƠN HÀNG'!$B$6:$B$505,$L187)="","",INDEX('NHẬP ĐƠN HÀNG'!$B$6:$B$505,$L187)))</f>
        <v/>
      </c>
      <c r="C187" s="16" t="str">
        <f aca="false">IF($L187="","",IF(INDEX('NHẬP ĐƠN HÀNG'!$C$6:$C$505,$L187)="","",INDEX('NHẬP ĐƠN HÀNG'!$C$6:$C$505,$L187)))</f>
        <v/>
      </c>
      <c r="D187" s="16" t="str">
        <f aca="false">IF($L187="","",IF(INDEX('NHẬP ĐƠN HÀNG'!$D$6:$D$505,$L187)="","",INDEX('NHẬP ĐƠN HÀNG'!$D$6:$D$505,$L187)))</f>
        <v/>
      </c>
      <c r="E187" s="16" t="str">
        <f aca="false">IF($L187="","",IF(INDEX('NHẬP ĐƠN HÀNG'!$H$6:$H$505,$L187)="","",INDEX('NHẬP ĐƠN HÀNG'!$H$6:$H$505,$L187)))</f>
        <v/>
      </c>
      <c r="F187" s="10" t="str">
        <f aca="false">IF($L187="","",N(INDEX('NHẬP ĐƠN HÀNG'!$I$6:$I$505,$L187)))</f>
        <v/>
      </c>
      <c r="G187" s="10" t="str">
        <f aca="false">IF($L187="","",N(INDEX('NHẬP ĐƠN HÀNG'!$L$6:$L$505,$L187)))</f>
        <v/>
      </c>
      <c r="H187" s="10" t="str">
        <f aca="false">IF($L187="","",N(INDEX('NHẬP ĐƠN HÀNG'!$Q$6:$Q$505,$L187)))</f>
        <v/>
      </c>
      <c r="I187" s="10" t="str">
        <f aca="false">IF($L187="","",N(INDEX('NHẬP ĐƠN HÀNG'!$R$6:$R$505,$L187)))</f>
        <v/>
      </c>
      <c r="J187" s="10" t="str">
        <f aca="false">IF($L187="","",IF(INDEX('NHẬP ĐƠN HÀNG'!$U$6:$U$505,$L187)="","",INDEX('NHẬP ĐƠN HÀNG'!$U$6:$U$505,$L187)))</f>
        <v/>
      </c>
      <c r="K187" s="16" t="str">
        <f aca="false">IF($L187="","",IF(INDEX('NHẬP ĐƠN HÀNG'!$W$6:$W$505,$L187)="","",INDEX('NHẬP ĐƠN HÀNG'!$W$6:$W$505,$L187)))</f>
        <v/>
      </c>
      <c r="L187" s="0" t="str">
        <f aca="false">IFERROR(MATCH(182,'NHẬP ĐƠN HÀNG'!$AA$6:$AA$505,0),"")</f>
        <v/>
      </c>
    </row>
    <row r="188" customFormat="false" ht="15" hidden="false" customHeight="false" outlineLevel="0" collapsed="false">
      <c r="A188" s="16" t="str">
        <f aca="false">IF($L188="","",183)</f>
        <v/>
      </c>
      <c r="B188" s="34" t="str">
        <f aca="false">IF($L188="","",IF(INDEX('NHẬP ĐƠN HÀNG'!$B$6:$B$505,$L188)="","",INDEX('NHẬP ĐƠN HÀNG'!$B$6:$B$505,$L188)))</f>
        <v/>
      </c>
      <c r="C188" s="16" t="str">
        <f aca="false">IF($L188="","",IF(INDEX('NHẬP ĐƠN HÀNG'!$C$6:$C$505,$L188)="","",INDEX('NHẬP ĐƠN HÀNG'!$C$6:$C$505,$L188)))</f>
        <v/>
      </c>
      <c r="D188" s="16" t="str">
        <f aca="false">IF($L188="","",IF(INDEX('NHẬP ĐƠN HÀNG'!$D$6:$D$505,$L188)="","",INDEX('NHẬP ĐƠN HÀNG'!$D$6:$D$505,$L188)))</f>
        <v/>
      </c>
      <c r="E188" s="16" t="str">
        <f aca="false">IF($L188="","",IF(INDEX('NHẬP ĐƠN HÀNG'!$H$6:$H$505,$L188)="","",INDEX('NHẬP ĐƠN HÀNG'!$H$6:$H$505,$L188)))</f>
        <v/>
      </c>
      <c r="F188" s="10" t="str">
        <f aca="false">IF($L188="","",N(INDEX('NHẬP ĐƠN HÀNG'!$I$6:$I$505,$L188)))</f>
        <v/>
      </c>
      <c r="G188" s="10" t="str">
        <f aca="false">IF($L188="","",N(INDEX('NHẬP ĐƠN HÀNG'!$L$6:$L$505,$L188)))</f>
        <v/>
      </c>
      <c r="H188" s="10" t="str">
        <f aca="false">IF($L188="","",N(INDEX('NHẬP ĐƠN HÀNG'!$Q$6:$Q$505,$L188)))</f>
        <v/>
      </c>
      <c r="I188" s="10" t="str">
        <f aca="false">IF($L188="","",N(INDEX('NHẬP ĐƠN HÀNG'!$R$6:$R$505,$L188)))</f>
        <v/>
      </c>
      <c r="J188" s="10" t="str">
        <f aca="false">IF($L188="","",IF(INDEX('NHẬP ĐƠN HÀNG'!$U$6:$U$505,$L188)="","",INDEX('NHẬP ĐƠN HÀNG'!$U$6:$U$505,$L188)))</f>
        <v/>
      </c>
      <c r="K188" s="16" t="str">
        <f aca="false">IF($L188="","",IF(INDEX('NHẬP ĐƠN HÀNG'!$W$6:$W$505,$L188)="","",INDEX('NHẬP ĐƠN HÀNG'!$W$6:$W$505,$L188)))</f>
        <v/>
      </c>
      <c r="L188" s="0" t="str">
        <f aca="false">IFERROR(MATCH(183,'NHẬP ĐƠN HÀNG'!$AA$6:$AA$505,0),"")</f>
        <v/>
      </c>
    </row>
    <row r="189" customFormat="false" ht="15" hidden="false" customHeight="false" outlineLevel="0" collapsed="false">
      <c r="A189" s="16" t="str">
        <f aca="false">IF($L189="","",184)</f>
        <v/>
      </c>
      <c r="B189" s="34" t="str">
        <f aca="false">IF($L189="","",IF(INDEX('NHẬP ĐƠN HÀNG'!$B$6:$B$505,$L189)="","",INDEX('NHẬP ĐƠN HÀNG'!$B$6:$B$505,$L189)))</f>
        <v/>
      </c>
      <c r="C189" s="16" t="str">
        <f aca="false">IF($L189="","",IF(INDEX('NHẬP ĐƠN HÀNG'!$C$6:$C$505,$L189)="","",INDEX('NHẬP ĐƠN HÀNG'!$C$6:$C$505,$L189)))</f>
        <v/>
      </c>
      <c r="D189" s="16" t="str">
        <f aca="false">IF($L189="","",IF(INDEX('NHẬP ĐƠN HÀNG'!$D$6:$D$505,$L189)="","",INDEX('NHẬP ĐƠN HÀNG'!$D$6:$D$505,$L189)))</f>
        <v/>
      </c>
      <c r="E189" s="16" t="str">
        <f aca="false">IF($L189="","",IF(INDEX('NHẬP ĐƠN HÀNG'!$H$6:$H$505,$L189)="","",INDEX('NHẬP ĐƠN HÀNG'!$H$6:$H$505,$L189)))</f>
        <v/>
      </c>
      <c r="F189" s="10" t="str">
        <f aca="false">IF($L189="","",N(INDEX('NHẬP ĐƠN HÀNG'!$I$6:$I$505,$L189)))</f>
        <v/>
      </c>
      <c r="G189" s="10" t="str">
        <f aca="false">IF($L189="","",N(INDEX('NHẬP ĐƠN HÀNG'!$L$6:$L$505,$L189)))</f>
        <v/>
      </c>
      <c r="H189" s="10" t="str">
        <f aca="false">IF($L189="","",N(INDEX('NHẬP ĐƠN HÀNG'!$Q$6:$Q$505,$L189)))</f>
        <v/>
      </c>
      <c r="I189" s="10" t="str">
        <f aca="false">IF($L189="","",N(INDEX('NHẬP ĐƠN HÀNG'!$R$6:$R$505,$L189)))</f>
        <v/>
      </c>
      <c r="J189" s="10" t="str">
        <f aca="false">IF($L189="","",IF(INDEX('NHẬP ĐƠN HÀNG'!$U$6:$U$505,$L189)="","",INDEX('NHẬP ĐƠN HÀNG'!$U$6:$U$505,$L189)))</f>
        <v/>
      </c>
      <c r="K189" s="16" t="str">
        <f aca="false">IF($L189="","",IF(INDEX('NHẬP ĐƠN HÀNG'!$W$6:$W$505,$L189)="","",INDEX('NHẬP ĐƠN HÀNG'!$W$6:$W$505,$L189)))</f>
        <v/>
      </c>
      <c r="L189" s="0" t="str">
        <f aca="false">IFERROR(MATCH(184,'NHẬP ĐƠN HÀNG'!$AA$6:$AA$505,0),"")</f>
        <v/>
      </c>
    </row>
    <row r="190" customFormat="false" ht="15" hidden="false" customHeight="false" outlineLevel="0" collapsed="false">
      <c r="A190" s="16" t="str">
        <f aca="false">IF($L190="","",185)</f>
        <v/>
      </c>
      <c r="B190" s="34" t="str">
        <f aca="false">IF($L190="","",IF(INDEX('NHẬP ĐƠN HÀNG'!$B$6:$B$505,$L190)="","",INDEX('NHẬP ĐƠN HÀNG'!$B$6:$B$505,$L190)))</f>
        <v/>
      </c>
      <c r="C190" s="16" t="str">
        <f aca="false">IF($L190="","",IF(INDEX('NHẬP ĐƠN HÀNG'!$C$6:$C$505,$L190)="","",INDEX('NHẬP ĐƠN HÀNG'!$C$6:$C$505,$L190)))</f>
        <v/>
      </c>
      <c r="D190" s="16" t="str">
        <f aca="false">IF($L190="","",IF(INDEX('NHẬP ĐƠN HÀNG'!$D$6:$D$505,$L190)="","",INDEX('NHẬP ĐƠN HÀNG'!$D$6:$D$505,$L190)))</f>
        <v/>
      </c>
      <c r="E190" s="16" t="str">
        <f aca="false">IF($L190="","",IF(INDEX('NHẬP ĐƠN HÀNG'!$H$6:$H$505,$L190)="","",INDEX('NHẬP ĐƠN HÀNG'!$H$6:$H$505,$L190)))</f>
        <v/>
      </c>
      <c r="F190" s="10" t="str">
        <f aca="false">IF($L190="","",N(INDEX('NHẬP ĐƠN HÀNG'!$I$6:$I$505,$L190)))</f>
        <v/>
      </c>
      <c r="G190" s="10" t="str">
        <f aca="false">IF($L190="","",N(INDEX('NHẬP ĐƠN HÀNG'!$L$6:$L$505,$L190)))</f>
        <v/>
      </c>
      <c r="H190" s="10" t="str">
        <f aca="false">IF($L190="","",N(INDEX('NHẬP ĐƠN HÀNG'!$Q$6:$Q$505,$L190)))</f>
        <v/>
      </c>
      <c r="I190" s="10" t="str">
        <f aca="false">IF($L190="","",N(INDEX('NHẬP ĐƠN HÀNG'!$R$6:$R$505,$L190)))</f>
        <v/>
      </c>
      <c r="J190" s="10" t="str">
        <f aca="false">IF($L190="","",IF(INDEX('NHẬP ĐƠN HÀNG'!$U$6:$U$505,$L190)="","",INDEX('NHẬP ĐƠN HÀNG'!$U$6:$U$505,$L190)))</f>
        <v/>
      </c>
      <c r="K190" s="16" t="str">
        <f aca="false">IF($L190="","",IF(INDEX('NHẬP ĐƠN HÀNG'!$W$6:$W$505,$L190)="","",INDEX('NHẬP ĐƠN HÀNG'!$W$6:$W$505,$L190)))</f>
        <v/>
      </c>
      <c r="L190" s="0" t="str">
        <f aca="false">IFERROR(MATCH(185,'NHẬP ĐƠN HÀNG'!$AA$6:$AA$505,0),"")</f>
        <v/>
      </c>
    </row>
    <row r="191" customFormat="false" ht="15" hidden="false" customHeight="false" outlineLevel="0" collapsed="false">
      <c r="A191" s="16" t="str">
        <f aca="false">IF($L191="","",186)</f>
        <v/>
      </c>
      <c r="B191" s="34" t="str">
        <f aca="false">IF($L191="","",IF(INDEX('NHẬP ĐƠN HÀNG'!$B$6:$B$505,$L191)="","",INDEX('NHẬP ĐƠN HÀNG'!$B$6:$B$505,$L191)))</f>
        <v/>
      </c>
      <c r="C191" s="16" t="str">
        <f aca="false">IF($L191="","",IF(INDEX('NHẬP ĐƠN HÀNG'!$C$6:$C$505,$L191)="","",INDEX('NHẬP ĐƠN HÀNG'!$C$6:$C$505,$L191)))</f>
        <v/>
      </c>
      <c r="D191" s="16" t="str">
        <f aca="false">IF($L191="","",IF(INDEX('NHẬP ĐƠN HÀNG'!$D$6:$D$505,$L191)="","",INDEX('NHẬP ĐƠN HÀNG'!$D$6:$D$505,$L191)))</f>
        <v/>
      </c>
      <c r="E191" s="16" t="str">
        <f aca="false">IF($L191="","",IF(INDEX('NHẬP ĐƠN HÀNG'!$H$6:$H$505,$L191)="","",INDEX('NHẬP ĐƠN HÀNG'!$H$6:$H$505,$L191)))</f>
        <v/>
      </c>
      <c r="F191" s="10" t="str">
        <f aca="false">IF($L191="","",N(INDEX('NHẬP ĐƠN HÀNG'!$I$6:$I$505,$L191)))</f>
        <v/>
      </c>
      <c r="G191" s="10" t="str">
        <f aca="false">IF($L191="","",N(INDEX('NHẬP ĐƠN HÀNG'!$L$6:$L$505,$L191)))</f>
        <v/>
      </c>
      <c r="H191" s="10" t="str">
        <f aca="false">IF($L191="","",N(INDEX('NHẬP ĐƠN HÀNG'!$Q$6:$Q$505,$L191)))</f>
        <v/>
      </c>
      <c r="I191" s="10" t="str">
        <f aca="false">IF($L191="","",N(INDEX('NHẬP ĐƠN HÀNG'!$R$6:$R$505,$L191)))</f>
        <v/>
      </c>
      <c r="J191" s="10" t="str">
        <f aca="false">IF($L191="","",IF(INDEX('NHẬP ĐƠN HÀNG'!$U$6:$U$505,$L191)="","",INDEX('NHẬP ĐƠN HÀNG'!$U$6:$U$505,$L191)))</f>
        <v/>
      </c>
      <c r="K191" s="16" t="str">
        <f aca="false">IF($L191="","",IF(INDEX('NHẬP ĐƠN HÀNG'!$W$6:$W$505,$L191)="","",INDEX('NHẬP ĐƠN HÀNG'!$W$6:$W$505,$L191)))</f>
        <v/>
      </c>
      <c r="L191" s="0" t="str">
        <f aca="false">IFERROR(MATCH(186,'NHẬP ĐƠN HÀNG'!$AA$6:$AA$505,0),"")</f>
        <v/>
      </c>
    </row>
    <row r="192" customFormat="false" ht="15" hidden="false" customHeight="false" outlineLevel="0" collapsed="false">
      <c r="A192" s="16" t="str">
        <f aca="false">IF($L192="","",187)</f>
        <v/>
      </c>
      <c r="B192" s="34" t="str">
        <f aca="false">IF($L192="","",IF(INDEX('NHẬP ĐƠN HÀNG'!$B$6:$B$505,$L192)="","",INDEX('NHẬP ĐƠN HÀNG'!$B$6:$B$505,$L192)))</f>
        <v/>
      </c>
      <c r="C192" s="16" t="str">
        <f aca="false">IF($L192="","",IF(INDEX('NHẬP ĐƠN HÀNG'!$C$6:$C$505,$L192)="","",INDEX('NHẬP ĐƠN HÀNG'!$C$6:$C$505,$L192)))</f>
        <v/>
      </c>
      <c r="D192" s="16" t="str">
        <f aca="false">IF($L192="","",IF(INDEX('NHẬP ĐƠN HÀNG'!$D$6:$D$505,$L192)="","",INDEX('NHẬP ĐƠN HÀNG'!$D$6:$D$505,$L192)))</f>
        <v/>
      </c>
      <c r="E192" s="16" t="str">
        <f aca="false">IF($L192="","",IF(INDEX('NHẬP ĐƠN HÀNG'!$H$6:$H$505,$L192)="","",INDEX('NHẬP ĐƠN HÀNG'!$H$6:$H$505,$L192)))</f>
        <v/>
      </c>
      <c r="F192" s="10" t="str">
        <f aca="false">IF($L192="","",N(INDEX('NHẬP ĐƠN HÀNG'!$I$6:$I$505,$L192)))</f>
        <v/>
      </c>
      <c r="G192" s="10" t="str">
        <f aca="false">IF($L192="","",N(INDEX('NHẬP ĐƠN HÀNG'!$L$6:$L$505,$L192)))</f>
        <v/>
      </c>
      <c r="H192" s="10" t="str">
        <f aca="false">IF($L192="","",N(INDEX('NHẬP ĐƠN HÀNG'!$Q$6:$Q$505,$L192)))</f>
        <v/>
      </c>
      <c r="I192" s="10" t="str">
        <f aca="false">IF($L192="","",N(INDEX('NHẬP ĐƠN HÀNG'!$R$6:$R$505,$L192)))</f>
        <v/>
      </c>
      <c r="J192" s="10" t="str">
        <f aca="false">IF($L192="","",IF(INDEX('NHẬP ĐƠN HÀNG'!$U$6:$U$505,$L192)="","",INDEX('NHẬP ĐƠN HÀNG'!$U$6:$U$505,$L192)))</f>
        <v/>
      </c>
      <c r="K192" s="16" t="str">
        <f aca="false">IF($L192="","",IF(INDEX('NHẬP ĐƠN HÀNG'!$W$6:$W$505,$L192)="","",INDEX('NHẬP ĐƠN HÀNG'!$W$6:$W$505,$L192)))</f>
        <v/>
      </c>
      <c r="L192" s="0" t="str">
        <f aca="false">IFERROR(MATCH(187,'NHẬP ĐƠN HÀNG'!$AA$6:$AA$505,0),"")</f>
        <v/>
      </c>
    </row>
    <row r="193" customFormat="false" ht="15" hidden="false" customHeight="false" outlineLevel="0" collapsed="false">
      <c r="A193" s="16" t="str">
        <f aca="false">IF($L193="","",188)</f>
        <v/>
      </c>
      <c r="B193" s="34" t="str">
        <f aca="false">IF($L193="","",IF(INDEX('NHẬP ĐƠN HÀNG'!$B$6:$B$505,$L193)="","",INDEX('NHẬP ĐƠN HÀNG'!$B$6:$B$505,$L193)))</f>
        <v/>
      </c>
      <c r="C193" s="16" t="str">
        <f aca="false">IF($L193="","",IF(INDEX('NHẬP ĐƠN HÀNG'!$C$6:$C$505,$L193)="","",INDEX('NHẬP ĐƠN HÀNG'!$C$6:$C$505,$L193)))</f>
        <v/>
      </c>
      <c r="D193" s="16" t="str">
        <f aca="false">IF($L193="","",IF(INDEX('NHẬP ĐƠN HÀNG'!$D$6:$D$505,$L193)="","",INDEX('NHẬP ĐƠN HÀNG'!$D$6:$D$505,$L193)))</f>
        <v/>
      </c>
      <c r="E193" s="16" t="str">
        <f aca="false">IF($L193="","",IF(INDEX('NHẬP ĐƠN HÀNG'!$H$6:$H$505,$L193)="","",INDEX('NHẬP ĐƠN HÀNG'!$H$6:$H$505,$L193)))</f>
        <v/>
      </c>
      <c r="F193" s="10" t="str">
        <f aca="false">IF($L193="","",N(INDEX('NHẬP ĐƠN HÀNG'!$I$6:$I$505,$L193)))</f>
        <v/>
      </c>
      <c r="G193" s="10" t="str">
        <f aca="false">IF($L193="","",N(INDEX('NHẬP ĐƠN HÀNG'!$L$6:$L$505,$L193)))</f>
        <v/>
      </c>
      <c r="H193" s="10" t="str">
        <f aca="false">IF($L193="","",N(INDEX('NHẬP ĐƠN HÀNG'!$Q$6:$Q$505,$L193)))</f>
        <v/>
      </c>
      <c r="I193" s="10" t="str">
        <f aca="false">IF($L193="","",N(INDEX('NHẬP ĐƠN HÀNG'!$R$6:$R$505,$L193)))</f>
        <v/>
      </c>
      <c r="J193" s="10" t="str">
        <f aca="false">IF($L193="","",IF(INDEX('NHẬP ĐƠN HÀNG'!$U$6:$U$505,$L193)="","",INDEX('NHẬP ĐƠN HÀNG'!$U$6:$U$505,$L193)))</f>
        <v/>
      </c>
      <c r="K193" s="16" t="str">
        <f aca="false">IF($L193="","",IF(INDEX('NHẬP ĐƠN HÀNG'!$W$6:$W$505,$L193)="","",INDEX('NHẬP ĐƠN HÀNG'!$W$6:$W$505,$L193)))</f>
        <v/>
      </c>
      <c r="L193" s="0" t="str">
        <f aca="false">IFERROR(MATCH(188,'NHẬP ĐƠN HÀNG'!$AA$6:$AA$505,0),"")</f>
        <v/>
      </c>
    </row>
    <row r="194" customFormat="false" ht="15" hidden="false" customHeight="false" outlineLevel="0" collapsed="false">
      <c r="A194" s="16" t="str">
        <f aca="false">IF($L194="","",189)</f>
        <v/>
      </c>
      <c r="B194" s="34" t="str">
        <f aca="false">IF($L194="","",IF(INDEX('NHẬP ĐƠN HÀNG'!$B$6:$B$505,$L194)="","",INDEX('NHẬP ĐƠN HÀNG'!$B$6:$B$505,$L194)))</f>
        <v/>
      </c>
      <c r="C194" s="16" t="str">
        <f aca="false">IF($L194="","",IF(INDEX('NHẬP ĐƠN HÀNG'!$C$6:$C$505,$L194)="","",INDEX('NHẬP ĐƠN HÀNG'!$C$6:$C$505,$L194)))</f>
        <v/>
      </c>
      <c r="D194" s="16" t="str">
        <f aca="false">IF($L194="","",IF(INDEX('NHẬP ĐƠN HÀNG'!$D$6:$D$505,$L194)="","",INDEX('NHẬP ĐƠN HÀNG'!$D$6:$D$505,$L194)))</f>
        <v/>
      </c>
      <c r="E194" s="16" t="str">
        <f aca="false">IF($L194="","",IF(INDEX('NHẬP ĐƠN HÀNG'!$H$6:$H$505,$L194)="","",INDEX('NHẬP ĐƠN HÀNG'!$H$6:$H$505,$L194)))</f>
        <v/>
      </c>
      <c r="F194" s="10" t="str">
        <f aca="false">IF($L194="","",N(INDEX('NHẬP ĐƠN HÀNG'!$I$6:$I$505,$L194)))</f>
        <v/>
      </c>
      <c r="G194" s="10" t="str">
        <f aca="false">IF($L194="","",N(INDEX('NHẬP ĐƠN HÀNG'!$L$6:$L$505,$L194)))</f>
        <v/>
      </c>
      <c r="H194" s="10" t="str">
        <f aca="false">IF($L194="","",N(INDEX('NHẬP ĐƠN HÀNG'!$Q$6:$Q$505,$L194)))</f>
        <v/>
      </c>
      <c r="I194" s="10" t="str">
        <f aca="false">IF($L194="","",N(INDEX('NHẬP ĐƠN HÀNG'!$R$6:$R$505,$L194)))</f>
        <v/>
      </c>
      <c r="J194" s="10" t="str">
        <f aca="false">IF($L194="","",IF(INDEX('NHẬP ĐƠN HÀNG'!$U$6:$U$505,$L194)="","",INDEX('NHẬP ĐƠN HÀNG'!$U$6:$U$505,$L194)))</f>
        <v/>
      </c>
      <c r="K194" s="16" t="str">
        <f aca="false">IF($L194="","",IF(INDEX('NHẬP ĐƠN HÀNG'!$W$6:$W$505,$L194)="","",INDEX('NHẬP ĐƠN HÀNG'!$W$6:$W$505,$L194)))</f>
        <v/>
      </c>
      <c r="L194" s="0" t="str">
        <f aca="false">IFERROR(MATCH(189,'NHẬP ĐƠN HÀNG'!$AA$6:$AA$505,0),"")</f>
        <v/>
      </c>
    </row>
    <row r="195" customFormat="false" ht="15" hidden="false" customHeight="false" outlineLevel="0" collapsed="false">
      <c r="A195" s="16" t="str">
        <f aca="false">IF($L195="","",190)</f>
        <v/>
      </c>
      <c r="B195" s="34" t="str">
        <f aca="false">IF($L195="","",IF(INDEX('NHẬP ĐƠN HÀNG'!$B$6:$B$505,$L195)="","",INDEX('NHẬP ĐƠN HÀNG'!$B$6:$B$505,$L195)))</f>
        <v/>
      </c>
      <c r="C195" s="16" t="str">
        <f aca="false">IF($L195="","",IF(INDEX('NHẬP ĐƠN HÀNG'!$C$6:$C$505,$L195)="","",INDEX('NHẬP ĐƠN HÀNG'!$C$6:$C$505,$L195)))</f>
        <v/>
      </c>
      <c r="D195" s="16" t="str">
        <f aca="false">IF($L195="","",IF(INDEX('NHẬP ĐƠN HÀNG'!$D$6:$D$505,$L195)="","",INDEX('NHẬP ĐƠN HÀNG'!$D$6:$D$505,$L195)))</f>
        <v/>
      </c>
      <c r="E195" s="16" t="str">
        <f aca="false">IF($L195="","",IF(INDEX('NHẬP ĐƠN HÀNG'!$H$6:$H$505,$L195)="","",INDEX('NHẬP ĐƠN HÀNG'!$H$6:$H$505,$L195)))</f>
        <v/>
      </c>
      <c r="F195" s="10" t="str">
        <f aca="false">IF($L195="","",N(INDEX('NHẬP ĐƠN HÀNG'!$I$6:$I$505,$L195)))</f>
        <v/>
      </c>
      <c r="G195" s="10" t="str">
        <f aca="false">IF($L195="","",N(INDEX('NHẬP ĐƠN HÀNG'!$L$6:$L$505,$L195)))</f>
        <v/>
      </c>
      <c r="H195" s="10" t="str">
        <f aca="false">IF($L195="","",N(INDEX('NHẬP ĐƠN HÀNG'!$Q$6:$Q$505,$L195)))</f>
        <v/>
      </c>
      <c r="I195" s="10" t="str">
        <f aca="false">IF($L195="","",N(INDEX('NHẬP ĐƠN HÀNG'!$R$6:$R$505,$L195)))</f>
        <v/>
      </c>
      <c r="J195" s="10" t="str">
        <f aca="false">IF($L195="","",IF(INDEX('NHẬP ĐƠN HÀNG'!$U$6:$U$505,$L195)="","",INDEX('NHẬP ĐƠN HÀNG'!$U$6:$U$505,$L195)))</f>
        <v/>
      </c>
      <c r="K195" s="16" t="str">
        <f aca="false">IF($L195="","",IF(INDEX('NHẬP ĐƠN HÀNG'!$W$6:$W$505,$L195)="","",INDEX('NHẬP ĐƠN HÀNG'!$W$6:$W$505,$L195)))</f>
        <v/>
      </c>
      <c r="L195" s="0" t="str">
        <f aca="false">IFERROR(MATCH(190,'NHẬP ĐƠN HÀNG'!$AA$6:$AA$505,0),"")</f>
        <v/>
      </c>
    </row>
    <row r="196" customFormat="false" ht="15" hidden="false" customHeight="false" outlineLevel="0" collapsed="false">
      <c r="A196" s="16" t="str">
        <f aca="false">IF($L196="","",191)</f>
        <v/>
      </c>
      <c r="B196" s="34" t="str">
        <f aca="false">IF($L196="","",IF(INDEX('NHẬP ĐƠN HÀNG'!$B$6:$B$505,$L196)="","",INDEX('NHẬP ĐƠN HÀNG'!$B$6:$B$505,$L196)))</f>
        <v/>
      </c>
      <c r="C196" s="16" t="str">
        <f aca="false">IF($L196="","",IF(INDEX('NHẬP ĐƠN HÀNG'!$C$6:$C$505,$L196)="","",INDEX('NHẬP ĐƠN HÀNG'!$C$6:$C$505,$L196)))</f>
        <v/>
      </c>
      <c r="D196" s="16" t="str">
        <f aca="false">IF($L196="","",IF(INDEX('NHẬP ĐƠN HÀNG'!$D$6:$D$505,$L196)="","",INDEX('NHẬP ĐƠN HÀNG'!$D$6:$D$505,$L196)))</f>
        <v/>
      </c>
      <c r="E196" s="16" t="str">
        <f aca="false">IF($L196="","",IF(INDEX('NHẬP ĐƠN HÀNG'!$H$6:$H$505,$L196)="","",INDEX('NHẬP ĐƠN HÀNG'!$H$6:$H$505,$L196)))</f>
        <v/>
      </c>
      <c r="F196" s="10" t="str">
        <f aca="false">IF($L196="","",N(INDEX('NHẬP ĐƠN HÀNG'!$I$6:$I$505,$L196)))</f>
        <v/>
      </c>
      <c r="G196" s="10" t="str">
        <f aca="false">IF($L196="","",N(INDEX('NHẬP ĐƠN HÀNG'!$L$6:$L$505,$L196)))</f>
        <v/>
      </c>
      <c r="H196" s="10" t="str">
        <f aca="false">IF($L196="","",N(INDEX('NHẬP ĐƠN HÀNG'!$Q$6:$Q$505,$L196)))</f>
        <v/>
      </c>
      <c r="I196" s="10" t="str">
        <f aca="false">IF($L196="","",N(INDEX('NHẬP ĐƠN HÀNG'!$R$6:$R$505,$L196)))</f>
        <v/>
      </c>
      <c r="J196" s="10" t="str">
        <f aca="false">IF($L196="","",IF(INDEX('NHẬP ĐƠN HÀNG'!$U$6:$U$505,$L196)="","",INDEX('NHẬP ĐƠN HÀNG'!$U$6:$U$505,$L196)))</f>
        <v/>
      </c>
      <c r="K196" s="16" t="str">
        <f aca="false">IF($L196="","",IF(INDEX('NHẬP ĐƠN HÀNG'!$W$6:$W$505,$L196)="","",INDEX('NHẬP ĐƠN HÀNG'!$W$6:$W$505,$L196)))</f>
        <v/>
      </c>
      <c r="L196" s="0" t="str">
        <f aca="false">IFERROR(MATCH(191,'NHẬP ĐƠN HÀNG'!$AA$6:$AA$505,0),"")</f>
        <v/>
      </c>
    </row>
    <row r="197" customFormat="false" ht="15" hidden="false" customHeight="false" outlineLevel="0" collapsed="false">
      <c r="A197" s="16" t="str">
        <f aca="false">IF($L197="","",192)</f>
        <v/>
      </c>
      <c r="B197" s="34" t="str">
        <f aca="false">IF($L197="","",IF(INDEX('NHẬP ĐƠN HÀNG'!$B$6:$B$505,$L197)="","",INDEX('NHẬP ĐƠN HÀNG'!$B$6:$B$505,$L197)))</f>
        <v/>
      </c>
      <c r="C197" s="16" t="str">
        <f aca="false">IF($L197="","",IF(INDEX('NHẬP ĐƠN HÀNG'!$C$6:$C$505,$L197)="","",INDEX('NHẬP ĐƠN HÀNG'!$C$6:$C$505,$L197)))</f>
        <v/>
      </c>
      <c r="D197" s="16" t="str">
        <f aca="false">IF($L197="","",IF(INDEX('NHẬP ĐƠN HÀNG'!$D$6:$D$505,$L197)="","",INDEX('NHẬP ĐƠN HÀNG'!$D$6:$D$505,$L197)))</f>
        <v/>
      </c>
      <c r="E197" s="16" t="str">
        <f aca="false">IF($L197="","",IF(INDEX('NHẬP ĐƠN HÀNG'!$H$6:$H$505,$L197)="","",INDEX('NHẬP ĐƠN HÀNG'!$H$6:$H$505,$L197)))</f>
        <v/>
      </c>
      <c r="F197" s="10" t="str">
        <f aca="false">IF($L197="","",N(INDEX('NHẬP ĐƠN HÀNG'!$I$6:$I$505,$L197)))</f>
        <v/>
      </c>
      <c r="G197" s="10" t="str">
        <f aca="false">IF($L197="","",N(INDEX('NHẬP ĐƠN HÀNG'!$L$6:$L$505,$L197)))</f>
        <v/>
      </c>
      <c r="H197" s="10" t="str">
        <f aca="false">IF($L197="","",N(INDEX('NHẬP ĐƠN HÀNG'!$Q$6:$Q$505,$L197)))</f>
        <v/>
      </c>
      <c r="I197" s="10" t="str">
        <f aca="false">IF($L197="","",N(INDEX('NHẬP ĐƠN HÀNG'!$R$6:$R$505,$L197)))</f>
        <v/>
      </c>
      <c r="J197" s="10" t="str">
        <f aca="false">IF($L197="","",IF(INDEX('NHẬP ĐƠN HÀNG'!$U$6:$U$505,$L197)="","",INDEX('NHẬP ĐƠN HÀNG'!$U$6:$U$505,$L197)))</f>
        <v/>
      </c>
      <c r="K197" s="16" t="str">
        <f aca="false">IF($L197="","",IF(INDEX('NHẬP ĐƠN HÀNG'!$W$6:$W$505,$L197)="","",INDEX('NHẬP ĐƠN HÀNG'!$W$6:$W$505,$L197)))</f>
        <v/>
      </c>
      <c r="L197" s="0" t="str">
        <f aca="false">IFERROR(MATCH(192,'NHẬP ĐƠN HÀNG'!$AA$6:$AA$505,0),"")</f>
        <v/>
      </c>
    </row>
    <row r="198" customFormat="false" ht="15" hidden="false" customHeight="false" outlineLevel="0" collapsed="false">
      <c r="A198" s="16" t="str">
        <f aca="false">IF($L198="","",193)</f>
        <v/>
      </c>
      <c r="B198" s="34" t="str">
        <f aca="false">IF($L198="","",IF(INDEX('NHẬP ĐƠN HÀNG'!$B$6:$B$505,$L198)="","",INDEX('NHẬP ĐƠN HÀNG'!$B$6:$B$505,$L198)))</f>
        <v/>
      </c>
      <c r="C198" s="16" t="str">
        <f aca="false">IF($L198="","",IF(INDEX('NHẬP ĐƠN HÀNG'!$C$6:$C$505,$L198)="","",INDEX('NHẬP ĐƠN HÀNG'!$C$6:$C$505,$L198)))</f>
        <v/>
      </c>
      <c r="D198" s="16" t="str">
        <f aca="false">IF($L198="","",IF(INDEX('NHẬP ĐƠN HÀNG'!$D$6:$D$505,$L198)="","",INDEX('NHẬP ĐƠN HÀNG'!$D$6:$D$505,$L198)))</f>
        <v/>
      </c>
      <c r="E198" s="16" t="str">
        <f aca="false">IF($L198="","",IF(INDEX('NHẬP ĐƠN HÀNG'!$H$6:$H$505,$L198)="","",INDEX('NHẬP ĐƠN HÀNG'!$H$6:$H$505,$L198)))</f>
        <v/>
      </c>
      <c r="F198" s="10" t="str">
        <f aca="false">IF($L198="","",N(INDEX('NHẬP ĐƠN HÀNG'!$I$6:$I$505,$L198)))</f>
        <v/>
      </c>
      <c r="G198" s="10" t="str">
        <f aca="false">IF($L198="","",N(INDEX('NHẬP ĐƠN HÀNG'!$L$6:$L$505,$L198)))</f>
        <v/>
      </c>
      <c r="H198" s="10" t="str">
        <f aca="false">IF($L198="","",N(INDEX('NHẬP ĐƠN HÀNG'!$Q$6:$Q$505,$L198)))</f>
        <v/>
      </c>
      <c r="I198" s="10" t="str">
        <f aca="false">IF($L198="","",N(INDEX('NHẬP ĐƠN HÀNG'!$R$6:$R$505,$L198)))</f>
        <v/>
      </c>
      <c r="J198" s="10" t="str">
        <f aca="false">IF($L198="","",IF(INDEX('NHẬP ĐƠN HÀNG'!$U$6:$U$505,$L198)="","",INDEX('NHẬP ĐƠN HÀNG'!$U$6:$U$505,$L198)))</f>
        <v/>
      </c>
      <c r="K198" s="16" t="str">
        <f aca="false">IF($L198="","",IF(INDEX('NHẬP ĐƠN HÀNG'!$W$6:$W$505,$L198)="","",INDEX('NHẬP ĐƠN HÀNG'!$W$6:$W$505,$L198)))</f>
        <v/>
      </c>
      <c r="L198" s="0" t="str">
        <f aca="false">IFERROR(MATCH(193,'NHẬP ĐƠN HÀNG'!$AA$6:$AA$505,0),"")</f>
        <v/>
      </c>
    </row>
    <row r="199" customFormat="false" ht="15" hidden="false" customHeight="false" outlineLevel="0" collapsed="false">
      <c r="A199" s="16" t="str">
        <f aca="false">IF($L199="","",194)</f>
        <v/>
      </c>
      <c r="B199" s="34" t="str">
        <f aca="false">IF($L199="","",IF(INDEX('NHẬP ĐƠN HÀNG'!$B$6:$B$505,$L199)="","",INDEX('NHẬP ĐƠN HÀNG'!$B$6:$B$505,$L199)))</f>
        <v/>
      </c>
      <c r="C199" s="16" t="str">
        <f aca="false">IF($L199="","",IF(INDEX('NHẬP ĐƠN HÀNG'!$C$6:$C$505,$L199)="","",INDEX('NHẬP ĐƠN HÀNG'!$C$6:$C$505,$L199)))</f>
        <v/>
      </c>
      <c r="D199" s="16" t="str">
        <f aca="false">IF($L199="","",IF(INDEX('NHẬP ĐƠN HÀNG'!$D$6:$D$505,$L199)="","",INDEX('NHẬP ĐƠN HÀNG'!$D$6:$D$505,$L199)))</f>
        <v/>
      </c>
      <c r="E199" s="16" t="str">
        <f aca="false">IF($L199="","",IF(INDEX('NHẬP ĐƠN HÀNG'!$H$6:$H$505,$L199)="","",INDEX('NHẬP ĐƠN HÀNG'!$H$6:$H$505,$L199)))</f>
        <v/>
      </c>
      <c r="F199" s="10" t="str">
        <f aca="false">IF($L199="","",N(INDEX('NHẬP ĐƠN HÀNG'!$I$6:$I$505,$L199)))</f>
        <v/>
      </c>
      <c r="G199" s="10" t="str">
        <f aca="false">IF($L199="","",N(INDEX('NHẬP ĐƠN HÀNG'!$L$6:$L$505,$L199)))</f>
        <v/>
      </c>
      <c r="H199" s="10" t="str">
        <f aca="false">IF($L199="","",N(INDEX('NHẬP ĐƠN HÀNG'!$Q$6:$Q$505,$L199)))</f>
        <v/>
      </c>
      <c r="I199" s="10" t="str">
        <f aca="false">IF($L199="","",N(INDEX('NHẬP ĐƠN HÀNG'!$R$6:$R$505,$L199)))</f>
        <v/>
      </c>
      <c r="J199" s="10" t="str">
        <f aca="false">IF($L199="","",IF(INDEX('NHẬP ĐƠN HÀNG'!$U$6:$U$505,$L199)="","",INDEX('NHẬP ĐƠN HÀNG'!$U$6:$U$505,$L199)))</f>
        <v/>
      </c>
      <c r="K199" s="16" t="str">
        <f aca="false">IF($L199="","",IF(INDEX('NHẬP ĐƠN HÀNG'!$W$6:$W$505,$L199)="","",INDEX('NHẬP ĐƠN HÀNG'!$W$6:$W$505,$L199)))</f>
        <v/>
      </c>
      <c r="L199" s="0" t="str">
        <f aca="false">IFERROR(MATCH(194,'NHẬP ĐƠN HÀNG'!$AA$6:$AA$505,0),"")</f>
        <v/>
      </c>
    </row>
    <row r="200" customFormat="false" ht="15" hidden="false" customHeight="false" outlineLevel="0" collapsed="false">
      <c r="A200" s="16" t="str">
        <f aca="false">IF($L200="","",195)</f>
        <v/>
      </c>
      <c r="B200" s="34" t="str">
        <f aca="false">IF($L200="","",IF(INDEX('NHẬP ĐƠN HÀNG'!$B$6:$B$505,$L200)="","",INDEX('NHẬP ĐƠN HÀNG'!$B$6:$B$505,$L200)))</f>
        <v/>
      </c>
      <c r="C200" s="16" t="str">
        <f aca="false">IF($L200="","",IF(INDEX('NHẬP ĐƠN HÀNG'!$C$6:$C$505,$L200)="","",INDEX('NHẬP ĐƠN HÀNG'!$C$6:$C$505,$L200)))</f>
        <v/>
      </c>
      <c r="D200" s="16" t="str">
        <f aca="false">IF($L200="","",IF(INDEX('NHẬP ĐƠN HÀNG'!$D$6:$D$505,$L200)="","",INDEX('NHẬP ĐƠN HÀNG'!$D$6:$D$505,$L200)))</f>
        <v/>
      </c>
      <c r="E200" s="16" t="str">
        <f aca="false">IF($L200="","",IF(INDEX('NHẬP ĐƠN HÀNG'!$H$6:$H$505,$L200)="","",INDEX('NHẬP ĐƠN HÀNG'!$H$6:$H$505,$L200)))</f>
        <v/>
      </c>
      <c r="F200" s="10" t="str">
        <f aca="false">IF($L200="","",N(INDEX('NHẬP ĐƠN HÀNG'!$I$6:$I$505,$L200)))</f>
        <v/>
      </c>
      <c r="G200" s="10" t="str">
        <f aca="false">IF($L200="","",N(INDEX('NHẬP ĐƠN HÀNG'!$L$6:$L$505,$L200)))</f>
        <v/>
      </c>
      <c r="H200" s="10" t="str">
        <f aca="false">IF($L200="","",N(INDEX('NHẬP ĐƠN HÀNG'!$Q$6:$Q$505,$L200)))</f>
        <v/>
      </c>
      <c r="I200" s="10" t="str">
        <f aca="false">IF($L200="","",N(INDEX('NHẬP ĐƠN HÀNG'!$R$6:$R$505,$L200)))</f>
        <v/>
      </c>
      <c r="J200" s="10" t="str">
        <f aca="false">IF($L200="","",IF(INDEX('NHẬP ĐƠN HÀNG'!$U$6:$U$505,$L200)="","",INDEX('NHẬP ĐƠN HÀNG'!$U$6:$U$505,$L200)))</f>
        <v/>
      </c>
      <c r="K200" s="16" t="str">
        <f aca="false">IF($L200="","",IF(INDEX('NHẬP ĐƠN HÀNG'!$W$6:$W$505,$L200)="","",INDEX('NHẬP ĐƠN HÀNG'!$W$6:$W$505,$L200)))</f>
        <v/>
      </c>
      <c r="L200" s="0" t="str">
        <f aca="false">IFERROR(MATCH(195,'NHẬP ĐƠN HÀNG'!$AA$6:$AA$505,0),"")</f>
        <v/>
      </c>
    </row>
    <row r="201" customFormat="false" ht="15" hidden="false" customHeight="false" outlineLevel="0" collapsed="false">
      <c r="A201" s="16" t="str">
        <f aca="false">IF($L201="","",196)</f>
        <v/>
      </c>
      <c r="B201" s="34" t="str">
        <f aca="false">IF($L201="","",IF(INDEX('NHẬP ĐƠN HÀNG'!$B$6:$B$505,$L201)="","",INDEX('NHẬP ĐƠN HÀNG'!$B$6:$B$505,$L201)))</f>
        <v/>
      </c>
      <c r="C201" s="16" t="str">
        <f aca="false">IF($L201="","",IF(INDEX('NHẬP ĐƠN HÀNG'!$C$6:$C$505,$L201)="","",INDEX('NHẬP ĐƠN HÀNG'!$C$6:$C$505,$L201)))</f>
        <v/>
      </c>
      <c r="D201" s="16" t="str">
        <f aca="false">IF($L201="","",IF(INDEX('NHẬP ĐƠN HÀNG'!$D$6:$D$505,$L201)="","",INDEX('NHẬP ĐƠN HÀNG'!$D$6:$D$505,$L201)))</f>
        <v/>
      </c>
      <c r="E201" s="16" t="str">
        <f aca="false">IF($L201="","",IF(INDEX('NHẬP ĐƠN HÀNG'!$H$6:$H$505,$L201)="","",INDEX('NHẬP ĐƠN HÀNG'!$H$6:$H$505,$L201)))</f>
        <v/>
      </c>
      <c r="F201" s="10" t="str">
        <f aca="false">IF($L201="","",N(INDEX('NHẬP ĐƠN HÀNG'!$I$6:$I$505,$L201)))</f>
        <v/>
      </c>
      <c r="G201" s="10" t="str">
        <f aca="false">IF($L201="","",N(INDEX('NHẬP ĐƠN HÀNG'!$L$6:$L$505,$L201)))</f>
        <v/>
      </c>
      <c r="H201" s="10" t="str">
        <f aca="false">IF($L201="","",N(INDEX('NHẬP ĐƠN HÀNG'!$Q$6:$Q$505,$L201)))</f>
        <v/>
      </c>
      <c r="I201" s="10" t="str">
        <f aca="false">IF($L201="","",N(INDEX('NHẬP ĐƠN HÀNG'!$R$6:$R$505,$L201)))</f>
        <v/>
      </c>
      <c r="J201" s="10" t="str">
        <f aca="false">IF($L201="","",IF(INDEX('NHẬP ĐƠN HÀNG'!$U$6:$U$505,$L201)="","",INDEX('NHẬP ĐƠN HÀNG'!$U$6:$U$505,$L201)))</f>
        <v/>
      </c>
      <c r="K201" s="16" t="str">
        <f aca="false">IF($L201="","",IF(INDEX('NHẬP ĐƠN HÀNG'!$W$6:$W$505,$L201)="","",INDEX('NHẬP ĐƠN HÀNG'!$W$6:$W$505,$L201)))</f>
        <v/>
      </c>
      <c r="L201" s="0" t="str">
        <f aca="false">IFERROR(MATCH(196,'NHẬP ĐƠN HÀNG'!$AA$6:$AA$505,0),"")</f>
        <v/>
      </c>
    </row>
    <row r="202" customFormat="false" ht="15" hidden="false" customHeight="false" outlineLevel="0" collapsed="false">
      <c r="A202" s="16" t="str">
        <f aca="false">IF($L202="","",197)</f>
        <v/>
      </c>
      <c r="B202" s="34" t="str">
        <f aca="false">IF($L202="","",IF(INDEX('NHẬP ĐƠN HÀNG'!$B$6:$B$505,$L202)="","",INDEX('NHẬP ĐƠN HÀNG'!$B$6:$B$505,$L202)))</f>
        <v/>
      </c>
      <c r="C202" s="16" t="str">
        <f aca="false">IF($L202="","",IF(INDEX('NHẬP ĐƠN HÀNG'!$C$6:$C$505,$L202)="","",INDEX('NHẬP ĐƠN HÀNG'!$C$6:$C$505,$L202)))</f>
        <v/>
      </c>
      <c r="D202" s="16" t="str">
        <f aca="false">IF($L202="","",IF(INDEX('NHẬP ĐƠN HÀNG'!$D$6:$D$505,$L202)="","",INDEX('NHẬP ĐƠN HÀNG'!$D$6:$D$505,$L202)))</f>
        <v/>
      </c>
      <c r="E202" s="16" t="str">
        <f aca="false">IF($L202="","",IF(INDEX('NHẬP ĐƠN HÀNG'!$H$6:$H$505,$L202)="","",INDEX('NHẬP ĐƠN HÀNG'!$H$6:$H$505,$L202)))</f>
        <v/>
      </c>
      <c r="F202" s="10" t="str">
        <f aca="false">IF($L202="","",N(INDEX('NHẬP ĐƠN HÀNG'!$I$6:$I$505,$L202)))</f>
        <v/>
      </c>
      <c r="G202" s="10" t="str">
        <f aca="false">IF($L202="","",N(INDEX('NHẬP ĐƠN HÀNG'!$L$6:$L$505,$L202)))</f>
        <v/>
      </c>
      <c r="H202" s="10" t="str">
        <f aca="false">IF($L202="","",N(INDEX('NHẬP ĐƠN HÀNG'!$Q$6:$Q$505,$L202)))</f>
        <v/>
      </c>
      <c r="I202" s="10" t="str">
        <f aca="false">IF($L202="","",N(INDEX('NHẬP ĐƠN HÀNG'!$R$6:$R$505,$L202)))</f>
        <v/>
      </c>
      <c r="J202" s="10" t="str">
        <f aca="false">IF($L202="","",IF(INDEX('NHẬP ĐƠN HÀNG'!$U$6:$U$505,$L202)="","",INDEX('NHẬP ĐƠN HÀNG'!$U$6:$U$505,$L202)))</f>
        <v/>
      </c>
      <c r="K202" s="16" t="str">
        <f aca="false">IF($L202="","",IF(INDEX('NHẬP ĐƠN HÀNG'!$W$6:$W$505,$L202)="","",INDEX('NHẬP ĐƠN HÀNG'!$W$6:$W$505,$L202)))</f>
        <v/>
      </c>
      <c r="L202" s="0" t="str">
        <f aca="false">IFERROR(MATCH(197,'NHẬP ĐƠN HÀNG'!$AA$6:$AA$505,0),"")</f>
        <v/>
      </c>
    </row>
    <row r="203" customFormat="false" ht="15" hidden="false" customHeight="false" outlineLevel="0" collapsed="false">
      <c r="A203" s="16" t="str">
        <f aca="false">IF($L203="","",198)</f>
        <v/>
      </c>
      <c r="B203" s="34" t="str">
        <f aca="false">IF($L203="","",IF(INDEX('NHẬP ĐƠN HÀNG'!$B$6:$B$505,$L203)="","",INDEX('NHẬP ĐƠN HÀNG'!$B$6:$B$505,$L203)))</f>
        <v/>
      </c>
      <c r="C203" s="16" t="str">
        <f aca="false">IF($L203="","",IF(INDEX('NHẬP ĐƠN HÀNG'!$C$6:$C$505,$L203)="","",INDEX('NHẬP ĐƠN HÀNG'!$C$6:$C$505,$L203)))</f>
        <v/>
      </c>
      <c r="D203" s="16" t="str">
        <f aca="false">IF($L203="","",IF(INDEX('NHẬP ĐƠN HÀNG'!$D$6:$D$505,$L203)="","",INDEX('NHẬP ĐƠN HÀNG'!$D$6:$D$505,$L203)))</f>
        <v/>
      </c>
      <c r="E203" s="16" t="str">
        <f aca="false">IF($L203="","",IF(INDEX('NHẬP ĐƠN HÀNG'!$H$6:$H$505,$L203)="","",INDEX('NHẬP ĐƠN HÀNG'!$H$6:$H$505,$L203)))</f>
        <v/>
      </c>
      <c r="F203" s="10" t="str">
        <f aca="false">IF($L203="","",N(INDEX('NHẬP ĐƠN HÀNG'!$I$6:$I$505,$L203)))</f>
        <v/>
      </c>
      <c r="G203" s="10" t="str">
        <f aca="false">IF($L203="","",N(INDEX('NHẬP ĐƠN HÀNG'!$L$6:$L$505,$L203)))</f>
        <v/>
      </c>
      <c r="H203" s="10" t="str">
        <f aca="false">IF($L203="","",N(INDEX('NHẬP ĐƠN HÀNG'!$Q$6:$Q$505,$L203)))</f>
        <v/>
      </c>
      <c r="I203" s="10" t="str">
        <f aca="false">IF($L203="","",N(INDEX('NHẬP ĐƠN HÀNG'!$R$6:$R$505,$L203)))</f>
        <v/>
      </c>
      <c r="J203" s="10" t="str">
        <f aca="false">IF($L203="","",IF(INDEX('NHẬP ĐƠN HÀNG'!$U$6:$U$505,$L203)="","",INDEX('NHẬP ĐƠN HÀNG'!$U$6:$U$505,$L203)))</f>
        <v/>
      </c>
      <c r="K203" s="16" t="str">
        <f aca="false">IF($L203="","",IF(INDEX('NHẬP ĐƠN HÀNG'!$W$6:$W$505,$L203)="","",INDEX('NHẬP ĐƠN HÀNG'!$W$6:$W$505,$L203)))</f>
        <v/>
      </c>
      <c r="L203" s="0" t="str">
        <f aca="false">IFERROR(MATCH(198,'NHẬP ĐƠN HÀNG'!$AA$6:$AA$505,0),"")</f>
        <v/>
      </c>
    </row>
    <row r="204" customFormat="false" ht="15" hidden="false" customHeight="false" outlineLevel="0" collapsed="false">
      <c r="A204" s="16" t="str">
        <f aca="false">IF($L204="","",199)</f>
        <v/>
      </c>
      <c r="B204" s="34" t="str">
        <f aca="false">IF($L204="","",IF(INDEX('NHẬP ĐƠN HÀNG'!$B$6:$B$505,$L204)="","",INDEX('NHẬP ĐƠN HÀNG'!$B$6:$B$505,$L204)))</f>
        <v/>
      </c>
      <c r="C204" s="16" t="str">
        <f aca="false">IF($L204="","",IF(INDEX('NHẬP ĐƠN HÀNG'!$C$6:$C$505,$L204)="","",INDEX('NHẬP ĐƠN HÀNG'!$C$6:$C$505,$L204)))</f>
        <v/>
      </c>
      <c r="D204" s="16" t="str">
        <f aca="false">IF($L204="","",IF(INDEX('NHẬP ĐƠN HÀNG'!$D$6:$D$505,$L204)="","",INDEX('NHẬP ĐƠN HÀNG'!$D$6:$D$505,$L204)))</f>
        <v/>
      </c>
      <c r="E204" s="16" t="str">
        <f aca="false">IF($L204="","",IF(INDEX('NHẬP ĐƠN HÀNG'!$H$6:$H$505,$L204)="","",INDEX('NHẬP ĐƠN HÀNG'!$H$6:$H$505,$L204)))</f>
        <v/>
      </c>
      <c r="F204" s="10" t="str">
        <f aca="false">IF($L204="","",N(INDEX('NHẬP ĐƠN HÀNG'!$I$6:$I$505,$L204)))</f>
        <v/>
      </c>
      <c r="G204" s="10" t="str">
        <f aca="false">IF($L204="","",N(INDEX('NHẬP ĐƠN HÀNG'!$L$6:$L$505,$L204)))</f>
        <v/>
      </c>
      <c r="H204" s="10" t="str">
        <f aca="false">IF($L204="","",N(INDEX('NHẬP ĐƠN HÀNG'!$Q$6:$Q$505,$L204)))</f>
        <v/>
      </c>
      <c r="I204" s="10" t="str">
        <f aca="false">IF($L204="","",N(INDEX('NHẬP ĐƠN HÀNG'!$R$6:$R$505,$L204)))</f>
        <v/>
      </c>
      <c r="J204" s="10" t="str">
        <f aca="false">IF($L204="","",IF(INDEX('NHẬP ĐƠN HÀNG'!$U$6:$U$505,$L204)="","",INDEX('NHẬP ĐƠN HÀNG'!$U$6:$U$505,$L204)))</f>
        <v/>
      </c>
      <c r="K204" s="16" t="str">
        <f aca="false">IF($L204="","",IF(INDEX('NHẬP ĐƠN HÀNG'!$W$6:$W$505,$L204)="","",INDEX('NHẬP ĐƠN HÀNG'!$W$6:$W$505,$L204)))</f>
        <v/>
      </c>
      <c r="L204" s="0" t="str">
        <f aca="false">IFERROR(MATCH(199,'NHẬP ĐƠN HÀNG'!$AA$6:$AA$505,0),"")</f>
        <v/>
      </c>
    </row>
    <row r="205" customFormat="false" ht="15" hidden="false" customHeight="false" outlineLevel="0" collapsed="false">
      <c r="A205" s="16" t="str">
        <f aca="false">IF($L205="","",200)</f>
        <v/>
      </c>
      <c r="B205" s="34" t="str">
        <f aca="false">IF($L205="","",IF(INDEX('NHẬP ĐƠN HÀNG'!$B$6:$B$505,$L205)="","",INDEX('NHẬP ĐƠN HÀNG'!$B$6:$B$505,$L205)))</f>
        <v/>
      </c>
      <c r="C205" s="16" t="str">
        <f aca="false">IF($L205="","",IF(INDEX('NHẬP ĐƠN HÀNG'!$C$6:$C$505,$L205)="","",INDEX('NHẬP ĐƠN HÀNG'!$C$6:$C$505,$L205)))</f>
        <v/>
      </c>
      <c r="D205" s="16" t="str">
        <f aca="false">IF($L205="","",IF(INDEX('NHẬP ĐƠN HÀNG'!$D$6:$D$505,$L205)="","",INDEX('NHẬP ĐƠN HÀNG'!$D$6:$D$505,$L205)))</f>
        <v/>
      </c>
      <c r="E205" s="16" t="str">
        <f aca="false">IF($L205="","",IF(INDEX('NHẬP ĐƠN HÀNG'!$H$6:$H$505,$L205)="","",INDEX('NHẬP ĐƠN HÀNG'!$H$6:$H$505,$L205)))</f>
        <v/>
      </c>
      <c r="F205" s="10" t="str">
        <f aca="false">IF($L205="","",N(INDEX('NHẬP ĐƠN HÀNG'!$I$6:$I$505,$L205)))</f>
        <v/>
      </c>
      <c r="G205" s="10" t="str">
        <f aca="false">IF($L205="","",N(INDEX('NHẬP ĐƠN HÀNG'!$L$6:$L$505,$L205)))</f>
        <v/>
      </c>
      <c r="H205" s="10" t="str">
        <f aca="false">IF($L205="","",N(INDEX('NHẬP ĐƠN HÀNG'!$Q$6:$Q$505,$L205)))</f>
        <v/>
      </c>
      <c r="I205" s="10" t="str">
        <f aca="false">IF($L205="","",N(INDEX('NHẬP ĐƠN HÀNG'!$R$6:$R$505,$L205)))</f>
        <v/>
      </c>
      <c r="J205" s="10" t="str">
        <f aca="false">IF($L205="","",IF(INDEX('NHẬP ĐƠN HÀNG'!$U$6:$U$505,$L205)="","",INDEX('NHẬP ĐƠN HÀNG'!$U$6:$U$505,$L205)))</f>
        <v/>
      </c>
      <c r="K205" s="16" t="str">
        <f aca="false">IF($L205="","",IF(INDEX('NHẬP ĐƠN HÀNG'!$W$6:$W$505,$L205)="","",INDEX('NHẬP ĐƠN HÀNG'!$W$6:$W$505,$L205)))</f>
        <v/>
      </c>
      <c r="L205" s="0" t="str">
        <f aca="false">IFERROR(MATCH(200,'NHẬP ĐƠN HÀNG'!$AA$6:$AA$505,0),"")</f>
        <v/>
      </c>
    </row>
  </sheetData>
  <autoFilter ref="A5:K205"/>
  <mergeCells count="2">
    <mergeCell ref="A1:K1"/>
    <mergeCell ref="A2:K2"/>
  </mergeCells>
  <conditionalFormatting sqref="J6:J205">
    <cfRule type="cellIs" priority="2" operator="lessThan" aboveAverage="0" equalAverage="0" bottom="0" percent="0" rank="0" text="" dxfId="1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2026-08-02T23:00:33Z</dcterms:created>
  <dc:creator>openpyxl</dc:creator>
  <dc:description/>
  <dc:language>en-US</dc:language>
  <cp:lastModifiedBy/>
  <dcterms:modified xsi:type="dcterms:W3CDTF">2026-08-02T23:00:36Z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